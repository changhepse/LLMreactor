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wohen\code\pythonProject\LLMreactor\"/>
    </mc:Choice>
  </mc:AlternateContent>
  <xr:revisionPtr revIDLastSave="0" documentId="13_ncr:1_{EEE0CBED-2A40-497F-AB3B-B2F046BBD58B}" xr6:coauthVersionLast="47" xr6:coauthVersionMax="47" xr10:uidLastSave="{00000000-0000-0000-0000-000000000000}"/>
  <bookViews>
    <workbookView xWindow="-110" yWindow="-110" windowWidth="38620" windowHeight="21220" tabRatio="766" xr2:uid="{00000000-000D-0000-FFFF-FFFF00000000}"/>
  </bookViews>
  <sheets>
    <sheet name="数据处理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41" i="1" l="1"/>
  <c r="J42" i="1"/>
  <c r="J43" i="1"/>
  <c r="J44" i="1"/>
  <c r="J40" i="1"/>
  <c r="X39" i="1"/>
  <c r="Y39" i="1"/>
  <c r="Z39" i="1"/>
  <c r="W39" i="1"/>
</calcChain>
</file>

<file path=xl/sharedStrings.xml><?xml version="1.0" encoding="utf-8"?>
<sst xmlns="http://schemas.openxmlformats.org/spreadsheetml/2006/main" count="242" uniqueCount="70">
  <si>
    <t>0到0.7</t>
  </si>
  <si>
    <t>qwen2.5_Omni</t>
    <phoneticPr fontId="1" type="noConversion"/>
  </si>
  <si>
    <t>模型名</t>
    <phoneticPr fontId="1" type="noConversion"/>
  </si>
  <si>
    <t>qwen2.5_math</t>
    <phoneticPr fontId="1" type="noConversion"/>
  </si>
  <si>
    <t>0.7到1.5</t>
    <phoneticPr fontId="1" type="noConversion"/>
  </si>
  <si>
    <t>llama3.2</t>
    <phoneticPr fontId="1" type="noConversion"/>
  </si>
  <si>
    <t>gemma3</t>
    <phoneticPr fontId="1" type="noConversion"/>
  </si>
  <si>
    <t>deepseek_r1</t>
    <phoneticPr fontId="1" type="noConversion"/>
  </si>
  <si>
    <t>平均相对误差</t>
    <phoneticPr fontId="1" type="noConversion"/>
  </si>
  <si>
    <t>P</t>
    <phoneticPr fontId="1" type="noConversion"/>
  </si>
  <si>
    <t>F1</t>
    <phoneticPr fontId="1" type="noConversion"/>
  </si>
  <si>
    <t>R</t>
    <phoneticPr fontId="1" type="noConversion"/>
  </si>
  <si>
    <t>BERTScore测试结果</t>
    <phoneticPr fontId="1" type="noConversion"/>
  </si>
  <si>
    <t>虚拟反应训练结果</t>
    <phoneticPr fontId="1" type="noConversion"/>
  </si>
  <si>
    <t>训练时间(s)</t>
    <phoneticPr fontId="1" type="noConversion"/>
  </si>
  <si>
    <t>训练损失</t>
    <phoneticPr fontId="1" type="noConversion"/>
  </si>
  <si>
    <t>三线表</t>
    <phoneticPr fontId="1" type="noConversion"/>
  </si>
  <si>
    <t>4.1.1节训练结果及时间</t>
    <phoneticPr fontId="1" type="noConversion"/>
  </si>
  <si>
    <t>4.1.2节 测试结果</t>
    <phoneticPr fontId="1" type="noConversion"/>
  </si>
  <si>
    <t>4.1.3</t>
    <phoneticPr fontId="1" type="noConversion"/>
  </si>
  <si>
    <t>大于5</t>
    <phoneticPr fontId="1" type="noConversion"/>
  </si>
  <si>
    <t>1.5到5</t>
    <phoneticPr fontId="1" type="noConversion"/>
  </si>
  <si>
    <t>0.855</t>
    <phoneticPr fontId="1" type="noConversion"/>
  </si>
  <si>
    <t>0.766</t>
    <phoneticPr fontId="1" type="noConversion"/>
  </si>
  <si>
    <t>0.892</t>
    <phoneticPr fontId="1" type="noConversion"/>
  </si>
  <si>
    <t>1.073</t>
    <phoneticPr fontId="1" type="noConversion"/>
  </si>
  <si>
    <t>0.799</t>
    <phoneticPr fontId="1" type="noConversion"/>
  </si>
  <si>
    <t>BLEU-4</t>
    <phoneticPr fontId="1" type="noConversion"/>
  </si>
  <si>
    <t>BLEU测试</t>
    <phoneticPr fontId="1" type="noConversion"/>
  </si>
  <si>
    <t>ROUGE测试</t>
    <phoneticPr fontId="1" type="noConversion"/>
  </si>
  <si>
    <t>rogue-1</t>
    <phoneticPr fontId="1" type="noConversion"/>
  </si>
  <si>
    <t>rogue-2</t>
    <phoneticPr fontId="1" type="noConversion"/>
  </si>
  <si>
    <t>rogue-l</t>
    <phoneticPr fontId="1" type="noConversion"/>
  </si>
  <si>
    <t>Qwen2.5-Omni</t>
  </si>
  <si>
    <t>Qwen2.5-Math</t>
  </si>
  <si>
    <t>Llama-3.2</t>
  </si>
  <si>
    <t>Gemma-3</t>
  </si>
  <si>
    <t>DeepSeek-R1-Distill</t>
  </si>
  <si>
    <t>真实反应训练结果</t>
    <phoneticPr fontId="1" type="noConversion"/>
  </si>
  <si>
    <t>4.2.1节训练结果及时间</t>
    <phoneticPr fontId="1" type="noConversion"/>
  </si>
  <si>
    <t>4.2.2节 测试结果</t>
    <phoneticPr fontId="1" type="noConversion"/>
  </si>
  <si>
    <t>虚拟反应</t>
    <phoneticPr fontId="1" type="noConversion"/>
  </si>
  <si>
    <t>真实反应</t>
    <phoneticPr fontId="1" type="noConversion"/>
  </si>
  <si>
    <t>llama3数据统计</t>
    <phoneticPr fontId="1" type="noConversion"/>
  </si>
  <si>
    <t>0到0.3</t>
    <phoneticPr fontId="1" type="noConversion"/>
  </si>
  <si>
    <t>0.3到0.7</t>
    <phoneticPr fontId="1" type="noConversion"/>
  </si>
  <si>
    <t>0.7到1</t>
    <phoneticPr fontId="1" type="noConversion"/>
  </si>
  <si>
    <t>大于1</t>
    <phoneticPr fontId="1" type="noConversion"/>
  </si>
  <si>
    <t>4.2.3</t>
    <phoneticPr fontId="1" type="noConversion"/>
  </si>
  <si>
    <t>去除大于1</t>
    <phoneticPr fontId="1" type="noConversion"/>
  </si>
  <si>
    <t>去除大于5</t>
    <phoneticPr fontId="1" type="noConversion"/>
  </si>
  <si>
    <t>0.206</t>
    <phoneticPr fontId="1" type="noConversion"/>
  </si>
  <si>
    <t>0.251</t>
    <phoneticPr fontId="1" type="noConversion"/>
  </si>
  <si>
    <t>0.306</t>
    <phoneticPr fontId="1" type="noConversion"/>
  </si>
  <si>
    <t>0.345</t>
    <phoneticPr fontId="1" type="noConversion"/>
  </si>
  <si>
    <t>选型正确率</t>
    <phoneticPr fontId="1" type="noConversion"/>
  </si>
  <si>
    <t>正确选型</t>
  </si>
  <si>
    <t>正确选型</t>
    <phoneticPr fontId="1" type="noConversion"/>
  </si>
  <si>
    <t>模型名</t>
  </si>
  <si>
    <t>选型正确率</t>
  </si>
  <si>
    <t>总表对比</t>
    <phoneticPr fontId="1" type="noConversion"/>
  </si>
  <si>
    <t>训练时间</t>
    <phoneticPr fontId="1" type="noConversion"/>
  </si>
  <si>
    <t>0.855</t>
  </si>
  <si>
    <t>0.766</t>
  </si>
  <si>
    <t>0.892</t>
  </si>
  <si>
    <t>1.073</t>
  </si>
  <si>
    <t>0.799</t>
  </si>
  <si>
    <t>Relative Error</t>
  </si>
  <si>
    <t>Training Loss</t>
    <phoneticPr fontId="1" type="noConversion"/>
  </si>
  <si>
    <t>Train Time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</si>
</sst>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.5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49" fontId="0" fillId="0" borderId="1" xfId="0" applyNumberFormat="1" applyBorder="1" applyAlignment="1">
      <alignment horizontal="center" vertical="center"/>
    </xf>
    <xf numFmtId="0" fontId="0" fillId="0" borderId="0" xfId="0" applyBorder="1"/>
    <xf numFmtId="0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0" fontId="0" fillId="0" borderId="1" xfId="0" applyNumberFormat="1" applyBorder="1"/>
    <xf numFmtId="0" fontId="0" fillId="0" borderId="6" xfId="0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相对误差分布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数据处理!$C$4</c:f>
              <c:strCache>
                <c:ptCount val="1"/>
                <c:pt idx="0">
                  <c:v>0到0.7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数据处理!$B$5:$B$9</c:f>
              <c:strCache>
                <c:ptCount val="5"/>
                <c:pt idx="0">
                  <c:v>Qwen2.5-Omni</c:v>
                </c:pt>
                <c:pt idx="1">
                  <c:v>Qwen2.5-Math</c:v>
                </c:pt>
                <c:pt idx="2">
                  <c:v>Llama-3.2</c:v>
                </c:pt>
                <c:pt idx="3">
                  <c:v>Gemma-3</c:v>
                </c:pt>
                <c:pt idx="4">
                  <c:v>DeepSeek-R1-Distill</c:v>
                </c:pt>
              </c:strCache>
            </c:strRef>
          </c:cat>
          <c:val>
            <c:numRef>
              <c:f>数据处理!$C$5:$C$9</c:f>
              <c:numCache>
                <c:formatCode>General</c:formatCode>
                <c:ptCount val="5"/>
                <c:pt idx="0">
                  <c:v>35</c:v>
                </c:pt>
                <c:pt idx="1">
                  <c:v>40</c:v>
                </c:pt>
                <c:pt idx="2">
                  <c:v>43</c:v>
                </c:pt>
                <c:pt idx="3">
                  <c:v>38</c:v>
                </c:pt>
                <c:pt idx="4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9E-4376-B7BC-9160F61A830C}"/>
            </c:ext>
          </c:extLst>
        </c:ser>
        <c:ser>
          <c:idx val="1"/>
          <c:order val="1"/>
          <c:tx>
            <c:strRef>
              <c:f>数据处理!$D$4</c:f>
              <c:strCache>
                <c:ptCount val="1"/>
                <c:pt idx="0">
                  <c:v>0.7到1.5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数据处理!$B$5:$B$9</c:f>
              <c:strCache>
                <c:ptCount val="5"/>
                <c:pt idx="0">
                  <c:v>Qwen2.5-Omni</c:v>
                </c:pt>
                <c:pt idx="1">
                  <c:v>Qwen2.5-Math</c:v>
                </c:pt>
                <c:pt idx="2">
                  <c:v>Llama-3.2</c:v>
                </c:pt>
                <c:pt idx="3">
                  <c:v>Gemma-3</c:v>
                </c:pt>
                <c:pt idx="4">
                  <c:v>DeepSeek-R1-Distill</c:v>
                </c:pt>
              </c:strCache>
            </c:strRef>
          </c:cat>
          <c:val>
            <c:numRef>
              <c:f>数据处理!$D$5:$D$9</c:f>
              <c:numCache>
                <c:formatCode>General</c:formatCode>
                <c:ptCount val="5"/>
                <c:pt idx="0">
                  <c:v>32</c:v>
                </c:pt>
                <c:pt idx="1">
                  <c:v>32</c:v>
                </c:pt>
                <c:pt idx="2">
                  <c:v>27</c:v>
                </c:pt>
                <c:pt idx="3">
                  <c:v>30</c:v>
                </c:pt>
                <c:pt idx="4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9E-4376-B7BC-9160F61A830C}"/>
            </c:ext>
          </c:extLst>
        </c:ser>
        <c:ser>
          <c:idx val="2"/>
          <c:order val="2"/>
          <c:tx>
            <c:strRef>
              <c:f>数据处理!$E$4</c:f>
              <c:strCache>
                <c:ptCount val="1"/>
                <c:pt idx="0">
                  <c:v>1.5到5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数据处理!$B$5:$B$9</c:f>
              <c:strCache>
                <c:ptCount val="5"/>
                <c:pt idx="0">
                  <c:v>Qwen2.5-Omni</c:v>
                </c:pt>
                <c:pt idx="1">
                  <c:v>Qwen2.5-Math</c:v>
                </c:pt>
                <c:pt idx="2">
                  <c:v>Llama-3.2</c:v>
                </c:pt>
                <c:pt idx="3">
                  <c:v>Gemma-3</c:v>
                </c:pt>
                <c:pt idx="4">
                  <c:v>DeepSeek-R1-Distill</c:v>
                </c:pt>
              </c:strCache>
            </c:strRef>
          </c:cat>
          <c:val>
            <c:numRef>
              <c:f>数据处理!$E$5:$E$9</c:f>
              <c:numCache>
                <c:formatCode>General</c:formatCode>
                <c:ptCount val="5"/>
                <c:pt idx="0">
                  <c:v>11</c:v>
                </c:pt>
                <c:pt idx="1">
                  <c:v>8</c:v>
                </c:pt>
                <c:pt idx="2">
                  <c:v>14</c:v>
                </c:pt>
                <c:pt idx="3">
                  <c:v>17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C9E-4376-B7BC-9160F61A830C}"/>
            </c:ext>
          </c:extLst>
        </c:ser>
        <c:ser>
          <c:idx val="3"/>
          <c:order val="3"/>
          <c:tx>
            <c:strRef>
              <c:f>数据处理!$F$4</c:f>
              <c:strCache>
                <c:ptCount val="1"/>
                <c:pt idx="0">
                  <c:v>大于5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数据处理!$B$5:$B$9</c:f>
              <c:strCache>
                <c:ptCount val="5"/>
                <c:pt idx="0">
                  <c:v>Qwen2.5-Omni</c:v>
                </c:pt>
                <c:pt idx="1">
                  <c:v>Qwen2.5-Math</c:v>
                </c:pt>
                <c:pt idx="2">
                  <c:v>Llama-3.2</c:v>
                </c:pt>
                <c:pt idx="3">
                  <c:v>Gemma-3</c:v>
                </c:pt>
                <c:pt idx="4">
                  <c:v>DeepSeek-R1-Distill</c:v>
                </c:pt>
              </c:strCache>
            </c:strRef>
          </c:cat>
          <c:val>
            <c:numRef>
              <c:f>数据处理!$F$5:$F$9</c:f>
              <c:numCache>
                <c:formatCode>General</c:formatCode>
                <c:ptCount val="5"/>
                <c:pt idx="0">
                  <c:v>12</c:v>
                </c:pt>
                <c:pt idx="1">
                  <c:v>10</c:v>
                </c:pt>
                <c:pt idx="2">
                  <c:v>6</c:v>
                </c:pt>
                <c:pt idx="3">
                  <c:v>5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C9E-4376-B7BC-9160F61A83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4222991"/>
        <c:axId val="434213839"/>
      </c:barChart>
      <c:catAx>
        <c:axId val="434222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34213839"/>
        <c:crosses val="autoZero"/>
        <c:auto val="1"/>
        <c:lblAlgn val="ctr"/>
        <c:lblOffset val="100"/>
        <c:noMultiLvlLbl val="0"/>
      </c:catAx>
      <c:valAx>
        <c:axId val="434213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34222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虚拟反应训练时间与损失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数据处理!$P$4</c:f>
              <c:strCache>
                <c:ptCount val="1"/>
                <c:pt idx="0">
                  <c:v>训练时间(s)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数据处理!$O$5:$O$9</c:f>
              <c:strCache>
                <c:ptCount val="5"/>
                <c:pt idx="0">
                  <c:v>Qwen2.5-Omni</c:v>
                </c:pt>
                <c:pt idx="1">
                  <c:v>Qwen2.5-Math</c:v>
                </c:pt>
                <c:pt idx="2">
                  <c:v>Llama-3.2</c:v>
                </c:pt>
                <c:pt idx="3">
                  <c:v>Gemma-3</c:v>
                </c:pt>
                <c:pt idx="4">
                  <c:v>DeepSeek-R1-Distill</c:v>
                </c:pt>
              </c:strCache>
            </c:strRef>
          </c:cat>
          <c:val>
            <c:numRef>
              <c:f>数据处理!$P$5:$P$9</c:f>
              <c:numCache>
                <c:formatCode>General</c:formatCode>
                <c:ptCount val="5"/>
                <c:pt idx="0">
                  <c:v>18041</c:v>
                </c:pt>
                <c:pt idx="1">
                  <c:v>11554</c:v>
                </c:pt>
                <c:pt idx="2">
                  <c:v>16212</c:v>
                </c:pt>
                <c:pt idx="3">
                  <c:v>12030</c:v>
                </c:pt>
                <c:pt idx="4">
                  <c:v>10466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72-40A3-B3AF-CFABDC3400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91340127"/>
        <c:axId val="591345119"/>
      </c:barChart>
      <c:lineChart>
        <c:grouping val="standard"/>
        <c:varyColors val="0"/>
        <c:ser>
          <c:idx val="1"/>
          <c:order val="1"/>
          <c:tx>
            <c:strRef>
              <c:f>数据处理!$Q$4</c:f>
              <c:strCache>
                <c:ptCount val="1"/>
                <c:pt idx="0">
                  <c:v>训练损失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数据处理!$O$5:$O$9</c:f>
              <c:strCache>
                <c:ptCount val="5"/>
                <c:pt idx="0">
                  <c:v>Qwen2.5-Omni</c:v>
                </c:pt>
                <c:pt idx="1">
                  <c:v>Qwen2.5-Math</c:v>
                </c:pt>
                <c:pt idx="2">
                  <c:v>Llama-3.2</c:v>
                </c:pt>
                <c:pt idx="3">
                  <c:v>Gemma-3</c:v>
                </c:pt>
                <c:pt idx="4">
                  <c:v>DeepSeek-R1-Distill</c:v>
                </c:pt>
              </c:strCache>
            </c:strRef>
          </c:cat>
          <c:val>
            <c:numRef>
              <c:f>数据处理!$Q$5:$Q$9</c:f>
              <c:numCache>
                <c:formatCode>0.000</c:formatCode>
                <c:ptCount val="5"/>
                <c:pt idx="0">
                  <c:v>0.08</c:v>
                </c:pt>
                <c:pt idx="1">
                  <c:v>3.8399999999999997E-2</c:v>
                </c:pt>
                <c:pt idx="2">
                  <c:v>2.5399999999999999E-2</c:v>
                </c:pt>
                <c:pt idx="3">
                  <c:v>4.1500000000000002E-2</c:v>
                </c:pt>
                <c:pt idx="4">
                  <c:v>0.135238738270366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72-40A3-B3AF-CFABDC3400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1356351"/>
        <c:axId val="591334719"/>
      </c:lineChart>
      <c:catAx>
        <c:axId val="591340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91345119"/>
        <c:crosses val="autoZero"/>
        <c:auto val="1"/>
        <c:lblAlgn val="ctr"/>
        <c:lblOffset val="100"/>
        <c:noMultiLvlLbl val="0"/>
      </c:catAx>
      <c:valAx>
        <c:axId val="591345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91340127"/>
        <c:crosses val="autoZero"/>
        <c:crossBetween val="between"/>
      </c:valAx>
      <c:valAx>
        <c:axId val="591334719"/>
        <c:scaling>
          <c:orientation val="minMax"/>
        </c:scaling>
        <c:delete val="0"/>
        <c:axPos val="r"/>
        <c:numFmt formatCode="0.0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91356351"/>
        <c:crosses val="max"/>
        <c:crossBetween val="between"/>
      </c:valAx>
      <c:catAx>
        <c:axId val="59135635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9133471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真实反应训练时间与损失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数据处理!$P$4</c:f>
              <c:strCache>
                <c:ptCount val="1"/>
                <c:pt idx="0">
                  <c:v>训练时间(s)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数据处理!$O$18:$O$22</c:f>
              <c:strCache>
                <c:ptCount val="5"/>
                <c:pt idx="0">
                  <c:v>Qwen2.5-Omni</c:v>
                </c:pt>
                <c:pt idx="1">
                  <c:v>Qwen2.5-Math</c:v>
                </c:pt>
                <c:pt idx="2">
                  <c:v>Llama-3.2</c:v>
                </c:pt>
                <c:pt idx="3">
                  <c:v>Gemma-3</c:v>
                </c:pt>
                <c:pt idx="4">
                  <c:v>DeepSeek-R1-Distill</c:v>
                </c:pt>
              </c:strCache>
            </c:strRef>
          </c:cat>
          <c:val>
            <c:numRef>
              <c:f>数据处理!$P$18:$P$22</c:f>
              <c:numCache>
                <c:formatCode>General</c:formatCode>
                <c:ptCount val="5"/>
                <c:pt idx="0">
                  <c:v>23011</c:v>
                </c:pt>
                <c:pt idx="1">
                  <c:v>11857</c:v>
                </c:pt>
                <c:pt idx="2">
                  <c:v>15480</c:v>
                </c:pt>
                <c:pt idx="3">
                  <c:v>11935</c:v>
                </c:pt>
                <c:pt idx="4">
                  <c:v>11756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18-4315-8D87-2C6300E93C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91340127"/>
        <c:axId val="591345119"/>
      </c:barChart>
      <c:lineChart>
        <c:grouping val="standard"/>
        <c:varyColors val="0"/>
        <c:ser>
          <c:idx val="1"/>
          <c:order val="1"/>
          <c:tx>
            <c:strRef>
              <c:f>数据处理!$Q$4</c:f>
              <c:strCache>
                <c:ptCount val="1"/>
                <c:pt idx="0">
                  <c:v>训练损失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数据处理!$O$18:$O$22</c:f>
              <c:strCache>
                <c:ptCount val="5"/>
                <c:pt idx="0">
                  <c:v>Qwen2.5-Omni</c:v>
                </c:pt>
                <c:pt idx="1">
                  <c:v>Qwen2.5-Math</c:v>
                </c:pt>
                <c:pt idx="2">
                  <c:v>Llama-3.2</c:v>
                </c:pt>
                <c:pt idx="3">
                  <c:v>Gemma-3</c:v>
                </c:pt>
                <c:pt idx="4">
                  <c:v>DeepSeek-R1-Distill</c:v>
                </c:pt>
              </c:strCache>
            </c:strRef>
          </c:cat>
          <c:val>
            <c:numRef>
              <c:f>数据处理!$Q$18:$Q$22</c:f>
              <c:numCache>
                <c:formatCode>0.000</c:formatCode>
                <c:ptCount val="5"/>
                <c:pt idx="0">
                  <c:v>4.3999999999999997E-2</c:v>
                </c:pt>
                <c:pt idx="1">
                  <c:v>0.06</c:v>
                </c:pt>
                <c:pt idx="2">
                  <c:v>4.3999999999999997E-2</c:v>
                </c:pt>
                <c:pt idx="3">
                  <c:v>6.0999999999999999E-2</c:v>
                </c:pt>
                <c:pt idx="4">
                  <c:v>6.8000000000000005E-2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118-4315-8D87-2C6300E93C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1356351"/>
        <c:axId val="591334719"/>
      </c:lineChart>
      <c:catAx>
        <c:axId val="591340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91345119"/>
        <c:crosses val="autoZero"/>
        <c:auto val="1"/>
        <c:lblAlgn val="ctr"/>
        <c:lblOffset val="100"/>
        <c:noMultiLvlLbl val="0"/>
      </c:catAx>
      <c:valAx>
        <c:axId val="591345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91340127"/>
        <c:crosses val="autoZero"/>
        <c:crossBetween val="between"/>
      </c:valAx>
      <c:valAx>
        <c:axId val="591334719"/>
        <c:scaling>
          <c:orientation val="minMax"/>
        </c:scaling>
        <c:delete val="0"/>
        <c:axPos val="r"/>
        <c:numFmt formatCode="0.0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91356351"/>
        <c:crosses val="max"/>
        <c:crossBetween val="between"/>
      </c:valAx>
      <c:catAx>
        <c:axId val="59135635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9133471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相对误差分布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数据处理!$C$31</c:f>
              <c:strCache>
                <c:ptCount val="1"/>
                <c:pt idx="0">
                  <c:v>0到0.3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数据处理!$B$32:$B$36</c:f>
              <c:strCache>
                <c:ptCount val="5"/>
                <c:pt idx="0">
                  <c:v>Qwen2.5-Omni</c:v>
                </c:pt>
                <c:pt idx="1">
                  <c:v>Qwen2.5-Math</c:v>
                </c:pt>
                <c:pt idx="2">
                  <c:v>Llama-3.2</c:v>
                </c:pt>
                <c:pt idx="3">
                  <c:v>Gemma-3</c:v>
                </c:pt>
                <c:pt idx="4">
                  <c:v>DeepSeek-R1-Distill</c:v>
                </c:pt>
              </c:strCache>
            </c:strRef>
          </c:cat>
          <c:val>
            <c:numRef>
              <c:f>数据处理!$C$32:$C$36</c:f>
              <c:numCache>
                <c:formatCode>General</c:formatCode>
                <c:ptCount val="5"/>
                <c:pt idx="0">
                  <c:v>60</c:v>
                </c:pt>
                <c:pt idx="1">
                  <c:v>51</c:v>
                </c:pt>
                <c:pt idx="2">
                  <c:v>49</c:v>
                </c:pt>
                <c:pt idx="3">
                  <c:v>41</c:v>
                </c:pt>
                <c:pt idx="4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68-4667-8A85-A67025E0BB62}"/>
            </c:ext>
          </c:extLst>
        </c:ser>
        <c:ser>
          <c:idx val="1"/>
          <c:order val="1"/>
          <c:tx>
            <c:strRef>
              <c:f>数据处理!$D$31</c:f>
              <c:strCache>
                <c:ptCount val="1"/>
                <c:pt idx="0">
                  <c:v>0.3到0.7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数据处理!$B$32:$B$36</c:f>
              <c:strCache>
                <c:ptCount val="5"/>
                <c:pt idx="0">
                  <c:v>Qwen2.5-Omni</c:v>
                </c:pt>
                <c:pt idx="1">
                  <c:v>Qwen2.5-Math</c:v>
                </c:pt>
                <c:pt idx="2">
                  <c:v>Llama-3.2</c:v>
                </c:pt>
                <c:pt idx="3">
                  <c:v>Gemma-3</c:v>
                </c:pt>
                <c:pt idx="4">
                  <c:v>DeepSeek-R1-Distill</c:v>
                </c:pt>
              </c:strCache>
            </c:strRef>
          </c:cat>
          <c:val>
            <c:numRef>
              <c:f>数据处理!$D$32:$D$36</c:f>
              <c:numCache>
                <c:formatCode>General</c:formatCode>
                <c:ptCount val="5"/>
                <c:pt idx="0">
                  <c:v>12</c:v>
                </c:pt>
                <c:pt idx="1">
                  <c:v>16</c:v>
                </c:pt>
                <c:pt idx="2">
                  <c:v>16</c:v>
                </c:pt>
                <c:pt idx="3">
                  <c:v>20</c:v>
                </c:pt>
                <c:pt idx="4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68-4667-8A85-A67025E0BB62}"/>
            </c:ext>
          </c:extLst>
        </c:ser>
        <c:ser>
          <c:idx val="2"/>
          <c:order val="2"/>
          <c:tx>
            <c:strRef>
              <c:f>数据处理!$E$31</c:f>
              <c:strCache>
                <c:ptCount val="1"/>
                <c:pt idx="0">
                  <c:v>0.7到1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数据处理!$B$32:$B$36</c:f>
              <c:strCache>
                <c:ptCount val="5"/>
                <c:pt idx="0">
                  <c:v>Qwen2.5-Omni</c:v>
                </c:pt>
                <c:pt idx="1">
                  <c:v>Qwen2.5-Math</c:v>
                </c:pt>
                <c:pt idx="2">
                  <c:v>Llama-3.2</c:v>
                </c:pt>
                <c:pt idx="3">
                  <c:v>Gemma-3</c:v>
                </c:pt>
                <c:pt idx="4">
                  <c:v>DeepSeek-R1-Distill</c:v>
                </c:pt>
              </c:strCache>
            </c:strRef>
          </c:cat>
          <c:val>
            <c:numRef>
              <c:f>数据处理!$E$32:$E$36</c:f>
              <c:numCache>
                <c:formatCode>General</c:formatCode>
                <c:ptCount val="5"/>
                <c:pt idx="0">
                  <c:v>6</c:v>
                </c:pt>
                <c:pt idx="1">
                  <c:v>7</c:v>
                </c:pt>
                <c:pt idx="2">
                  <c:v>12</c:v>
                </c:pt>
                <c:pt idx="3">
                  <c:v>13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168-4667-8A85-A67025E0BB62}"/>
            </c:ext>
          </c:extLst>
        </c:ser>
        <c:ser>
          <c:idx val="3"/>
          <c:order val="3"/>
          <c:tx>
            <c:strRef>
              <c:f>数据处理!$F$31</c:f>
              <c:strCache>
                <c:ptCount val="1"/>
                <c:pt idx="0">
                  <c:v>大于1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数据处理!$B$32:$B$36</c:f>
              <c:strCache>
                <c:ptCount val="5"/>
                <c:pt idx="0">
                  <c:v>Qwen2.5-Omni</c:v>
                </c:pt>
                <c:pt idx="1">
                  <c:v>Qwen2.5-Math</c:v>
                </c:pt>
                <c:pt idx="2">
                  <c:v>Llama-3.2</c:v>
                </c:pt>
                <c:pt idx="3">
                  <c:v>Gemma-3</c:v>
                </c:pt>
                <c:pt idx="4">
                  <c:v>DeepSeek-R1-Distill</c:v>
                </c:pt>
              </c:strCache>
            </c:strRef>
          </c:cat>
          <c:val>
            <c:numRef>
              <c:f>数据处理!$F$32:$F$36</c:f>
              <c:numCache>
                <c:formatCode>General</c:formatCode>
                <c:ptCount val="5"/>
                <c:pt idx="0">
                  <c:v>10</c:v>
                </c:pt>
                <c:pt idx="1">
                  <c:v>14</c:v>
                </c:pt>
                <c:pt idx="2">
                  <c:v>11</c:v>
                </c:pt>
                <c:pt idx="3">
                  <c:v>14</c:v>
                </c:pt>
                <c:pt idx="4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168-4667-8A85-A67025E0BB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4222991"/>
        <c:axId val="434213839"/>
      </c:barChart>
      <c:catAx>
        <c:axId val="434222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34213839"/>
        <c:crosses val="autoZero"/>
        <c:auto val="1"/>
        <c:lblAlgn val="ctr"/>
        <c:lblOffset val="100"/>
        <c:noMultiLvlLbl val="0"/>
      </c:catAx>
      <c:valAx>
        <c:axId val="434213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34222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数据处理!$K$64</c:f>
              <c:strCache>
                <c:ptCount val="1"/>
                <c:pt idx="0">
                  <c:v>Qwen2.5-Omni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数据处理!$J$65:$J$71</c:f>
              <c:strCache>
                <c:ptCount val="7"/>
                <c:pt idx="0">
                  <c:v>P</c:v>
                </c:pt>
                <c:pt idx="1">
                  <c:v>R</c:v>
                </c:pt>
                <c:pt idx="2">
                  <c:v>F1</c:v>
                </c:pt>
                <c:pt idx="3">
                  <c:v>BLEU-4</c:v>
                </c:pt>
                <c:pt idx="4">
                  <c:v>rogue-l</c:v>
                </c:pt>
                <c:pt idx="5">
                  <c:v>Relative Error</c:v>
                </c:pt>
                <c:pt idx="6">
                  <c:v>Training Loss</c:v>
                </c:pt>
              </c:strCache>
            </c:strRef>
          </c:cat>
          <c:val>
            <c:numRef>
              <c:f>数据处理!$K$65:$K$71</c:f>
              <c:numCache>
                <c:formatCode>0.000</c:formatCode>
                <c:ptCount val="7"/>
                <c:pt idx="0">
                  <c:v>0.99596283170912003</c:v>
                </c:pt>
                <c:pt idx="1">
                  <c:v>0.99606838226318362</c:v>
                </c:pt>
                <c:pt idx="2">
                  <c:v>0.99619594083891971</c:v>
                </c:pt>
                <c:pt idx="3" formatCode="General">
                  <c:v>0.97699999999999998</c:v>
                </c:pt>
                <c:pt idx="4" formatCode="General">
                  <c:v>0.99199999999999999</c:v>
                </c:pt>
                <c:pt idx="5" formatCode="General">
                  <c:v>0</c:v>
                </c:pt>
                <c:pt idx="6">
                  <c:v>0.08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B2-4F6B-B16B-E76B226B6F1B}"/>
            </c:ext>
          </c:extLst>
        </c:ser>
        <c:ser>
          <c:idx val="1"/>
          <c:order val="1"/>
          <c:tx>
            <c:strRef>
              <c:f>数据处理!$L$64</c:f>
              <c:strCache>
                <c:ptCount val="1"/>
                <c:pt idx="0">
                  <c:v>Qwen2.5-Math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数据处理!$J$65:$J$71</c:f>
              <c:strCache>
                <c:ptCount val="7"/>
                <c:pt idx="0">
                  <c:v>P</c:v>
                </c:pt>
                <c:pt idx="1">
                  <c:v>R</c:v>
                </c:pt>
                <c:pt idx="2">
                  <c:v>F1</c:v>
                </c:pt>
                <c:pt idx="3">
                  <c:v>BLEU-4</c:v>
                </c:pt>
                <c:pt idx="4">
                  <c:v>rogue-l</c:v>
                </c:pt>
                <c:pt idx="5">
                  <c:v>Relative Error</c:v>
                </c:pt>
                <c:pt idx="6">
                  <c:v>Training Loss</c:v>
                </c:pt>
              </c:strCache>
            </c:strRef>
          </c:cat>
          <c:val>
            <c:numRef>
              <c:f>数据处理!$L$65:$L$71</c:f>
              <c:numCache>
                <c:formatCode>0.000</c:formatCode>
                <c:ptCount val="7"/>
                <c:pt idx="0">
                  <c:v>0.99727540347311228</c:v>
                </c:pt>
                <c:pt idx="1">
                  <c:v>0.99701445036464265</c:v>
                </c:pt>
                <c:pt idx="2">
                  <c:v>0.99676674670643273</c:v>
                </c:pt>
                <c:pt idx="3" formatCode="General">
                  <c:v>0.97799999999999998</c:v>
                </c:pt>
                <c:pt idx="4" formatCode="General">
                  <c:v>0.99199999999999999</c:v>
                </c:pt>
                <c:pt idx="5" formatCode="General">
                  <c:v>0</c:v>
                </c:pt>
                <c:pt idx="6">
                  <c:v>3.8399999999999997E-2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B2-4F6B-B16B-E76B226B6F1B}"/>
            </c:ext>
          </c:extLst>
        </c:ser>
        <c:ser>
          <c:idx val="2"/>
          <c:order val="2"/>
          <c:tx>
            <c:strRef>
              <c:f>数据处理!$M$64</c:f>
              <c:strCache>
                <c:ptCount val="1"/>
                <c:pt idx="0">
                  <c:v>Llama-3.2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数据处理!$J$65:$J$71</c:f>
              <c:strCache>
                <c:ptCount val="7"/>
                <c:pt idx="0">
                  <c:v>P</c:v>
                </c:pt>
                <c:pt idx="1">
                  <c:v>R</c:v>
                </c:pt>
                <c:pt idx="2">
                  <c:v>F1</c:v>
                </c:pt>
                <c:pt idx="3">
                  <c:v>BLEU-4</c:v>
                </c:pt>
                <c:pt idx="4">
                  <c:v>rogue-l</c:v>
                </c:pt>
                <c:pt idx="5">
                  <c:v>Relative Error</c:v>
                </c:pt>
                <c:pt idx="6">
                  <c:v>Training Loss</c:v>
                </c:pt>
              </c:strCache>
            </c:strRef>
          </c:cat>
          <c:val>
            <c:numRef>
              <c:f>数据处理!$M$65:$M$71</c:f>
              <c:numCache>
                <c:formatCode>0.000</c:formatCode>
                <c:ptCount val="7"/>
                <c:pt idx="0">
                  <c:v>0.99743474655681186</c:v>
                </c:pt>
                <c:pt idx="1">
                  <c:v>0.99709899822870895</c:v>
                </c:pt>
                <c:pt idx="2">
                  <c:v>0.99677523109647959</c:v>
                </c:pt>
                <c:pt idx="3" formatCode="General">
                  <c:v>0.98199999999999998</c:v>
                </c:pt>
                <c:pt idx="4" formatCode="General">
                  <c:v>0.99199999999999999</c:v>
                </c:pt>
                <c:pt idx="5" formatCode="General">
                  <c:v>0</c:v>
                </c:pt>
                <c:pt idx="6">
                  <c:v>2.5399999999999999E-2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4B2-4F6B-B16B-E76B226B6F1B}"/>
            </c:ext>
          </c:extLst>
        </c:ser>
        <c:ser>
          <c:idx val="3"/>
          <c:order val="3"/>
          <c:tx>
            <c:strRef>
              <c:f>数据处理!$N$64</c:f>
              <c:strCache>
                <c:ptCount val="1"/>
                <c:pt idx="0">
                  <c:v>Gemma-3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数据处理!$J$65:$J$71</c:f>
              <c:strCache>
                <c:ptCount val="7"/>
                <c:pt idx="0">
                  <c:v>P</c:v>
                </c:pt>
                <c:pt idx="1">
                  <c:v>R</c:v>
                </c:pt>
                <c:pt idx="2">
                  <c:v>F1</c:v>
                </c:pt>
                <c:pt idx="3">
                  <c:v>BLEU-4</c:v>
                </c:pt>
                <c:pt idx="4">
                  <c:v>rogue-l</c:v>
                </c:pt>
                <c:pt idx="5">
                  <c:v>Relative Error</c:v>
                </c:pt>
                <c:pt idx="6">
                  <c:v>Training Loss</c:v>
                </c:pt>
              </c:strCache>
            </c:strRef>
          </c:cat>
          <c:val>
            <c:numRef>
              <c:f>数据处理!$N$65:$N$71</c:f>
              <c:numCache>
                <c:formatCode>0.000</c:formatCode>
                <c:ptCount val="7"/>
                <c:pt idx="0">
                  <c:v>0.99692602488729687</c:v>
                </c:pt>
                <c:pt idx="1">
                  <c:v>0.9968295693397522</c:v>
                </c:pt>
                <c:pt idx="2">
                  <c:v>0.99674810568491623</c:v>
                </c:pt>
                <c:pt idx="3" formatCode="General">
                  <c:v>0.97799999999999998</c:v>
                </c:pt>
                <c:pt idx="4" formatCode="General">
                  <c:v>0.99199999999999999</c:v>
                </c:pt>
                <c:pt idx="5" formatCode="General">
                  <c:v>0</c:v>
                </c:pt>
                <c:pt idx="6">
                  <c:v>4.1500000000000002E-2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4B2-4F6B-B16B-E76B226B6F1B}"/>
            </c:ext>
          </c:extLst>
        </c:ser>
        <c:ser>
          <c:idx val="4"/>
          <c:order val="4"/>
          <c:tx>
            <c:strRef>
              <c:f>数据处理!$O$64</c:f>
              <c:strCache>
                <c:ptCount val="1"/>
                <c:pt idx="0">
                  <c:v>DeepSeek-R1-Distill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4B2-4F6B-B16B-E76B226B6F1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数据处理!$J$65:$J$71</c:f>
              <c:strCache>
                <c:ptCount val="7"/>
                <c:pt idx="0">
                  <c:v>P</c:v>
                </c:pt>
                <c:pt idx="1">
                  <c:v>R</c:v>
                </c:pt>
                <c:pt idx="2">
                  <c:v>F1</c:v>
                </c:pt>
                <c:pt idx="3">
                  <c:v>BLEU-4</c:v>
                </c:pt>
                <c:pt idx="4">
                  <c:v>rogue-l</c:v>
                </c:pt>
                <c:pt idx="5">
                  <c:v>Relative Error</c:v>
                </c:pt>
                <c:pt idx="6">
                  <c:v>Training Loss</c:v>
                </c:pt>
              </c:strCache>
            </c:strRef>
          </c:cat>
          <c:val>
            <c:numRef>
              <c:f>数据处理!$O$65:$O$71</c:f>
              <c:numCache>
                <c:formatCode>0.000</c:formatCode>
                <c:ptCount val="7"/>
                <c:pt idx="0">
                  <c:v>0.96877436108059356</c:v>
                </c:pt>
                <c:pt idx="1">
                  <c:v>0.915704884131749</c:v>
                </c:pt>
                <c:pt idx="2">
                  <c:v>0.88750714626577165</c:v>
                </c:pt>
                <c:pt idx="3" formatCode="General">
                  <c:v>0.78300000000000003</c:v>
                </c:pt>
                <c:pt idx="4" formatCode="General">
                  <c:v>0.83499999999999996</c:v>
                </c:pt>
                <c:pt idx="5" formatCode="General">
                  <c:v>0</c:v>
                </c:pt>
                <c:pt idx="6">
                  <c:v>0.135238738270366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4B2-4F6B-B16B-E76B226B6F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5603632"/>
        <c:axId val="345586576"/>
      </c:radarChart>
      <c:catAx>
        <c:axId val="345603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45586576"/>
        <c:crosses val="autoZero"/>
        <c:auto val="1"/>
        <c:lblAlgn val="ctr"/>
        <c:lblOffset val="100"/>
        <c:noMultiLvlLbl val="0"/>
      </c:catAx>
      <c:valAx>
        <c:axId val="345586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45603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266700</xdr:colOff>
      <xdr:row>10</xdr:row>
      <xdr:rowOff>33337</xdr:rowOff>
    </xdr:from>
    <xdr:to>
      <xdr:col>6</xdr:col>
      <xdr:colOff>276225</xdr:colOff>
      <xdr:row>25</xdr:row>
      <xdr:rowOff>61912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638CD039-2782-41A0-BDB3-B34DFF9587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80962</xdr:colOff>
      <xdr:row>14</xdr:row>
      <xdr:rowOff>85725</xdr:rowOff>
    </xdr:from>
    <xdr:to>
      <xdr:col>12</xdr:col>
      <xdr:colOff>185737</xdr:colOff>
      <xdr:row>29</xdr:row>
      <xdr:rowOff>114300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B456C33E-F3E0-4BA0-8483-6DB73ED026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371475</xdr:colOff>
      <xdr:row>24</xdr:row>
      <xdr:rowOff>85725</xdr:rowOff>
    </xdr:from>
    <xdr:to>
      <xdr:col>18</xdr:col>
      <xdr:colOff>657225</xdr:colOff>
      <xdr:row>39</xdr:row>
      <xdr:rowOff>114300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2D64481B-F63F-4BAF-B9D2-BF68298664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381000</xdr:colOff>
      <xdr:row>38</xdr:row>
      <xdr:rowOff>38100</xdr:rowOff>
    </xdr:from>
    <xdr:to>
      <xdr:col>6</xdr:col>
      <xdr:colOff>390525</xdr:colOff>
      <xdr:row>53</xdr:row>
      <xdr:rowOff>85725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4B603E1E-42B8-4895-AF32-AB28D8CF75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317500</xdr:colOff>
      <xdr:row>56</xdr:row>
      <xdr:rowOff>64052</xdr:rowOff>
    </xdr:from>
    <xdr:to>
      <xdr:col>20</xdr:col>
      <xdr:colOff>427935</xdr:colOff>
      <xdr:row>71</xdr:row>
      <xdr:rowOff>156818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702F7E3E-244E-4A99-87B5-627CF09793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AL72"/>
  <sheetViews>
    <sheetView tabSelected="1" zoomScale="55" zoomScaleNormal="55" workbookViewId="0">
      <selection activeCell="X53" sqref="X53:AC61"/>
    </sheetView>
  </sheetViews>
  <sheetFormatPr defaultRowHeight="14" x14ac:dyDescent="0.3"/>
  <cols>
    <col min="2" max="2" width="18.83203125" bestFit="1" customWidth="1"/>
    <col min="3" max="3" width="6.75" bestFit="1" customWidth="1"/>
    <col min="4" max="4" width="8.08203125" bestFit="1" customWidth="1"/>
    <col min="5" max="5" width="6.75" bestFit="1" customWidth="1"/>
    <col min="6" max="6" width="6.25" bestFit="1" customWidth="1"/>
    <col min="8" max="8" width="13.83203125" bestFit="1" customWidth="1"/>
    <col min="9" max="9" width="18.83203125" bestFit="1" customWidth="1"/>
    <col min="10" max="10" width="13" bestFit="1" customWidth="1"/>
    <col min="11" max="11" width="8.25" bestFit="1" customWidth="1"/>
    <col min="12" max="12" width="8.83203125" bestFit="1" customWidth="1"/>
    <col min="13" max="13" width="11.83203125" bestFit="1" customWidth="1"/>
    <col min="15" max="15" width="18.83203125" bestFit="1" customWidth="1"/>
    <col min="16" max="16" width="10.83203125" bestFit="1" customWidth="1"/>
    <col min="17" max="17" width="9" bestFit="1" customWidth="1"/>
    <col min="18" max="18" width="12.75" bestFit="1" customWidth="1"/>
    <col min="19" max="19" width="18.83203125" bestFit="1" customWidth="1"/>
    <col min="20" max="20" width="7.08203125" bestFit="1" customWidth="1"/>
    <col min="21" max="22" width="5.83203125" bestFit="1" customWidth="1"/>
    <col min="23" max="23" width="9.33203125" bestFit="1" customWidth="1"/>
    <col min="24" max="25" width="8.33203125" bestFit="1" customWidth="1"/>
    <col min="26" max="26" width="7.75" bestFit="1" customWidth="1"/>
    <col min="28" max="28" width="18.83203125" bestFit="1" customWidth="1"/>
  </cols>
  <sheetData>
    <row r="3" spans="2:38" x14ac:dyDescent="0.3">
      <c r="I3" s="24" t="s">
        <v>8</v>
      </c>
      <c r="J3" s="28"/>
      <c r="K3" s="28"/>
      <c r="L3" s="28"/>
      <c r="M3" s="25"/>
      <c r="O3" s="23" t="s">
        <v>13</v>
      </c>
      <c r="P3" s="23"/>
      <c r="Q3" s="23"/>
      <c r="S3" s="23" t="s">
        <v>2</v>
      </c>
      <c r="T3" s="23" t="s">
        <v>12</v>
      </c>
      <c r="U3" s="23"/>
      <c r="V3" s="23"/>
      <c r="W3" s="9" t="s">
        <v>28</v>
      </c>
      <c r="X3" s="23" t="s">
        <v>29</v>
      </c>
      <c r="Y3" s="23"/>
      <c r="Z3" s="23"/>
      <c r="AB3" s="23" t="s">
        <v>2</v>
      </c>
      <c r="AC3" s="22" t="s">
        <v>41</v>
      </c>
      <c r="AD3" s="22"/>
      <c r="AE3" s="22" t="s">
        <v>42</v>
      </c>
      <c r="AF3" s="22"/>
      <c r="AG3" s="22"/>
      <c r="AH3" s="22"/>
      <c r="AI3" s="23" t="s">
        <v>12</v>
      </c>
      <c r="AJ3" s="23"/>
      <c r="AK3" s="23"/>
      <c r="AL3" s="2"/>
    </row>
    <row r="4" spans="2:38" x14ac:dyDescent="0.3">
      <c r="B4" s="1" t="s">
        <v>2</v>
      </c>
      <c r="C4" s="1" t="s">
        <v>0</v>
      </c>
      <c r="D4" s="1" t="s">
        <v>4</v>
      </c>
      <c r="E4" s="1" t="s">
        <v>21</v>
      </c>
      <c r="F4" s="1" t="s">
        <v>20</v>
      </c>
      <c r="I4" s="8" t="s">
        <v>1</v>
      </c>
      <c r="J4" s="1" t="s">
        <v>3</v>
      </c>
      <c r="K4" s="1" t="s">
        <v>5</v>
      </c>
      <c r="L4" s="1" t="s">
        <v>6</v>
      </c>
      <c r="M4" s="1" t="s">
        <v>7</v>
      </c>
      <c r="O4" s="1" t="s">
        <v>2</v>
      </c>
      <c r="P4" s="1" t="s">
        <v>14</v>
      </c>
      <c r="Q4" s="1" t="s">
        <v>15</v>
      </c>
      <c r="S4" s="23"/>
      <c r="T4" s="9" t="s">
        <v>9</v>
      </c>
      <c r="U4" s="9" t="s">
        <v>11</v>
      </c>
      <c r="V4" s="9" t="s">
        <v>10</v>
      </c>
      <c r="W4" s="9" t="s">
        <v>27</v>
      </c>
      <c r="X4" s="9" t="s">
        <v>30</v>
      </c>
      <c r="Y4" s="9" t="s">
        <v>31</v>
      </c>
      <c r="Z4" s="9" t="s">
        <v>32</v>
      </c>
      <c r="AB4" s="23"/>
      <c r="AC4" s="7" t="s">
        <v>61</v>
      </c>
      <c r="AD4" s="7" t="s">
        <v>15</v>
      </c>
      <c r="AE4" s="7" t="s">
        <v>61</v>
      </c>
      <c r="AF4" s="7" t="s">
        <v>15</v>
      </c>
      <c r="AG4" s="12" t="s">
        <v>44</v>
      </c>
      <c r="AH4" s="12" t="s">
        <v>8</v>
      </c>
      <c r="AI4" s="12" t="s">
        <v>9</v>
      </c>
      <c r="AJ4" s="12" t="s">
        <v>11</v>
      </c>
      <c r="AK4" s="12" t="s">
        <v>10</v>
      </c>
      <c r="AL4" s="2" t="s">
        <v>59</v>
      </c>
    </row>
    <row r="5" spans="2:38" x14ac:dyDescent="0.3">
      <c r="B5" s="9" t="s">
        <v>33</v>
      </c>
      <c r="C5" s="1">
        <v>35</v>
      </c>
      <c r="D5" s="1">
        <v>32</v>
      </c>
      <c r="E5" s="1">
        <v>11</v>
      </c>
      <c r="F5" s="1">
        <v>12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O5" s="9" t="s">
        <v>33</v>
      </c>
      <c r="P5" s="5">
        <v>18041</v>
      </c>
      <c r="Q5" s="6">
        <v>0.08</v>
      </c>
      <c r="S5" s="10" t="s">
        <v>33</v>
      </c>
      <c r="T5" s="6">
        <v>0.99596283170912003</v>
      </c>
      <c r="U5" s="6">
        <v>0.99606838226318362</v>
      </c>
      <c r="V5" s="6">
        <v>0.99619594083891971</v>
      </c>
      <c r="W5" s="9">
        <v>0.97699999999999998</v>
      </c>
      <c r="X5" s="9">
        <v>0.97799999999999998</v>
      </c>
      <c r="Y5" s="9">
        <v>0.97399999999999998</v>
      </c>
      <c r="Z5" s="9">
        <v>0.99199999999999999</v>
      </c>
      <c r="AB5" s="12" t="s">
        <v>33</v>
      </c>
      <c r="AC5" s="5">
        <v>18041</v>
      </c>
      <c r="AD5" s="6">
        <v>0.08</v>
      </c>
      <c r="AE5" s="5">
        <v>23011</v>
      </c>
      <c r="AF5" s="6">
        <v>4.3999999999999997E-2</v>
      </c>
      <c r="AG5" s="12">
        <v>60</v>
      </c>
      <c r="AH5" s="3" t="s">
        <v>51</v>
      </c>
      <c r="AI5" s="6">
        <v>0.97835212471810251</v>
      </c>
      <c r="AJ5" s="6">
        <v>0.97884384204040875</v>
      </c>
      <c r="AK5" s="6">
        <v>0.97859493236650119</v>
      </c>
      <c r="AL5" s="17">
        <v>0.97727272727272696</v>
      </c>
    </row>
    <row r="6" spans="2:38" x14ac:dyDescent="0.3">
      <c r="B6" s="9" t="s">
        <v>34</v>
      </c>
      <c r="C6" s="1">
        <v>40</v>
      </c>
      <c r="D6" s="1">
        <v>32</v>
      </c>
      <c r="E6" s="1">
        <v>8</v>
      </c>
      <c r="F6" s="1">
        <v>10</v>
      </c>
      <c r="I6" s="2" t="s">
        <v>16</v>
      </c>
      <c r="J6" s="2" t="s">
        <v>19</v>
      </c>
      <c r="K6" s="2" t="s">
        <v>50</v>
      </c>
      <c r="L6" s="2"/>
      <c r="M6" s="2"/>
      <c r="O6" s="9" t="s">
        <v>34</v>
      </c>
      <c r="P6" s="5">
        <v>11554</v>
      </c>
      <c r="Q6" s="6">
        <v>3.8399999999999997E-2</v>
      </c>
      <c r="S6" s="10" t="s">
        <v>34</v>
      </c>
      <c r="T6" s="6">
        <v>0.99727540347311228</v>
      </c>
      <c r="U6" s="6">
        <v>0.99701445036464265</v>
      </c>
      <c r="V6" s="6">
        <v>0.99676674670643273</v>
      </c>
      <c r="W6" s="9">
        <v>0.97799999999999998</v>
      </c>
      <c r="X6" s="9">
        <v>0.97799999999999998</v>
      </c>
      <c r="Y6" s="9">
        <v>0.97399999999999998</v>
      </c>
      <c r="Z6" s="9">
        <v>0.99199999999999999</v>
      </c>
      <c r="AB6" s="12" t="s">
        <v>34</v>
      </c>
      <c r="AC6" s="5">
        <v>11554</v>
      </c>
      <c r="AD6" s="6">
        <v>3.8399999999999997E-2</v>
      </c>
      <c r="AE6" s="5">
        <v>11857</v>
      </c>
      <c r="AF6" s="6">
        <v>0.06</v>
      </c>
      <c r="AG6" s="12">
        <v>51</v>
      </c>
      <c r="AH6" s="3" t="s">
        <v>52</v>
      </c>
      <c r="AI6" s="6">
        <v>0.97693803703243087</v>
      </c>
      <c r="AJ6" s="6">
        <v>0.97722088477828284</v>
      </c>
      <c r="AK6" s="6">
        <v>0.97707488387823105</v>
      </c>
      <c r="AL6" s="17">
        <v>1</v>
      </c>
    </row>
    <row r="7" spans="2:38" x14ac:dyDescent="0.3">
      <c r="B7" s="9" t="s">
        <v>35</v>
      </c>
      <c r="C7" s="1">
        <v>43</v>
      </c>
      <c r="D7" s="1">
        <v>27</v>
      </c>
      <c r="E7" s="1">
        <v>14</v>
      </c>
      <c r="F7" s="1">
        <v>6</v>
      </c>
      <c r="O7" s="9" t="s">
        <v>35</v>
      </c>
      <c r="P7" s="5">
        <v>16212</v>
      </c>
      <c r="Q7" s="6">
        <v>2.5399999999999999E-2</v>
      </c>
      <c r="S7" s="10" t="s">
        <v>35</v>
      </c>
      <c r="T7" s="6">
        <v>0.99743474655681186</v>
      </c>
      <c r="U7" s="6">
        <v>0.99709899822870895</v>
      </c>
      <c r="V7" s="6">
        <v>0.99677523109647959</v>
      </c>
      <c r="W7" s="9">
        <v>0.98199999999999998</v>
      </c>
      <c r="X7" s="9">
        <v>0.97799999999999998</v>
      </c>
      <c r="Y7" s="9">
        <v>0.97399999999999998</v>
      </c>
      <c r="Z7" s="9">
        <v>0.99199999999999999</v>
      </c>
      <c r="AB7" s="12" t="s">
        <v>35</v>
      </c>
      <c r="AC7" s="5">
        <v>16212</v>
      </c>
      <c r="AD7" s="6">
        <v>2.5399999999999999E-2</v>
      </c>
      <c r="AE7" s="5">
        <v>15480</v>
      </c>
      <c r="AF7" s="6">
        <v>4.3999999999999997E-2</v>
      </c>
      <c r="AG7" s="12">
        <v>49</v>
      </c>
      <c r="AH7" s="3" t="s">
        <v>53</v>
      </c>
      <c r="AI7" s="6">
        <v>0.97707310386679391</v>
      </c>
      <c r="AJ7" s="6">
        <v>0.97747543183240027</v>
      </c>
      <c r="AK7" s="6">
        <v>0.97727257826111535</v>
      </c>
      <c r="AL7" s="17">
        <v>1</v>
      </c>
    </row>
    <row r="8" spans="2:38" x14ac:dyDescent="0.3">
      <c r="B8" s="9" t="s">
        <v>36</v>
      </c>
      <c r="C8" s="1">
        <v>38</v>
      </c>
      <c r="D8" s="1">
        <v>30</v>
      </c>
      <c r="E8" s="1">
        <v>17</v>
      </c>
      <c r="F8" s="1">
        <v>5</v>
      </c>
      <c r="I8" s="8" t="s">
        <v>2</v>
      </c>
      <c r="J8" s="8" t="s">
        <v>8</v>
      </c>
      <c r="L8" s="4"/>
      <c r="O8" s="9" t="s">
        <v>36</v>
      </c>
      <c r="P8" s="5">
        <v>12030</v>
      </c>
      <c r="Q8" s="6">
        <v>4.1500000000000002E-2</v>
      </c>
      <c r="S8" s="10" t="s">
        <v>36</v>
      </c>
      <c r="T8" s="6">
        <v>0.99692602488729687</v>
      </c>
      <c r="U8" s="6">
        <v>0.9968295693397522</v>
      </c>
      <c r="V8" s="6">
        <v>0.99674810568491623</v>
      </c>
      <c r="W8" s="9">
        <v>0.97799999999999998</v>
      </c>
      <c r="X8" s="9">
        <v>0.97899999999999998</v>
      </c>
      <c r="Y8" s="9">
        <v>0.97499999999999998</v>
      </c>
      <c r="Z8" s="9">
        <v>0.99199999999999999</v>
      </c>
      <c r="AB8" s="12" t="s">
        <v>36</v>
      </c>
      <c r="AC8" s="5">
        <v>12030</v>
      </c>
      <c r="AD8" s="6">
        <v>4.1500000000000002E-2</v>
      </c>
      <c r="AE8" s="5">
        <v>11935</v>
      </c>
      <c r="AF8" s="6">
        <v>6.0999999999999999E-2</v>
      </c>
      <c r="AG8" s="12">
        <v>41</v>
      </c>
      <c r="AH8" s="3" t="s">
        <v>54</v>
      </c>
      <c r="AI8" s="6">
        <v>0.97632084719159384</v>
      </c>
      <c r="AJ8" s="6">
        <v>0.97711000252853741</v>
      </c>
      <c r="AK8" s="6">
        <v>0.9767130728472363</v>
      </c>
      <c r="AL8" s="17">
        <v>1</v>
      </c>
    </row>
    <row r="9" spans="2:38" x14ac:dyDescent="0.3">
      <c r="B9" s="9" t="s">
        <v>37</v>
      </c>
      <c r="C9" s="1">
        <v>33</v>
      </c>
      <c r="D9" s="1">
        <v>46</v>
      </c>
      <c r="E9" s="1">
        <v>5</v>
      </c>
      <c r="F9" s="1">
        <v>6</v>
      </c>
      <c r="I9" s="8" t="s">
        <v>33</v>
      </c>
      <c r="J9" s="3" t="s">
        <v>22</v>
      </c>
      <c r="L9" s="14"/>
      <c r="O9" s="9" t="s">
        <v>37</v>
      </c>
      <c r="P9" s="5">
        <v>10466</v>
      </c>
      <c r="Q9" s="6">
        <v>0.135238738270366</v>
      </c>
      <c r="S9" s="10" t="s">
        <v>37</v>
      </c>
      <c r="T9" s="6">
        <v>0.96877436108059356</v>
      </c>
      <c r="U9" s="6">
        <v>0.915704884131749</v>
      </c>
      <c r="V9" s="6">
        <v>0.88750714626577165</v>
      </c>
      <c r="W9" s="9">
        <v>0.78300000000000003</v>
      </c>
      <c r="X9" s="9">
        <v>0.85699999999999998</v>
      </c>
      <c r="Y9" s="9">
        <v>0.81899999999999995</v>
      </c>
      <c r="Z9" s="9">
        <v>0.83499999999999996</v>
      </c>
      <c r="AB9" s="12" t="s">
        <v>37</v>
      </c>
      <c r="AC9" s="5">
        <v>10466</v>
      </c>
      <c r="AD9" s="6">
        <v>0.135238738270366</v>
      </c>
      <c r="AE9" s="5">
        <v>11756</v>
      </c>
      <c r="AF9" s="6">
        <v>6.8000000000000005E-2</v>
      </c>
      <c r="AG9" s="12">
        <v>58</v>
      </c>
      <c r="AH9" s="3" t="s">
        <v>51</v>
      </c>
      <c r="AI9" s="6">
        <v>0.98034146969968627</v>
      </c>
      <c r="AJ9" s="6">
        <v>0.98118849030949851</v>
      </c>
      <c r="AK9" s="6">
        <v>0.98076294227079908</v>
      </c>
      <c r="AL9" s="17">
        <v>0.97727272727272729</v>
      </c>
    </row>
    <row r="10" spans="2:38" x14ac:dyDescent="0.3">
      <c r="B10" s="2" t="s">
        <v>19</v>
      </c>
      <c r="C10" s="2"/>
      <c r="D10" s="2"/>
      <c r="E10" s="2"/>
      <c r="F10" s="2"/>
      <c r="I10" s="8" t="s">
        <v>34</v>
      </c>
      <c r="J10" s="3" t="s">
        <v>23</v>
      </c>
      <c r="L10" s="14"/>
      <c r="O10" s="26" t="s">
        <v>17</v>
      </c>
      <c r="P10" s="27"/>
      <c r="Q10" s="2"/>
      <c r="S10" s="7" t="s">
        <v>18</v>
      </c>
      <c r="T10" s="9" t="s">
        <v>16</v>
      </c>
      <c r="U10" s="9"/>
      <c r="V10" s="9"/>
      <c r="W10" s="9"/>
      <c r="X10" s="9"/>
      <c r="Y10" s="9"/>
      <c r="Z10" s="9"/>
      <c r="AB10" s="18" t="s">
        <v>60</v>
      </c>
    </row>
    <row r="11" spans="2:38" x14ac:dyDescent="0.3">
      <c r="I11" s="8" t="s">
        <v>35</v>
      </c>
      <c r="J11" s="3" t="s">
        <v>24</v>
      </c>
      <c r="L11" s="14"/>
      <c r="S11" s="13" t="s">
        <v>41</v>
      </c>
    </row>
    <row r="12" spans="2:38" x14ac:dyDescent="0.3">
      <c r="I12" s="8" t="s">
        <v>36</v>
      </c>
      <c r="J12" s="3" t="s">
        <v>25</v>
      </c>
      <c r="L12" s="14"/>
    </row>
    <row r="13" spans="2:38" x14ac:dyDescent="0.3">
      <c r="I13" s="8" t="s">
        <v>37</v>
      </c>
      <c r="J13" s="3" t="s">
        <v>26</v>
      </c>
      <c r="L13" s="14"/>
      <c r="R13" s="4"/>
    </row>
    <row r="14" spans="2:38" x14ac:dyDescent="0.3">
      <c r="L14" s="4"/>
      <c r="R14" s="11"/>
    </row>
    <row r="15" spans="2:38" x14ac:dyDescent="0.3">
      <c r="L15" s="4"/>
      <c r="R15" s="11"/>
    </row>
    <row r="16" spans="2:38" x14ac:dyDescent="0.3">
      <c r="O16" s="23" t="s">
        <v>38</v>
      </c>
      <c r="P16" s="23"/>
      <c r="Q16" s="23"/>
      <c r="R16" s="11"/>
      <c r="S16" s="23" t="s">
        <v>2</v>
      </c>
      <c r="T16" s="23" t="s">
        <v>12</v>
      </c>
      <c r="U16" s="23"/>
      <c r="V16" s="23"/>
      <c r="W16" s="10" t="s">
        <v>28</v>
      </c>
      <c r="X16" s="23" t="s">
        <v>29</v>
      </c>
      <c r="Y16" s="23"/>
      <c r="Z16" s="23"/>
    </row>
    <row r="17" spans="2:34" x14ac:dyDescent="0.3">
      <c r="O17" s="9" t="s">
        <v>2</v>
      </c>
      <c r="P17" s="9" t="s">
        <v>14</v>
      </c>
      <c r="Q17" s="9" t="s">
        <v>15</v>
      </c>
      <c r="R17" s="11"/>
      <c r="S17" s="23"/>
      <c r="T17" s="10" t="s">
        <v>9</v>
      </c>
      <c r="U17" s="10" t="s">
        <v>11</v>
      </c>
      <c r="V17" s="10" t="s">
        <v>10</v>
      </c>
      <c r="W17" s="10" t="s">
        <v>27</v>
      </c>
      <c r="X17" s="10" t="s">
        <v>30</v>
      </c>
      <c r="Y17" s="10" t="s">
        <v>31</v>
      </c>
      <c r="Z17" s="10" t="s">
        <v>32</v>
      </c>
    </row>
    <row r="18" spans="2:34" x14ac:dyDescent="0.3">
      <c r="O18" s="9" t="s">
        <v>33</v>
      </c>
      <c r="P18" s="5">
        <v>23011</v>
      </c>
      <c r="Q18" s="6">
        <v>4.3999999999999997E-2</v>
      </c>
      <c r="R18" s="11"/>
      <c r="S18" s="10" t="s">
        <v>33</v>
      </c>
      <c r="T18" s="6">
        <v>0.97835212471810251</v>
      </c>
      <c r="U18" s="6">
        <v>0.97884384204040875</v>
      </c>
      <c r="V18" s="6">
        <v>0.97859493236650119</v>
      </c>
      <c r="W18" s="10">
        <v>0.94499999999999995</v>
      </c>
      <c r="X18" s="10">
        <v>0.94499999999999995</v>
      </c>
      <c r="Y18" s="10">
        <v>0.90500000000000003</v>
      </c>
      <c r="Z18" s="10">
        <v>0.96599999999999997</v>
      </c>
      <c r="AB18" s="23" t="s">
        <v>2</v>
      </c>
      <c r="AC18" s="23"/>
      <c r="AD18" s="12" t="s">
        <v>33</v>
      </c>
      <c r="AE18" s="12" t="s">
        <v>34</v>
      </c>
      <c r="AF18" s="12" t="s">
        <v>35</v>
      </c>
      <c r="AG18" s="12" t="s">
        <v>36</v>
      </c>
      <c r="AH18" s="12" t="s">
        <v>37</v>
      </c>
    </row>
    <row r="19" spans="2:34" x14ac:dyDescent="0.3">
      <c r="O19" s="9" t="s">
        <v>34</v>
      </c>
      <c r="P19" s="5">
        <v>11857</v>
      </c>
      <c r="Q19" s="6">
        <v>0.06</v>
      </c>
      <c r="R19" s="11"/>
      <c r="S19" s="10" t="s">
        <v>34</v>
      </c>
      <c r="T19" s="6">
        <v>0.97693803703243087</v>
      </c>
      <c r="U19" s="6">
        <v>0.97722088477828284</v>
      </c>
      <c r="V19" s="6">
        <v>0.97707488387823105</v>
      </c>
      <c r="W19" s="10">
        <v>0.94099999999999995</v>
      </c>
      <c r="X19" s="10">
        <v>0.94299999999999995</v>
      </c>
      <c r="Y19" s="10">
        <v>0.90300000000000002</v>
      </c>
      <c r="Z19" s="10">
        <v>0.96299999999999997</v>
      </c>
      <c r="AB19" s="22" t="s">
        <v>41</v>
      </c>
      <c r="AC19" s="7" t="s">
        <v>61</v>
      </c>
      <c r="AD19" s="5">
        <v>18041</v>
      </c>
      <c r="AE19" s="5">
        <v>11554</v>
      </c>
      <c r="AF19" s="5">
        <v>16212</v>
      </c>
      <c r="AG19" s="5">
        <v>12030</v>
      </c>
      <c r="AH19" s="5">
        <v>10466</v>
      </c>
    </row>
    <row r="20" spans="2:34" x14ac:dyDescent="0.3">
      <c r="O20" s="9" t="s">
        <v>35</v>
      </c>
      <c r="P20" s="5">
        <v>15480</v>
      </c>
      <c r="Q20" s="6">
        <v>4.3999999999999997E-2</v>
      </c>
      <c r="S20" s="10" t="s">
        <v>35</v>
      </c>
      <c r="T20" s="6">
        <v>0.97707310386679391</v>
      </c>
      <c r="U20" s="6">
        <v>0.97747543183240027</v>
      </c>
      <c r="V20" s="6">
        <v>0.97727257826111535</v>
      </c>
      <c r="W20" s="10">
        <v>0.95</v>
      </c>
      <c r="X20" s="10">
        <v>0.95199999999999996</v>
      </c>
      <c r="Y20" s="10">
        <v>0.91200000000000003</v>
      </c>
      <c r="Z20" s="10">
        <v>0.97</v>
      </c>
      <c r="AB20" s="22"/>
      <c r="AC20" s="7" t="s">
        <v>15</v>
      </c>
      <c r="AD20" s="6">
        <v>0.08</v>
      </c>
      <c r="AE20" s="6">
        <v>3.8399999999999997E-2</v>
      </c>
      <c r="AF20" s="6">
        <v>2.5399999999999999E-2</v>
      </c>
      <c r="AG20" s="6">
        <v>4.1500000000000002E-2</v>
      </c>
      <c r="AH20" s="6">
        <v>0.135238738270366</v>
      </c>
    </row>
    <row r="21" spans="2:34" x14ac:dyDescent="0.3">
      <c r="O21" s="9" t="s">
        <v>36</v>
      </c>
      <c r="P21" s="5">
        <v>11935</v>
      </c>
      <c r="Q21" s="6">
        <v>6.0999999999999999E-2</v>
      </c>
      <c r="S21" s="10" t="s">
        <v>36</v>
      </c>
      <c r="T21" s="6">
        <v>0.97632084719159384</v>
      </c>
      <c r="U21" s="6">
        <v>0.97711000252853741</v>
      </c>
      <c r="V21" s="6">
        <v>0.9767130728472363</v>
      </c>
      <c r="W21" s="6">
        <v>0.9474999999999999</v>
      </c>
      <c r="X21" s="6">
        <v>0.94983333333333331</v>
      </c>
      <c r="Y21" s="6">
        <v>0.90808333333333324</v>
      </c>
      <c r="Z21" s="6">
        <v>0.9674166666666667</v>
      </c>
      <c r="AB21" s="22" t="s">
        <v>42</v>
      </c>
      <c r="AC21" s="7" t="s">
        <v>61</v>
      </c>
      <c r="AD21" s="5">
        <v>23011</v>
      </c>
      <c r="AE21" s="5">
        <v>11857</v>
      </c>
      <c r="AF21" s="5">
        <v>15480</v>
      </c>
      <c r="AG21" s="5">
        <v>11935</v>
      </c>
      <c r="AH21" s="5">
        <v>11756</v>
      </c>
    </row>
    <row r="22" spans="2:34" x14ac:dyDescent="0.3">
      <c r="O22" s="9" t="s">
        <v>37</v>
      </c>
      <c r="P22" s="5">
        <v>11756</v>
      </c>
      <c r="Q22" s="6">
        <v>6.8000000000000005E-2</v>
      </c>
      <c r="S22" s="10" t="s">
        <v>37</v>
      </c>
      <c r="T22" s="6">
        <v>0.98034146969968627</v>
      </c>
      <c r="U22" s="6">
        <v>0.98118849030949851</v>
      </c>
      <c r="V22" s="6">
        <v>0.98076294227079908</v>
      </c>
      <c r="W22" s="10">
        <v>0.94399999999999995</v>
      </c>
      <c r="X22" s="10">
        <v>0.94699999999999995</v>
      </c>
      <c r="Y22" s="10">
        <v>0.90900000000000003</v>
      </c>
      <c r="Z22" s="10">
        <v>0.96599999999999997</v>
      </c>
      <c r="AB22" s="22"/>
      <c r="AC22" s="7" t="s">
        <v>15</v>
      </c>
      <c r="AD22" s="6">
        <v>4.3999999999999997E-2</v>
      </c>
      <c r="AE22" s="6">
        <v>0.06</v>
      </c>
      <c r="AF22" s="6">
        <v>4.3999999999999997E-2</v>
      </c>
      <c r="AG22" s="6">
        <v>6.0999999999999999E-2</v>
      </c>
      <c r="AH22" s="6">
        <v>6.8000000000000005E-2</v>
      </c>
    </row>
    <row r="23" spans="2:34" x14ac:dyDescent="0.3">
      <c r="O23" s="26" t="s">
        <v>39</v>
      </c>
      <c r="P23" s="27"/>
      <c r="Q23" s="2"/>
      <c r="S23" s="7" t="s">
        <v>40</v>
      </c>
      <c r="T23" s="10" t="s">
        <v>16</v>
      </c>
      <c r="U23" s="10"/>
      <c r="V23" s="10"/>
      <c r="W23" s="10"/>
      <c r="X23" s="10"/>
      <c r="Y23" s="10"/>
      <c r="Z23" s="10"/>
      <c r="AB23" s="22"/>
      <c r="AC23" s="12" t="s">
        <v>44</v>
      </c>
      <c r="AD23" s="12">
        <v>60</v>
      </c>
      <c r="AE23" s="12">
        <v>51</v>
      </c>
      <c r="AF23" s="12">
        <v>49</v>
      </c>
      <c r="AG23" s="12">
        <v>41</v>
      </c>
      <c r="AH23" s="12">
        <v>58</v>
      </c>
    </row>
    <row r="24" spans="2:34" x14ac:dyDescent="0.3">
      <c r="S24" s="13" t="s">
        <v>42</v>
      </c>
      <c r="AB24" s="22"/>
      <c r="AC24" s="12" t="s">
        <v>8</v>
      </c>
      <c r="AD24" s="3" t="s">
        <v>22</v>
      </c>
      <c r="AE24" s="3" t="s">
        <v>23</v>
      </c>
      <c r="AF24" s="3" t="s">
        <v>24</v>
      </c>
      <c r="AG24" s="3" t="s">
        <v>25</v>
      </c>
      <c r="AH24" s="3" t="s">
        <v>26</v>
      </c>
    </row>
    <row r="25" spans="2:34" x14ac:dyDescent="0.3">
      <c r="AB25" s="23" t="s">
        <v>12</v>
      </c>
      <c r="AC25" s="12" t="s">
        <v>9</v>
      </c>
      <c r="AD25" s="6">
        <v>0.97835212471810251</v>
      </c>
      <c r="AE25" s="6">
        <v>0.97693803703243087</v>
      </c>
      <c r="AF25" s="6">
        <v>0.97707310386679391</v>
      </c>
      <c r="AG25" s="6">
        <v>0.97632084719159384</v>
      </c>
      <c r="AH25" s="6">
        <v>0.98034146969968627</v>
      </c>
    </row>
    <row r="26" spans="2:34" x14ac:dyDescent="0.3">
      <c r="V26" s="2"/>
      <c r="W26" s="10" t="s">
        <v>27</v>
      </c>
      <c r="X26" s="10" t="s">
        <v>30</v>
      </c>
      <c r="Y26" s="10" t="s">
        <v>31</v>
      </c>
      <c r="Z26" s="10" t="s">
        <v>32</v>
      </c>
      <c r="AB26" s="23"/>
      <c r="AC26" s="12" t="s">
        <v>11</v>
      </c>
      <c r="AD26" s="6">
        <v>0.97884384204040875</v>
      </c>
      <c r="AE26" s="6">
        <v>0.97722088477828284</v>
      </c>
      <c r="AF26" s="6">
        <v>0.97747543183240027</v>
      </c>
      <c r="AG26" s="6">
        <v>0.97711000252853741</v>
      </c>
      <c r="AH26" s="6">
        <v>0.98118849030949851</v>
      </c>
    </row>
    <row r="27" spans="2:34" x14ac:dyDescent="0.3">
      <c r="V27" s="2">
        <v>0</v>
      </c>
      <c r="W27" s="2">
        <v>0.93700000000000006</v>
      </c>
      <c r="X27" s="2">
        <v>0.93899999999999995</v>
      </c>
      <c r="Y27" s="2">
        <v>0.89100000000000001</v>
      </c>
      <c r="Z27" s="2">
        <v>0.96199999999999997</v>
      </c>
      <c r="AB27" s="23"/>
      <c r="AC27" s="12" t="s">
        <v>10</v>
      </c>
      <c r="AD27" s="6">
        <v>0.97859493236650119</v>
      </c>
      <c r="AE27" s="6">
        <v>0.97707488387823105</v>
      </c>
      <c r="AF27" s="6">
        <v>0.97727257826111535</v>
      </c>
      <c r="AG27" s="6">
        <v>0.9767130728472363</v>
      </c>
      <c r="AH27" s="6">
        <v>0.98076294227079908</v>
      </c>
    </row>
    <row r="28" spans="2:34" x14ac:dyDescent="0.3">
      <c r="V28" s="2">
        <v>1</v>
      </c>
      <c r="W28" s="2">
        <v>0.94</v>
      </c>
      <c r="X28" s="2">
        <v>0.93799999999999994</v>
      </c>
      <c r="Y28" s="2">
        <v>0.89</v>
      </c>
      <c r="Z28" s="2">
        <v>0.96399999999999997</v>
      </c>
      <c r="AB28" s="24" t="s">
        <v>59</v>
      </c>
      <c r="AC28" s="25"/>
      <c r="AD28" s="17">
        <v>0.97727272727272696</v>
      </c>
      <c r="AE28" s="17">
        <v>1</v>
      </c>
      <c r="AF28" s="17">
        <v>1</v>
      </c>
      <c r="AG28" s="17">
        <v>1</v>
      </c>
      <c r="AH28" s="17">
        <v>0.97727272727272729</v>
      </c>
    </row>
    <row r="29" spans="2:34" x14ac:dyDescent="0.3">
      <c r="V29" s="2">
        <v>2</v>
      </c>
      <c r="W29" s="2">
        <v>0.94199999999999995</v>
      </c>
      <c r="X29" s="2">
        <v>0.94099999999999995</v>
      </c>
      <c r="Y29" s="2">
        <v>0.89500000000000002</v>
      </c>
      <c r="Z29" s="2">
        <v>0.96599999999999997</v>
      </c>
    </row>
    <row r="30" spans="2:34" x14ac:dyDescent="0.3">
      <c r="V30" s="2">
        <v>3</v>
      </c>
      <c r="W30" s="2">
        <v>0.93899999999999995</v>
      </c>
      <c r="X30" s="2">
        <v>0.94499999999999995</v>
      </c>
      <c r="Y30" s="2">
        <v>0.89900000000000002</v>
      </c>
      <c r="Z30" s="2">
        <v>0.96499999999999997</v>
      </c>
    </row>
    <row r="31" spans="2:34" x14ac:dyDescent="0.3">
      <c r="B31" s="10" t="s">
        <v>2</v>
      </c>
      <c r="C31" s="10" t="s">
        <v>44</v>
      </c>
      <c r="D31" s="10" t="s">
        <v>45</v>
      </c>
      <c r="E31" s="10" t="s">
        <v>46</v>
      </c>
      <c r="F31" s="10" t="s">
        <v>47</v>
      </c>
      <c r="V31" s="2">
        <v>4</v>
      </c>
      <c r="W31" s="2">
        <v>0.94599999999999995</v>
      </c>
      <c r="X31" s="2">
        <v>0.95499999999999996</v>
      </c>
      <c r="Y31" s="2">
        <v>0.91300000000000003</v>
      </c>
      <c r="Z31" s="2">
        <v>0.96799999999999997</v>
      </c>
    </row>
    <row r="32" spans="2:34" x14ac:dyDescent="0.3">
      <c r="B32" s="10" t="s">
        <v>33</v>
      </c>
      <c r="C32" s="10">
        <v>60</v>
      </c>
      <c r="D32" s="10">
        <v>12</v>
      </c>
      <c r="E32" s="10">
        <v>6</v>
      </c>
      <c r="F32" s="10">
        <v>10</v>
      </c>
      <c r="V32" s="2">
        <v>5</v>
      </c>
      <c r="W32" s="2">
        <v>0.94499999999999995</v>
      </c>
      <c r="X32" s="2">
        <v>0.95299999999999996</v>
      </c>
      <c r="Y32" s="2">
        <v>0.91200000000000003</v>
      </c>
      <c r="Z32" s="2">
        <v>0.96799999999999997</v>
      </c>
    </row>
    <row r="33" spans="2:26" x14ac:dyDescent="0.3">
      <c r="B33" s="10" t="s">
        <v>34</v>
      </c>
      <c r="C33" s="10">
        <v>51</v>
      </c>
      <c r="D33" s="10">
        <v>16</v>
      </c>
      <c r="E33" s="10">
        <v>7</v>
      </c>
      <c r="F33" s="10">
        <v>14</v>
      </c>
      <c r="I33" s="23" t="s">
        <v>8</v>
      </c>
      <c r="J33" s="23"/>
      <c r="K33" s="23"/>
      <c r="L33" s="23"/>
      <c r="M33" s="23"/>
      <c r="V33" s="2">
        <v>6</v>
      </c>
      <c r="W33" s="2">
        <v>0.94699999999999995</v>
      </c>
      <c r="X33" s="2">
        <v>0.95699999999999996</v>
      </c>
      <c r="Y33" s="2">
        <v>0.91700000000000004</v>
      </c>
      <c r="Z33" s="2">
        <v>0.96899999999999997</v>
      </c>
    </row>
    <row r="34" spans="2:26" x14ac:dyDescent="0.3">
      <c r="B34" s="10" t="s">
        <v>35</v>
      </c>
      <c r="C34" s="10">
        <v>49</v>
      </c>
      <c r="D34" s="10">
        <v>16</v>
      </c>
      <c r="E34" s="10">
        <v>12</v>
      </c>
      <c r="F34" s="10">
        <v>11</v>
      </c>
      <c r="I34" s="10" t="s">
        <v>1</v>
      </c>
      <c r="J34" s="10" t="s">
        <v>3</v>
      </c>
      <c r="K34" s="10" t="s">
        <v>5</v>
      </c>
      <c r="L34" s="10" t="s">
        <v>6</v>
      </c>
      <c r="M34" s="10" t="s">
        <v>7</v>
      </c>
      <c r="V34" s="2">
        <v>7</v>
      </c>
      <c r="W34" s="2">
        <v>0.95299999999999996</v>
      </c>
      <c r="X34" s="2">
        <v>0.95099999999999996</v>
      </c>
      <c r="Y34" s="2">
        <v>0.90800000000000003</v>
      </c>
      <c r="Z34" s="2">
        <v>0.96699999999999997</v>
      </c>
    </row>
    <row r="35" spans="2:26" x14ac:dyDescent="0.3">
      <c r="B35" s="10" t="s">
        <v>36</v>
      </c>
      <c r="C35" s="10">
        <v>41</v>
      </c>
      <c r="D35" s="10">
        <v>20</v>
      </c>
      <c r="E35" s="10">
        <v>13</v>
      </c>
      <c r="F35" s="10">
        <v>14</v>
      </c>
      <c r="I35" s="3" t="s">
        <v>51</v>
      </c>
      <c r="J35" s="3" t="s">
        <v>52</v>
      </c>
      <c r="K35" s="3" t="s">
        <v>53</v>
      </c>
      <c r="L35" s="3" t="s">
        <v>54</v>
      </c>
      <c r="M35" s="3" t="s">
        <v>51</v>
      </c>
      <c r="V35" s="2">
        <v>8</v>
      </c>
      <c r="W35" s="2">
        <v>0.96099999999999997</v>
      </c>
      <c r="X35" s="2">
        <v>0.95899999999999996</v>
      </c>
      <c r="Y35" s="2">
        <v>0.92900000000000005</v>
      </c>
      <c r="Z35" s="2">
        <v>0.97199999999999998</v>
      </c>
    </row>
    <row r="36" spans="2:26" x14ac:dyDescent="0.3">
      <c r="B36" s="10" t="s">
        <v>37</v>
      </c>
      <c r="C36" s="10">
        <v>58</v>
      </c>
      <c r="D36" s="10">
        <v>11</v>
      </c>
      <c r="E36" s="10">
        <v>3</v>
      </c>
      <c r="F36" s="10">
        <v>16</v>
      </c>
      <c r="I36" s="2" t="s">
        <v>16</v>
      </c>
      <c r="J36" s="2" t="s">
        <v>48</v>
      </c>
      <c r="K36" s="2" t="s">
        <v>49</v>
      </c>
      <c r="L36" s="2"/>
      <c r="M36" s="2"/>
      <c r="V36" s="2">
        <v>9</v>
      </c>
      <c r="W36" s="2">
        <v>0.95899999999999996</v>
      </c>
      <c r="X36" s="2">
        <v>0.95799999999999996</v>
      </c>
      <c r="Y36" s="2">
        <v>0.92700000000000005</v>
      </c>
      <c r="Z36" s="2">
        <v>0.97299999999999998</v>
      </c>
    </row>
    <row r="37" spans="2:26" x14ac:dyDescent="0.3">
      <c r="B37" s="2" t="s">
        <v>19</v>
      </c>
      <c r="C37" s="2" t="s">
        <v>42</v>
      </c>
      <c r="D37" s="2"/>
      <c r="E37" s="2"/>
      <c r="F37" s="2"/>
      <c r="V37" s="2">
        <v>10</v>
      </c>
      <c r="W37" s="2">
        <v>0.95399999999999996</v>
      </c>
      <c r="X37" s="2">
        <v>0.95399999999999996</v>
      </c>
      <c r="Y37" s="2">
        <v>0.91400000000000003</v>
      </c>
      <c r="Z37" s="2">
        <v>0.97</v>
      </c>
    </row>
    <row r="38" spans="2:26" x14ac:dyDescent="0.3">
      <c r="I38" t="s">
        <v>55</v>
      </c>
      <c r="V38" s="2">
        <v>11</v>
      </c>
      <c r="W38" s="2">
        <v>0.94699999999999995</v>
      </c>
      <c r="X38" s="2">
        <v>0.94799999999999995</v>
      </c>
      <c r="Y38" s="2">
        <v>0.90200000000000002</v>
      </c>
      <c r="Z38" s="2">
        <v>0.96499999999999997</v>
      </c>
    </row>
    <row r="39" spans="2:26" x14ac:dyDescent="0.3">
      <c r="I39" s="12" t="s">
        <v>2</v>
      </c>
      <c r="J39" s="12" t="s">
        <v>55</v>
      </c>
      <c r="K39" s="2" t="s">
        <v>57</v>
      </c>
      <c r="V39" s="2"/>
      <c r="W39" s="2">
        <f>AVERAGE(W27:W38)</f>
        <v>0.9474999999999999</v>
      </c>
      <c r="X39" s="2">
        <f t="shared" ref="X39:Z39" si="0">AVERAGE(X27:X38)</f>
        <v>0.94983333333333331</v>
      </c>
      <c r="Y39" s="2">
        <f t="shared" si="0"/>
        <v>0.90808333333333324</v>
      </c>
      <c r="Z39" s="2">
        <f t="shared" si="0"/>
        <v>0.9674166666666667</v>
      </c>
    </row>
    <row r="40" spans="2:26" x14ac:dyDescent="0.3">
      <c r="I40" s="12" t="s">
        <v>33</v>
      </c>
      <c r="J40" s="15">
        <f>K40/L40</f>
        <v>0.97727272727272729</v>
      </c>
      <c r="K40" s="2">
        <v>86</v>
      </c>
      <c r="L40">
        <v>88</v>
      </c>
      <c r="V40" s="2"/>
      <c r="W40" s="2" t="s">
        <v>43</v>
      </c>
      <c r="X40" s="2"/>
      <c r="Y40" s="2"/>
      <c r="Z40" s="2"/>
    </row>
    <row r="41" spans="2:26" x14ac:dyDescent="0.3">
      <c r="I41" s="12" t="s">
        <v>34</v>
      </c>
      <c r="J41" s="15">
        <f t="shared" ref="J41:J44" si="1">K41/L41</f>
        <v>1</v>
      </c>
      <c r="K41" s="2">
        <v>88</v>
      </c>
      <c r="L41">
        <v>88</v>
      </c>
    </row>
    <row r="42" spans="2:26" x14ac:dyDescent="0.3">
      <c r="I42" s="12" t="s">
        <v>35</v>
      </c>
      <c r="J42" s="15">
        <f t="shared" si="1"/>
        <v>1</v>
      </c>
      <c r="K42" s="2">
        <v>88</v>
      </c>
      <c r="L42">
        <v>88</v>
      </c>
    </row>
    <row r="43" spans="2:26" x14ac:dyDescent="0.3">
      <c r="I43" s="12" t="s">
        <v>36</v>
      </c>
      <c r="J43" s="15">
        <f t="shared" si="1"/>
        <v>1</v>
      </c>
      <c r="K43" s="2">
        <v>88</v>
      </c>
      <c r="L43">
        <v>88</v>
      </c>
    </row>
    <row r="44" spans="2:26" x14ac:dyDescent="0.3">
      <c r="I44" s="12" t="s">
        <v>37</v>
      </c>
      <c r="J44" s="15">
        <f t="shared" si="1"/>
        <v>0.97727272727272729</v>
      </c>
      <c r="K44" s="2">
        <v>86</v>
      </c>
      <c r="L44">
        <v>88</v>
      </c>
    </row>
    <row r="46" spans="2:26" x14ac:dyDescent="0.3">
      <c r="I46" s="10" t="s">
        <v>2</v>
      </c>
      <c r="J46" s="10" t="s">
        <v>8</v>
      </c>
      <c r="O46" s="2" t="s">
        <v>58</v>
      </c>
      <c r="P46" s="2" t="s">
        <v>56</v>
      </c>
      <c r="Q46" s="2" t="s">
        <v>59</v>
      </c>
    </row>
    <row r="47" spans="2:26" x14ac:dyDescent="0.3">
      <c r="I47" s="10" t="s">
        <v>1</v>
      </c>
      <c r="J47" s="3" t="s">
        <v>51</v>
      </c>
      <c r="L47">
        <v>0.97727272727272729</v>
      </c>
      <c r="O47" s="2" t="s">
        <v>33</v>
      </c>
      <c r="P47" s="2">
        <v>86</v>
      </c>
      <c r="Q47" s="17">
        <v>0.97727272727272696</v>
      </c>
    </row>
    <row r="48" spans="2:26" x14ac:dyDescent="0.3">
      <c r="I48" s="10" t="s">
        <v>3</v>
      </c>
      <c r="J48" s="3" t="s">
        <v>52</v>
      </c>
      <c r="L48">
        <v>1</v>
      </c>
      <c r="O48" s="2" t="s">
        <v>34</v>
      </c>
      <c r="P48" s="2">
        <v>88</v>
      </c>
      <c r="Q48" s="17">
        <v>1</v>
      </c>
    </row>
    <row r="49" spans="9:29" x14ac:dyDescent="0.3">
      <c r="I49" s="10" t="s">
        <v>5</v>
      </c>
      <c r="J49" s="3" t="s">
        <v>53</v>
      </c>
      <c r="L49">
        <v>1</v>
      </c>
      <c r="O49" s="2" t="s">
        <v>35</v>
      </c>
      <c r="P49" s="2">
        <v>88</v>
      </c>
      <c r="Q49" s="17">
        <v>1</v>
      </c>
    </row>
    <row r="50" spans="9:29" x14ac:dyDescent="0.3">
      <c r="I50" s="10" t="s">
        <v>6</v>
      </c>
      <c r="J50" s="3" t="s">
        <v>54</v>
      </c>
      <c r="L50">
        <v>1</v>
      </c>
      <c r="O50" s="2" t="s">
        <v>36</v>
      </c>
      <c r="P50" s="2">
        <v>88</v>
      </c>
      <c r="Q50" s="17">
        <v>1</v>
      </c>
    </row>
    <row r="51" spans="9:29" x14ac:dyDescent="0.3">
      <c r="I51" s="10" t="s">
        <v>7</v>
      </c>
      <c r="J51" s="3" t="s">
        <v>51</v>
      </c>
      <c r="L51">
        <v>0.97727272727272729</v>
      </c>
      <c r="O51" s="2" t="s">
        <v>37</v>
      </c>
      <c r="P51" s="2">
        <v>86</v>
      </c>
      <c r="Q51" s="17">
        <v>0.97727272727272729</v>
      </c>
    </row>
    <row r="53" spans="9:29" x14ac:dyDescent="0.3">
      <c r="X53" s="19" t="s">
        <v>2</v>
      </c>
      <c r="Y53" s="20" t="s">
        <v>33</v>
      </c>
      <c r="Z53" s="20" t="s">
        <v>34</v>
      </c>
      <c r="AA53" s="20" t="s">
        <v>35</v>
      </c>
      <c r="AB53" s="20" t="s">
        <v>36</v>
      </c>
      <c r="AC53" s="20" t="s">
        <v>37</v>
      </c>
    </row>
    <row r="54" spans="9:29" x14ac:dyDescent="0.3">
      <c r="X54" s="20" t="s">
        <v>9</v>
      </c>
      <c r="Y54" s="6">
        <v>0.97835212471810251</v>
      </c>
      <c r="Z54" s="6">
        <v>0.97693803703243087</v>
      </c>
      <c r="AA54" s="6">
        <v>0.97707310386679391</v>
      </c>
      <c r="AB54" s="6">
        <v>0.97632084719159384</v>
      </c>
      <c r="AC54" s="6">
        <v>0.98034146969968627</v>
      </c>
    </row>
    <row r="55" spans="9:29" x14ac:dyDescent="0.3">
      <c r="X55" s="20" t="s">
        <v>11</v>
      </c>
      <c r="Y55" s="6">
        <v>0.97884384204040875</v>
      </c>
      <c r="Z55" s="6">
        <v>0.97722088477828284</v>
      </c>
      <c r="AA55" s="6">
        <v>0.97747543183240027</v>
      </c>
      <c r="AB55" s="6">
        <v>0.97711000252853741</v>
      </c>
      <c r="AC55" s="6">
        <v>0.98118849030949851</v>
      </c>
    </row>
    <row r="56" spans="9:29" x14ac:dyDescent="0.3">
      <c r="X56" s="20" t="s">
        <v>10</v>
      </c>
      <c r="Y56" s="6">
        <v>0.97859493236650119</v>
      </c>
      <c r="Z56" s="6">
        <v>0.97707488387823105</v>
      </c>
      <c r="AA56" s="6">
        <v>0.97727257826111535</v>
      </c>
      <c r="AB56" s="6">
        <v>0.9767130728472363</v>
      </c>
      <c r="AC56" s="6">
        <v>0.98076294227079908</v>
      </c>
    </row>
    <row r="57" spans="9:29" x14ac:dyDescent="0.3">
      <c r="X57" s="20" t="s">
        <v>27</v>
      </c>
      <c r="Y57" s="20">
        <v>0.94499999999999995</v>
      </c>
      <c r="Z57" s="20">
        <v>0.94099999999999995</v>
      </c>
      <c r="AA57" s="20">
        <v>0.95</v>
      </c>
      <c r="AB57" s="6">
        <v>0.9474999999999999</v>
      </c>
      <c r="AC57" s="20">
        <v>0.94399999999999995</v>
      </c>
    </row>
    <row r="58" spans="9:29" x14ac:dyDescent="0.3">
      <c r="X58" s="20" t="s">
        <v>32</v>
      </c>
      <c r="Y58" s="20">
        <v>0.96599999999999997</v>
      </c>
      <c r="Z58" s="20">
        <v>0.96299999999999997</v>
      </c>
      <c r="AA58" s="20">
        <v>0.97</v>
      </c>
      <c r="AB58" s="6">
        <v>0.9674166666666667</v>
      </c>
      <c r="AC58" s="20">
        <v>0.96599999999999997</v>
      </c>
    </row>
    <row r="59" spans="9:29" x14ac:dyDescent="0.3">
      <c r="X59" t="s">
        <v>67</v>
      </c>
      <c r="Y59" s="3" t="s">
        <v>22</v>
      </c>
      <c r="Z59" s="3" t="s">
        <v>23</v>
      </c>
      <c r="AA59" s="3" t="s">
        <v>24</v>
      </c>
      <c r="AB59" s="3" t="s">
        <v>25</v>
      </c>
      <c r="AC59" s="3" t="s">
        <v>26</v>
      </c>
    </row>
    <row r="60" spans="9:29" x14ac:dyDescent="0.3">
      <c r="X60" s="20" t="s">
        <v>68</v>
      </c>
      <c r="Y60" s="6">
        <v>4.3999999999999997E-2</v>
      </c>
      <c r="Z60" s="6">
        <v>0.06</v>
      </c>
      <c r="AA60" s="6">
        <v>4.3999999999999997E-2</v>
      </c>
      <c r="AB60" s="6">
        <v>6.0999999999999999E-2</v>
      </c>
      <c r="AC60" s="6">
        <v>6.8000000000000005E-2</v>
      </c>
    </row>
    <row r="61" spans="9:29" x14ac:dyDescent="0.3">
      <c r="X61" s="21" t="s">
        <v>69</v>
      </c>
      <c r="Y61" s="5">
        <v>23011</v>
      </c>
      <c r="Z61" s="5">
        <v>11857</v>
      </c>
      <c r="AA61" s="5">
        <v>15480</v>
      </c>
      <c r="AB61" s="5">
        <v>11935</v>
      </c>
      <c r="AC61" s="5">
        <v>11756</v>
      </c>
    </row>
    <row r="64" spans="9:29" x14ac:dyDescent="0.3">
      <c r="I64" s="19"/>
      <c r="J64" s="19" t="s">
        <v>2</v>
      </c>
      <c r="K64" s="16" t="s">
        <v>33</v>
      </c>
      <c r="L64" s="16" t="s">
        <v>34</v>
      </c>
      <c r="M64" s="16" t="s">
        <v>35</v>
      </c>
      <c r="N64" s="16" t="s">
        <v>36</v>
      </c>
      <c r="O64" s="16" t="s">
        <v>37</v>
      </c>
    </row>
    <row r="65" spans="9:15" x14ac:dyDescent="0.3">
      <c r="I65" s="23"/>
      <c r="J65" s="16" t="s">
        <v>9</v>
      </c>
      <c r="K65" s="6">
        <v>0.99596283170912003</v>
      </c>
      <c r="L65" s="6">
        <v>0.99727540347311228</v>
      </c>
      <c r="M65" s="6">
        <v>0.99743474655681186</v>
      </c>
      <c r="N65" s="6">
        <v>0.99692602488729687</v>
      </c>
      <c r="O65" s="6">
        <v>0.96877436108059356</v>
      </c>
    </row>
    <row r="66" spans="9:15" x14ac:dyDescent="0.3">
      <c r="I66" s="23"/>
      <c r="J66" s="16" t="s">
        <v>11</v>
      </c>
      <c r="K66" s="6">
        <v>0.99606838226318362</v>
      </c>
      <c r="L66" s="6">
        <v>0.99701445036464265</v>
      </c>
      <c r="M66" s="6">
        <v>0.99709899822870895</v>
      </c>
      <c r="N66" s="6">
        <v>0.9968295693397522</v>
      </c>
      <c r="O66" s="6">
        <v>0.915704884131749</v>
      </c>
    </row>
    <row r="67" spans="9:15" x14ac:dyDescent="0.3">
      <c r="I67" s="23"/>
      <c r="J67" s="16" t="s">
        <v>10</v>
      </c>
      <c r="K67" s="6">
        <v>0.99619594083891971</v>
      </c>
      <c r="L67" s="6">
        <v>0.99676674670643273</v>
      </c>
      <c r="M67" s="6">
        <v>0.99677523109647959</v>
      </c>
      <c r="N67" s="6">
        <v>0.99674810568491623</v>
      </c>
      <c r="O67" s="6">
        <v>0.88750714626577165</v>
      </c>
    </row>
    <row r="68" spans="9:15" x14ac:dyDescent="0.3">
      <c r="I68" s="16"/>
      <c r="J68" s="16" t="s">
        <v>27</v>
      </c>
      <c r="K68" s="16">
        <v>0.97699999999999998</v>
      </c>
      <c r="L68" s="16">
        <v>0.97799999999999998</v>
      </c>
      <c r="M68" s="16">
        <v>0.98199999999999998</v>
      </c>
      <c r="N68" s="16">
        <v>0.97799999999999998</v>
      </c>
      <c r="O68" s="16">
        <v>0.78300000000000003</v>
      </c>
    </row>
    <row r="69" spans="9:15" x14ac:dyDescent="0.3">
      <c r="I69" s="23"/>
      <c r="J69" s="16" t="s">
        <v>32</v>
      </c>
      <c r="K69" s="16">
        <v>0.99199999999999999</v>
      </c>
      <c r="L69" s="16">
        <v>0.99199999999999999</v>
      </c>
      <c r="M69" s="16">
        <v>0.99199999999999999</v>
      </c>
      <c r="N69" s="16">
        <v>0.99199999999999999</v>
      </c>
      <c r="O69" s="16">
        <v>0.83499999999999996</v>
      </c>
    </row>
    <row r="70" spans="9:15" x14ac:dyDescent="0.3">
      <c r="I70" s="23"/>
      <c r="J70" t="s">
        <v>67</v>
      </c>
      <c r="K70" t="s">
        <v>62</v>
      </c>
      <c r="L70" t="s">
        <v>63</v>
      </c>
      <c r="M70" t="s">
        <v>64</v>
      </c>
      <c r="N70" t="s">
        <v>65</v>
      </c>
      <c r="O70" t="s">
        <v>66</v>
      </c>
    </row>
    <row r="71" spans="9:15" x14ac:dyDescent="0.3">
      <c r="I71" s="23"/>
      <c r="J71" s="16" t="s">
        <v>68</v>
      </c>
      <c r="K71" s="6">
        <v>0.08</v>
      </c>
      <c r="L71" s="6">
        <v>3.8399999999999997E-2</v>
      </c>
      <c r="M71" s="6">
        <v>2.5399999999999999E-2</v>
      </c>
      <c r="N71" s="6">
        <v>4.1500000000000002E-2</v>
      </c>
      <c r="O71" s="6">
        <v>0.135238738270366</v>
      </c>
    </row>
    <row r="72" spans="9:15" x14ac:dyDescent="0.3">
      <c r="J72" s="21" t="s">
        <v>69</v>
      </c>
      <c r="K72" s="5">
        <v>18041</v>
      </c>
      <c r="L72" s="5">
        <v>11554</v>
      </c>
      <c r="M72" s="5">
        <v>16212</v>
      </c>
      <c r="N72" s="5">
        <v>12030</v>
      </c>
      <c r="O72" s="5">
        <v>10466</v>
      </c>
    </row>
  </sheetData>
  <mergeCells count="23">
    <mergeCell ref="I65:I67"/>
    <mergeCell ref="I69:I71"/>
    <mergeCell ref="I33:M33"/>
    <mergeCell ref="I3:M3"/>
    <mergeCell ref="T3:V3"/>
    <mergeCell ref="S3:S4"/>
    <mergeCell ref="S16:S17"/>
    <mergeCell ref="T16:V16"/>
    <mergeCell ref="X3:Z3"/>
    <mergeCell ref="O16:Q16"/>
    <mergeCell ref="O23:P23"/>
    <mergeCell ref="O3:Q3"/>
    <mergeCell ref="O10:P10"/>
    <mergeCell ref="X16:Z16"/>
    <mergeCell ref="AB21:AB24"/>
    <mergeCell ref="AB25:AB27"/>
    <mergeCell ref="AB28:AC28"/>
    <mergeCell ref="AI3:AK3"/>
    <mergeCell ref="AC3:AD3"/>
    <mergeCell ref="AE3:AH3"/>
    <mergeCell ref="AB18:AC18"/>
    <mergeCell ref="AB19:AB20"/>
    <mergeCell ref="AB3:AB4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数据处理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</dc:creator>
  <cp:lastModifiedBy>奔 张</cp:lastModifiedBy>
  <dcterms:created xsi:type="dcterms:W3CDTF">2015-06-05T18:19:34Z</dcterms:created>
  <dcterms:modified xsi:type="dcterms:W3CDTF">2025-10-23T02:51:36Z</dcterms:modified>
</cp:coreProperties>
</file>