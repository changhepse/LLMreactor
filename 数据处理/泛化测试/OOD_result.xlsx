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wohen\code\pythonProject\LLMreactor\泛化测试\"/>
    </mc:Choice>
  </mc:AlternateContent>
  <xr:revisionPtr revIDLastSave="0" documentId="13_ncr:1_{DDE1F8A9-8157-4B6B-BAF6-B226BA3C032F}" xr6:coauthVersionLast="47" xr6:coauthVersionMax="47" xr10:uidLastSave="{00000000-0000-0000-0000-000000000000}"/>
  <bookViews>
    <workbookView xWindow="1710" yWindow="3150" windowWidth="24820" windowHeight="15540" xr2:uid="{00000000-000D-0000-FFFF-FFFF00000000}"/>
  </bookViews>
  <sheets>
    <sheet name="OOD_deepseek-r1_result" sheetId="1" r:id="rId1"/>
    <sheet name="Sheet1" sheetId="2" r:id="rId2"/>
  </sheets>
  <definedNames>
    <definedName name="_xlnm._FilterDatabase" localSheetId="1" hidden="1">Sheet1!$F$1:$F$31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2" i="2"/>
  <c r="J3" i="1"/>
  <c r="K3" i="1" s="1"/>
  <c r="J4" i="1"/>
  <c r="K4" i="1" s="1"/>
  <c r="L4" i="1" s="1"/>
  <c r="M4" i="1" s="1"/>
  <c r="J5" i="1"/>
  <c r="K5" i="1" s="1"/>
  <c r="J6" i="1"/>
  <c r="K6" i="1" s="1"/>
  <c r="L6" i="1" s="1"/>
  <c r="M6" i="1" s="1"/>
  <c r="J7" i="1"/>
  <c r="K7" i="1" s="1"/>
  <c r="J8" i="1"/>
  <c r="K8" i="1" s="1"/>
  <c r="L8" i="1" s="1"/>
  <c r="M8" i="1" s="1"/>
  <c r="J9" i="1"/>
  <c r="K9" i="1" s="1"/>
  <c r="J10" i="1"/>
  <c r="K10" i="1" s="1"/>
  <c r="L10" i="1" s="1"/>
  <c r="M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M2" i="1"/>
  <c r="L2" i="1"/>
  <c r="K2" i="1"/>
  <c r="J2" i="1"/>
  <c r="I3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2" i="1"/>
  <c r="D2" i="1"/>
  <c r="E2" i="1" s="1"/>
  <c r="D3" i="1"/>
  <c r="E3" i="1"/>
  <c r="F3" i="1" s="1"/>
  <c r="D4" i="1"/>
  <c r="E4" i="1" s="1"/>
  <c r="D5" i="1"/>
  <c r="E5" i="1"/>
  <c r="F5" i="1" s="1"/>
  <c r="D6" i="1"/>
  <c r="E6" i="1" s="1"/>
  <c r="D7" i="1"/>
  <c r="E7" i="1"/>
  <c r="F7" i="1" s="1"/>
  <c r="G7" i="1" s="1"/>
  <c r="H7" i="1" s="1"/>
  <c r="D8" i="1"/>
  <c r="E8" i="1" s="1"/>
  <c r="D9" i="1"/>
  <c r="E9" i="1"/>
  <c r="F9" i="1" s="1"/>
  <c r="G9" i="1" s="1"/>
  <c r="D10" i="1"/>
  <c r="E10" i="1" s="1"/>
  <c r="D11" i="1"/>
  <c r="E11" i="1"/>
  <c r="F11" i="1" s="1"/>
  <c r="G11" i="1" s="1"/>
  <c r="D12" i="1"/>
  <c r="E12" i="1" s="1"/>
  <c r="D13" i="1"/>
  <c r="E13" i="1"/>
  <c r="F13" i="1" s="1"/>
  <c r="D14" i="1"/>
  <c r="E14" i="1" s="1"/>
  <c r="D15" i="1"/>
  <c r="E15" i="1"/>
  <c r="F15" i="1" s="1"/>
  <c r="G15" i="1" s="1"/>
  <c r="H15" i="1" s="1"/>
  <c r="D16" i="1"/>
  <c r="E16" i="1" s="1"/>
  <c r="D17" i="1"/>
  <c r="E17" i="1"/>
  <c r="F17" i="1" s="1"/>
  <c r="G17" i="1" s="1"/>
  <c r="D18" i="1"/>
  <c r="E18" i="1" s="1"/>
  <c r="D19" i="1"/>
  <c r="E19" i="1"/>
  <c r="F19" i="1" s="1"/>
  <c r="G19" i="1" s="1"/>
  <c r="D20" i="1"/>
  <c r="E20" i="1" s="1"/>
  <c r="D21" i="1"/>
  <c r="E21" i="1"/>
  <c r="F21" i="1" s="1"/>
  <c r="G21" i="1" s="1"/>
  <c r="D22" i="1"/>
  <c r="E22" i="1" s="1"/>
  <c r="D23" i="1"/>
  <c r="E23" i="1"/>
  <c r="F23" i="1" s="1"/>
  <c r="G23" i="1" s="1"/>
  <c r="H23" i="1" s="1"/>
  <c r="D24" i="1"/>
  <c r="E24" i="1" s="1"/>
  <c r="D25" i="1"/>
  <c r="E25" i="1"/>
  <c r="F25" i="1" s="1"/>
  <c r="G25" i="1" s="1"/>
  <c r="D26" i="1"/>
  <c r="E26" i="1" s="1"/>
  <c r="D27" i="1"/>
  <c r="E27" i="1"/>
  <c r="F27" i="1" s="1"/>
  <c r="G27" i="1" s="1"/>
  <c r="D28" i="1"/>
  <c r="E28" i="1" s="1"/>
  <c r="D29" i="1"/>
  <c r="E29" i="1"/>
  <c r="F29" i="1" s="1"/>
  <c r="G29" i="1" s="1"/>
  <c r="D30" i="1"/>
  <c r="E30" i="1" s="1"/>
  <c r="D31" i="1"/>
  <c r="E31" i="1"/>
  <c r="F31" i="1" s="1"/>
  <c r="G31" i="1" s="1"/>
  <c r="H31" i="1" s="1"/>
  <c r="L30" i="1" l="1"/>
  <c r="M30" i="1" s="1"/>
  <c r="L28" i="1"/>
  <c r="M28" i="1" s="1"/>
  <c r="L26" i="1"/>
  <c r="M26" i="1" s="1"/>
  <c r="L24" i="1"/>
  <c r="M24" i="1" s="1"/>
  <c r="L22" i="1"/>
  <c r="M22" i="1" s="1"/>
  <c r="L20" i="1"/>
  <c r="M20" i="1" s="1"/>
  <c r="L18" i="1"/>
  <c r="M18" i="1" s="1"/>
  <c r="L16" i="1"/>
  <c r="M16" i="1" s="1"/>
  <c r="L14" i="1"/>
  <c r="M14" i="1" s="1"/>
  <c r="L12" i="1"/>
  <c r="M12" i="1" s="1"/>
  <c r="L31" i="1"/>
  <c r="M31" i="1" s="1"/>
  <c r="L29" i="1"/>
  <c r="M29" i="1" s="1"/>
  <c r="L27" i="1"/>
  <c r="M27" i="1" s="1"/>
  <c r="L25" i="1"/>
  <c r="M25" i="1" s="1"/>
  <c r="L23" i="1"/>
  <c r="M23" i="1" s="1"/>
  <c r="L21" i="1"/>
  <c r="M21" i="1" s="1"/>
  <c r="L19" i="1"/>
  <c r="M19" i="1" s="1"/>
  <c r="L17" i="1"/>
  <c r="M17" i="1" s="1"/>
  <c r="L15" i="1"/>
  <c r="M15" i="1" s="1"/>
  <c r="L13" i="1"/>
  <c r="M13" i="1" s="1"/>
  <c r="L11" i="1"/>
  <c r="M11" i="1" s="1"/>
  <c r="L9" i="1"/>
  <c r="M9" i="1" s="1"/>
  <c r="L7" i="1"/>
  <c r="M7" i="1" s="1"/>
  <c r="L5" i="1"/>
  <c r="M5" i="1" s="1"/>
  <c r="L3" i="1"/>
  <c r="M3" i="1" s="1"/>
  <c r="F12" i="1"/>
  <c r="G12" i="1"/>
  <c r="F22" i="1"/>
  <c r="G22" i="1"/>
  <c r="F6" i="1"/>
  <c r="G6" i="1"/>
  <c r="F16" i="1"/>
  <c r="G16" i="1"/>
  <c r="H16" i="1" s="1"/>
  <c r="F26" i="1"/>
  <c r="G26" i="1"/>
  <c r="F10" i="1"/>
  <c r="G10" i="1"/>
  <c r="H10" i="1" s="1"/>
  <c r="F28" i="1"/>
  <c r="G28" i="1"/>
  <c r="H28" i="1" s="1"/>
  <c r="F20" i="1"/>
  <c r="G20" i="1"/>
  <c r="H20" i="1" s="1"/>
  <c r="F4" i="1"/>
  <c r="G4" i="1"/>
  <c r="F30" i="1"/>
  <c r="G30" i="1"/>
  <c r="F14" i="1"/>
  <c r="G14" i="1"/>
  <c r="H14" i="1" s="1"/>
  <c r="F24" i="1"/>
  <c r="G24" i="1"/>
  <c r="H24" i="1" s="1"/>
  <c r="F8" i="1"/>
  <c r="G8" i="1"/>
  <c r="F18" i="1"/>
  <c r="G18" i="1"/>
  <c r="F2" i="1"/>
  <c r="G2" i="1"/>
  <c r="H2" i="1" s="1"/>
  <c r="G13" i="1"/>
  <c r="H13" i="1" s="1"/>
  <c r="G5" i="1"/>
  <c r="H5" i="1" s="1"/>
  <c r="G3" i="1"/>
  <c r="H29" i="1"/>
  <c r="H11" i="1"/>
  <c r="H19" i="1"/>
  <c r="H6" i="1"/>
  <c r="H27" i="1"/>
  <c r="H18" i="1"/>
  <c r="H26" i="1"/>
  <c r="H4" i="1"/>
  <c r="H22" i="1"/>
  <c r="H30" i="1"/>
  <c r="H21" i="1"/>
  <c r="H3" i="1"/>
  <c r="H8" i="1"/>
  <c r="H25" i="1"/>
  <c r="H17" i="1"/>
  <c r="H9" i="1"/>
  <c r="H12" i="1"/>
</calcChain>
</file>

<file path=xl/sharedStrings.xml><?xml version="1.0" encoding="utf-8"?>
<sst xmlns="http://schemas.openxmlformats.org/spreadsheetml/2006/main" count="247" uniqueCount="135">
  <si>
    <t>prompt</t>
  </si>
  <si>
    <t>predict</t>
  </si>
  <si>
    <t>label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</si>
  <si>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0.42.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</si>
  <si>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10452.84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}{k1*(1-x_{A})*(p_{B0}-p_{A0}*x_{A})-\frac{p_{A0}*x_{A}*x_{A}}}=0.947 h. Theoretical volume is v=0.947*10452.84=9887.18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</si>
  <si>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10681.11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}{k1*(1-x_{A})*(p_{B0}-p_{A0}*x_{A})-\frac{p_{A0}*x_{A}*x_{A}}}=1.686 h. Theoretical volume is v=1.686*10681.11=18008.3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</si>
  <si>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0.44.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</si>
  <si>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10481.25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}{k1*(1-x_{A})*(p_{B0}-p_{A0}*x_{A})-\frac{p_{A0}*x_{A}*x_{A}}}=0.966 h. Theoretical volume is v=0.966*10481.25=10123.48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</si>
  <si>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10681.11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}{k1*(1-x_{A})*(p_{B0}-p_{A0}*x_{A})-\frac{p_{A0}*x_{A}*x_{A}}}=1.734 h. Theoretical volume is v=1.734*10681.11=18516.47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</si>
  <si>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0.46.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</si>
  <si>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10458.94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}{k1*(1-x_{A})*(p_{B0}-p_{A0}*x_{A})-\frac{p_{A0}*x_{A}*x_{A}}}=0.98 h. Theoretical volume is v=0.98*10458.94=10252.37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</si>
  <si>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10681.11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}{k1*(1-x_{A})*(p_{B0}-p_{A0}*x_{A})-\frac{p_{A0}*x_{A}*x_{A}}}=1.778 h. Theoretical volume is v=1.778*10681.11=18992.88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</si>
  <si>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0.48.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</si>
  <si>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3932.53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v=1.338*3932.53=5228.26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</si>
  <si>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10681.11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}{k1*(1-x_{A})*(p_{B0}-p_{A0}*x_{A})-\frac{p_{A0}*x_{A}*x_{A}}}=1.82 h. Theoretical volume is v=1.82*10681.11=19437.53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</si>
  <si>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0.5.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</si>
  <si>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3908.37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v=1.338*3908.37=5212.65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</si>
  <si>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10681.11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}{k1*(1-x_{A})*(p_{B0}-p_{A0}*x_{A})-\frac{p_{A0}*x_{A}*x_{A}}}=1.858 h. Theoretical volume is v=1.858*10681.11=19850.42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</si>
  <si>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0.42.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</si>
  <si>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10456.87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}{k1*(1-x_{A})*(p_{B0}-p_{A0}*x_{A})-\frac{p_{A0}*x_{A}*x_{A}}}=1.324 h. Theoretical volume is v=1.324*10456.87=13836.08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</si>
  <si>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0.44.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</si>
  <si>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10481.25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}{k1*(1-x_{A})*(p_{B0}-p_{A0}*x_{A})-\frac{p_{A0}*x_{A}*x_{A}}}=0.06 h. Theoretical volume is v=0.06*10481.25=573.38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</si>
  <si>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0.46.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</si>
  <si>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3908.67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}{k1*(1-x_{A})*(p_{B0}-p_{A0}*x_{A})-\frac{p_{A0}*x_{A}*x_{A}}}=0.964 h. Theoretical volume is v=0.964*3908.67=3759.74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</si>
  <si>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0.48.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</si>
  <si>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3929.57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v=1.338*3929.57=5202.29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</si>
  <si>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0.5.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</si>
  <si>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39097.07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v=1.338*39097.07=52017.76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</si>
  <si>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0.42.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</si>
  <si>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3909.87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x)}=1.044 h. Theoretical volume is v=1.044*3909.87=4102.88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</si>
  <si>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10681.11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x)}=1.03 h. Theoretical volume is v=1.03*10681.11=11005.07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</si>
  <si>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0.44.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</si>
  <si>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3929.82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x)}=0.2222 h. Theoretical volume is v=0.2222*3929.82=873.88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</si>
  <si>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10681.11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x)}=1.014 h. Theoretical volume is v=1.014*10681.11=10830.39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</si>
  <si>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0.46.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</si>
  <si>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3928.07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x)}=0.814 h. Theoretical volume is v=0.814*3928.07=3190.51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</si>
  <si>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10681.11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x)}=0.992 h. Theoretical volume is v=0.992*10681.11=10592.18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</si>
  <si>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0.48.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</si>
  <si>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10454.32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x)}=0.2224 h. Theoretical volume is v=0.2224*10454.32=2322.88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</si>
  <si>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10681.11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x)}=0.963 h. Theoretical volume is v=0.963*10681.11=10290.46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</si>
  <si>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0.5.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</si>
  <si>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10454.32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x)}=0.2322 h. Theoretical volume is v=0.2322*10454.32=2422.07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</si>
  <si>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10681.11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x)}=0.929 h. Theoretical volume is v=0.929*10681.11=9925.21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</si>
  <si>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1100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</si>
  <si>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1100/2 = 550.0 kmol/hAccording to the chemical reaction equation, the required mass flow rate of carbon monoxide per hour is m_A = 550.0*28 = 15400.0 kg/h. The required mass flow rate of water per hour is m_B = 550.0*18 = 9900.0 kg/h. The total volumetric feed flow rate is q_raw = (15400.0+9900.0)/3.23 = 7572.35 cum/h. The initial partial pressure of carbon monoxide is p_{A0} = 550.0*10/4 = 2.5 atm. The initial partial pressure of water is p_{B0} = 550.0*10*3/4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}{k1*(1-x_{A})*(p_{B0}-p_{A0}*x_{A})-\frac{p_{A0}*x_{A}*x_{A}}}=0.968 h. Theoretical volume is v=0.968*7572.35=7484.74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</si>
  <si>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1100/2 = 550.0 kmol/hAccording to the chemical reaction equation, the required mass flow rate of carbon monoxide per hour is m_A = 550.0*28 = 15400.0 kg/h. The required mass flow rate of water per hour is m_B = 550.0*18 = 9900.0 kg/h. The total volumetric feed flow rate is q_raw = (15400.0+9900.0)/3.23 = 7832.82 cum/h. The initial partial pressure of carbon monoxide is p_{A0} = 550.0*10/4 = 2.5 atm. The initial partial pressure of water is p_{B0} = 550.0*10*3/4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}{k1*(1-x_{A})*(p_{B0}-p_{A0}*x_{A})-\frac{p_{A0}*x_{A}*x_{A}}}=1.756 h. Theoretical volume is v=1.756*7832.82=13756.34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</si>
  <si>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1200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</si>
  <si>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1200/2 = 600.0 kmol/hAccording to the chemical reaction equation, the required mass flow rate of carbon monoxide per hour is m_A = 600.0*28 = 16800.0 kg/h. The required mass flow rate of water per hour is m_B = 600.0*18 = 10800.0 kg/h. The total volumetric feed flow rate is q_raw = (16800.0+10800.0)/3.23 = 9130.27 cum/h. The initial partial pressure of carbon monoxide is p_{A0} = 600.0*10/4 = 2.5 atm. The initial partial pressure of water is p_{B0} = 600.0*10*3/4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v=1.338*9130.27=12286.48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</si>
  <si>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1200/2 = 600.0 kmol/hAccording to the chemical reaction equation, the required mass flow rate of carbon monoxide per hour is m_A = 600.0*28 = 16800.0 kg/h. The required mass flow rate of water per hour is m_B = 600.0*18 = 10800.0 kg/h. The total volumetric feed flow rate is q_raw = (16800.0+10800.0)/3.23 = 8544.89 cum/h. The initial partial pressure of carbon monoxide is p_{A0} = 600.0*10/4 = 2.5 atm. The initial partial pressure of water is p_{B0} = 600.0*10*3/4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}{k1*(1-x_{A})*(p_{B0}-p_{A0}*x_{A})-\frac{p_{A0}*x_{A}*x_{A}}}=1.756 h. Theoretical volume is v=1.756*8544.89=15006.92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</si>
  <si>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1300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</si>
  <si>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1300/2 = 650.0 kmol/hAccording to the chemical reaction equation, the required mass flow rate of carbon monoxide per hour is m_A = 650.0*28 = 18200.0 kg/h. The required mass flow rate of water per hour is m_B = 650.0*18 = 11700.0 kg/h. The total volumetric feed flow rate is q_raw = (18200.0+11700.0)/3.23 = 9296.59 cum/h. The initial partial pressure of carbon monoxide is p_{A0} = 650.0*10/4 = 2.5 atm. The initial partial pressure of water is p_{B0} = 650.0*10*3/4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v=1.338*9296.59=12511.68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</si>
  <si>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1300/2 = 650.0 kmol/hAccording to the chemical reaction equation, the required mass flow rate of carbon monoxide per hour is m_A = 650.0*28 = 18200.0 kg/h. The required mass flow rate of water per hour is m_B = 650.0*18 = 11700.0 kg/h. The total volumetric feed flow rate is q_raw = (18200.0+11700.0)/3.23 = 9256.97 cum/h. The initial partial pressure of carbon monoxide is p_{A0} = 650.0*10/4 = 2.5 atm. The initial partial pressure of water is p_{B0} = 650.0*10*3/4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}{k1*(1-x_{A})*(p_{B0}-p_{A0}*x_{A})-\frac{p_{A0}*x_{A}*x_{A}}}=1.756 h. Theoretical volume is v=1.756*9256.97=16257.49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</si>
  <si>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1400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</si>
  <si>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1400/2 = 700.0 kmol/hAccording to the chemical reaction equation, the required mass flow rate of carbon monoxide per hour is m_A = 700.0*28 = 19600.0 kg/h. The required mass flow rate of water per hour is m_B = 700.0*18 = 12600.0 kg/h. The total volumetric feed flow rate is q_raw = (19600.0+12600.0)/3.23 = 10234.43 cum/h. The initial partial pressure of carbon monoxide is p_{A0} = 700.0*10/4 = 2.5 atm. The initial partial pressure of water is p_{B0} = 700.0*10*3/4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v=1.338*10234.43=13744.06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</si>
  <si>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1400/2 = 700.0 kmol/hAccording to the chemical reaction equation, the required mass flow rate of carbon monoxide per hour is m_A = 700.0*28 = 19600.0 kg/h. The required mass flow rate of water per hour is m_B = 700.0*18 = 12600.0 kg/h. The total volumetric feed flow rate is q_raw = (19600.0+12600.0)/3.23 = 9969.04 cum/h. The initial partial pressure of carbon monoxide is p_{A0} = 700.0*10/4 = 2.5 atm. The initial partial pressure of water is p_{B0} = 700.0*10*3/4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}{k1*(1-x_{A})*(p_{B0}-p_{A0}*x_{A})-\frac{p_{A0}*x_{A}*x_{A}}}=1.756 h. Theoretical volume is v=1.756*9969.04=17508.07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</si>
  <si>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</si>
  <si>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3908.67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v=1.338*3908.67=5211.68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</si>
  <si>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10681.11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}{k1*(1-x_{A})*(p_{B0}-p_{A0}*x_{A})-\frac{p_{A0}*x_{A}*x_{A}}}=1.756 h. Theoretical volume is v=1.756*10681.11=18758.65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</si>
  <si>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1100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</si>
  <si>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1100/2 = 550.0 kmol/hAccording to the chemical reaction equation, the required mass flow rate of carbon monoxide per hour is m_A = 550.0*28 = 15400.0 kg/h. The required mass flow rate of water per hour is m_B = 550.0*18 = 9900.0 kg/h. The total volumetric feed flow rate is q_raw = (15400.0+9900.0)/3.23 = 7576.35 cum/h. The initial partial pressure of carbon monoxide is p_{A0} = 550.0*10/4 = 2.5 atm. The initial partial pressure of water is p_{B0} = 550.0*10*3/4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}{k1*(1-x_{A})*(p_{B0}-p_{A0}*x_{A})-\frac{p_{A0}*x_{A}*x_{A}}}=0.978 h. Theoretical volume is v=0.978*7576.35=7465.28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</si>
  <si>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1200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</si>
  <si>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1200/2 = 600.0 kmol/hAccording to the chemical reaction equation, the required mass flow rate of carbon monoxide per hour is m_A = 600.0*28 = 16800.0 kg/h. The required mass flow rate of water per hour is m_B = 600.0*18 = 10800.0 kg/h. The total volumetric feed flow rate is q_raw = (16800.0+10800.0)/3.23 = 9130.27 cum/h. The initial partial pressure of carbon monoxide is p_{A0} = 600.0*10/4 = 2.5 atm. The initial partial pressure of water is p_{B0} = 600.0*10*3/4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}{k1*(1-x_{A})*(p_{B0}-p_{A0}*x_{A})-\frac{p_{A0}*x_{A}*x_{A}}}=1.338 h. Theoretical volume is v=1.338*9130.27=12300.06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</si>
  <si>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1300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</si>
  <si>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1300/2 = 650.0 kmol/hAccording to the chemical reaction equation, the required mass flow rate of carbon monoxide per hour is m_A = 650.0*28 = 18200.0 kg/h. The required mass flow rate of water per hour is m_B = 650.0*18 = 11700.0 kg/h. The total volumetric feed flow rate is q_raw = (18200.0+11700.0)/3.23 = 9260.87 cum/h. The initial partial pressure of carbon monoxide is p_{A0} = 650.0*10/4 = 2.5 atm. The initial partial pressure of water is p_{B0} = 650.0*10*3/4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}{k1*(1-x_{A})*(p_{B0}-p_{A0}*x_{A})-\frac{p_{A0}*x_{A}*x_{A}}}=0.976 h. Theoretical volume is v=0.976*9260.87=9044.76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</si>
  <si>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1400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</si>
  <si>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1400/2 = 700.0 kmol/hAccording to the chemical reaction equation, the required mass flow rate of carbon monoxide per hour is m_A = 700.0*28 = 19600.0 kg/h. The required mass flow rate of water per hour is m_B = 700.0*18 = 12600.0 kg/h. The total volumetric feed flow rate is q_raw = (19600.0+12600.0)/3.23 = 10238.38 cum/h. The initial partial pressure of carbon monoxide is p_{A0} = 700.0*10/4 = 2.5 atm. The initial partial pressure of water is p_{B0} = 700.0*10*3/4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}{k1*(1-x_{A})*(p_{B0}-p_{A0}*x_{A})-\frac{p_{A0}*x_{A}*x_{A}}}=0.97 h. Theoretical volume is v=0.97*10238.38=10002.18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</si>
  <si>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</si>
  <si>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10481.25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}{k1*(1-x_{A})*(p_{B0}-p_{A0}*x_{A})-\frac{p_{A0}*x_{A}*x_{A}}}=0.958 h. Theoretical volume is v=0.958*10481.25=10007.65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</si>
  <si>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1100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</si>
  <si>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1100/2 = 550.0 kmol/hAccording to the chemical reaction equation, the required mass flow rate of carbon monoxide per hour is m_A = 550.0*28 = 15400.0 kg/h. The required mass flow rate of water per hour is m_B = 550.0*18 = 9900.0 kg/h. The total volumetric feed flow rate is q_raw = (15400.0+9900.0)/3.23 = 7574.42 cum/h. The initial partial pressure of carbon monoxide is p_{A0} = 550.0*10/4 = 2.5 atm. The initial partial pressure of water is p_{B0} = 550.0*10*3/4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v=1.004*7574.42=7586.49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</si>
  <si>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1100/2 = 550.0 kmol/hAccording to the chemical reaction equation, the required mass flow rate of carbon monoxide per hour is m_A = 550.0*28 = 15400.0 kg/h. The required mass flow rate of water per hour is m_B = 550.0*18 = 9900.0 kg/h. The total volumetric feed flow rate is q_raw = (15400.0+9900.0)/3.23 = 7832.82 cum/h. The initial partial pressure of carbon monoxide is p_{A0} = 550.0*10/4 = 2.5 atm. The initial partial pressure of water is p_{B0} = 550.0*10*3/4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v=1.004*7832.82=7860.77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</si>
  <si>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1200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</si>
  <si>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1200/2 = 600.0 kmol/hAccording to the chemical reaction equation, the required mass flow rate of carbon monoxide per hour is m_A = 600.0*28 = 16800.0 kg/h. The required mass flow rate of water per hour is m_B = 600.0*18 = 10800.0 kg/h. The total volumetric feed flow rate is q_raw = (16800.0+10800.0)/3.23 = 9130.22 cum/h. The initial partial pressure of carbon monoxide is p_{A0} = 600.0*10/4 = 2.5 atm. The initial partial pressure of water is p_{B0} = 600.0*10*3/4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v=1.004*9130.22=9159.65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</si>
  <si>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1200/2 = 600.0 kmol/hAccording to the chemical reaction equation, the required mass flow rate of carbon monoxide per hour is m_A = 600.0*28 = 16800.0 kg/h. The required mass flow rate of water per hour is m_B = 600.0*18 = 10800.0 kg/h. The total volumetric feed flow rate is q_raw = (16800.0+10800.0)/3.23 = 8544.89 cum/h. The initial partial pressure of carbon monoxide is p_{A0} = 600.0*10/4 = 2.5 atm. The initial partial pressure of water is p_{B0} = 600.0*10*3/4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v=1.004*8544.89=8575.38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</si>
  <si>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1300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</si>
  <si>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1300/2 = 650.0 kmol/hAccording to the chemical reaction equation, the required mass flow rate of carbon monoxide per hour is m_A = 650.0*28 = 18200.0 kg/h. The required mass flow rate of water per hour is m_B = 650.0*18 = 11700.0 kg/h. The total volumetric feed flow rate is q_raw = (18200.0+11700.0)/3.23 = 9269.63 cum/h. The initial partial pressure of carbon monoxide is p_{A0} = 650.0*10/4 = 2.5 atm. The initial partial pressure of water is p_{B0} = 650.0*10*3/4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x)}=1.072 h. Theoretical volume is v=1.072*9269.63=9890.71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</si>
  <si>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1300/2 = 650.0 kmol/hAccording to the chemical reaction equation, the required mass flow rate of carbon monoxide per hour is m_A = 650.0*28 = 18200.0 kg/h. The required mass flow rate of water per hour is m_B = 650.0*18 = 11700.0 kg/h. The total volumetric feed flow rate is q_raw = (18200.0+11700.0)/3.23 = 9256.97 cum/h. The initial partial pressure of carbon monoxide is p_{A0} = 650.0*10/4 = 2.5 atm. The initial partial pressure of water is p_{B0} = 650.0*10*3/4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v=1.004*9256.97=9290.0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</si>
  <si>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1400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</si>
  <si>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1400/2 = 700.0 kmol/hAccording to the chemical reaction equation, the required mass flow rate of carbon monoxide per hour is m_A = 700.0*28 = 19600.0 kg/h. The required mass flow rate of water per hour is m_B = 700.0*18 = 12600.0 kg/h. The total volumetric feed flow rate is q_raw = (19600.0+12600.0)/3.23 = 10222.57 cum/h. The initial partial pressure of carbon monoxide is p_{A0} = 700.0*10/4 = 2.5 atm. The initial partial pressure of water is p_{B0} = 700.0*10*3/4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x)}=0.2322 h. Theoretical volume is v=0.2322*10222.57=2386.66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</si>
  <si>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1400/2 = 700.0 kmol/hAccording to the chemical reaction equation, the required mass flow rate of carbon monoxide per hour is m_A = 700.0*28 = 19600.0 kg/h. The required mass flow rate of water per hour is m_B = 700.0*18 = 12600.0 kg/h. The total volumetric feed flow rate is q_raw = (19600.0+12600.0)/3.23 = 9969.04 cum/h. The initial partial pressure of carbon monoxide is p_{A0} = 700.0*10/4 = 2.5 atm. The initial partial pressure of water is p_{B0} = 700.0*10*3/4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v=1.004*9969.04=10004.61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</si>
  <si>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water-gas shift (WGS) reaction is carried out. The reaction equation is $\ce{CO + H_{2}O \rightleftharpoons H_{2} + CO_{2}}$.This reaction is reversible.Assigning A, B, C, D to represent the four compounds respectively, the reaction rate equation is $r_{A} = k \left( p_{A} \cdot p_{B} - p_{C} \cdot p_{D} \right)$. At 1057 K and 10 atm, $k = 1345.2 \text{ mol}/(\text{h} \cdot \text{atm}^{2})$, $M_A = 28 \text{ kg/kmol}$, $M_B = 18 \text{ kg/kmol}$. The feed molar ratio of A to B is 1:3. The target hydrogen H₂ (C) production rate is 1500 kg/h. Assuming pure feed streams, the reactor operates under constant temperature and pressure. The feed density is 3.23 kg/cum. The required conversion of carbon monoxide CO (A) is 0.45. Please calculate the reactor residence time and volume.&lt;｜Assistant｜&gt;</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</si>
  <si>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10456.87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x)}=0.24 h. Theoretical volume is v=0.24*10456.87=25021.64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</si>
  <si>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10681.11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v=1.004*10681.11=10719.23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</si>
  <si>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carbon monoxide is 28 kg/kmol, water is 18 kg/kmol, and hydrogen is 2 kg/kmol.The required molar flow rate of hydrogen per hour is n_product = 1500/2 = 750.0 kmol/hAccording to the chemical reaction equation, the required mass flow rate of carbon monoxide per hour is m_A = 750.0*28 = 21000.0 kg/h. The required mass flow rate of water per hour is m_B = 750.0*18 = 13500.0 kg/h. The total volumetric feed flow rate is q_raw = (21000.0+13500.0)/3.23 = 10452.84 cum/h. The initial partial pressure of carbon monoxide is p_{A0} = 750.0*10/4 = 2.5 atm. The initial partial pressure of water is p_{B0} = 750.0*10*3/4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}{k1*(1-x_{A})*(p_{B0}-p_{A0}*x_{A})-\frac{p_{A0}*x_{A}*x_{A}}}=0.947 h. Theoretical volume is v=0.947*10452.84=9887.18 cum.After comprehensively considering various factors in the reaction process, the operating temperatures remain moderate with no presence of highly corrosive substances. Given the cost considerations, we recommend using carbon steel as the reactor material.</t>
    <phoneticPr fontId="2" type="noConversion"/>
  </si>
  <si>
    <t>9887.18</t>
  </si>
  <si>
    <t>10123.48</t>
  </si>
  <si>
    <t>10252.37</t>
  </si>
  <si>
    <t>5228.26</t>
  </si>
  <si>
    <t>5212.65</t>
  </si>
  <si>
    <t>13836.08</t>
  </si>
  <si>
    <t>573.38</t>
  </si>
  <si>
    <t>3759.74</t>
  </si>
  <si>
    <t>5202.29</t>
  </si>
  <si>
    <t>52017.76</t>
  </si>
  <si>
    <t>4102.88</t>
  </si>
  <si>
    <t>873.88</t>
  </si>
  <si>
    <t>3190.51</t>
  </si>
  <si>
    <t>2322.88</t>
  </si>
  <si>
    <t>2422.07</t>
  </si>
  <si>
    <t>7484.74</t>
  </si>
  <si>
    <t>12286.48</t>
  </si>
  <si>
    <t>12511.68</t>
  </si>
  <si>
    <t>13744.06</t>
  </si>
  <si>
    <t>5211.68</t>
  </si>
  <si>
    <t>7465.28</t>
  </si>
  <si>
    <t>12300.06</t>
  </si>
  <si>
    <t>9044.76</t>
  </si>
  <si>
    <t>10002.18</t>
  </si>
  <si>
    <t>10007.65</t>
  </si>
  <si>
    <t>7586.49</t>
  </si>
  <si>
    <t>9159.65</t>
  </si>
  <si>
    <t>9890.71</t>
  </si>
  <si>
    <t>2386.66</t>
  </si>
  <si>
    <t>25021.64</t>
  </si>
  <si>
    <t>18008.3</t>
  </si>
  <si>
    <t>18516.47</t>
  </si>
  <si>
    <t>18992.88</t>
  </si>
  <si>
    <t>19437.53</t>
  </si>
  <si>
    <t>19850.42</t>
  </si>
  <si>
    <t>11005.07</t>
  </si>
  <si>
    <t>10830.39</t>
  </si>
  <si>
    <t>10592.18</t>
  </si>
  <si>
    <t>10290.46</t>
  </si>
  <si>
    <t>9925.21</t>
  </si>
  <si>
    <t>13756.34</t>
  </si>
  <si>
    <t>15006.92</t>
  </si>
  <si>
    <t>16257.49</t>
  </si>
  <si>
    <t>17508.07</t>
  </si>
  <si>
    <t>18758.65</t>
  </si>
  <si>
    <t>7860.77</t>
  </si>
  <si>
    <t>8575.38</t>
  </si>
  <si>
    <t>9290.0</t>
  </si>
  <si>
    <t>10004.61</t>
  </si>
  <si>
    <t>10719.23</t>
  </si>
  <si>
    <t>ARE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</si>
</sst>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charset val="134"/>
    </font>
    <font>
      <sz val="9"/>
      <name val="宋体"/>
      <family val="3"/>
      <charset val="134"/>
      <scheme val="minor"/>
    </font>
    <font>
      <sz val="10"/>
      <color rgb="FF0F1115"/>
      <name val="Consolas"/>
      <family val="3"/>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xf numFmtId="0" fontId="3" fillId="0" borderId="0" xfId="0" applyFont="1" applyAlignment="1">
      <alignment horizontal="left" vertical="center"/>
    </xf>
    <xf numFmtId="0" fontId="4" fillId="0" borderId="0"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abSelected="1" workbookViewId="0">
      <selection activeCell="D4" sqref="D4"/>
    </sheetView>
  </sheetViews>
  <sheetFormatPr defaultRowHeight="14" x14ac:dyDescent="0.25"/>
  <cols>
    <col min="5" max="5" width="43.7265625" customWidth="1"/>
    <col min="7" max="7" width="25.7265625" customWidth="1"/>
  </cols>
  <sheetData>
    <row r="1" spans="1:13" x14ac:dyDescent="0.25">
      <c r="A1" s="1" t="s">
        <v>0</v>
      </c>
      <c r="B1" s="1" t="s">
        <v>1</v>
      </c>
      <c r="C1" s="1" t="s">
        <v>2</v>
      </c>
    </row>
    <row r="2" spans="1:13" x14ac:dyDescent="0.25">
      <c r="A2" s="2" t="s">
        <v>3</v>
      </c>
      <c r="B2" s="2" t="s">
        <v>83</v>
      </c>
      <c r="C2" s="2" t="s">
        <v>5</v>
      </c>
      <c r="D2" s="2">
        <f>FIND("v=",B2)</f>
        <v>1181</v>
      </c>
      <c r="E2" s="3" t="str">
        <f>MID(B2,D2+LEN("v="),LEN(B2))</f>
        <v>0.947*10452.84=9887.18 cum.After comprehensively considering various factors in the reaction process, the operating temperatures remain moderate with no presence of highly corrosive substances. Given the cost considerations, we recommend using carbon steel as the reactor material.</v>
      </c>
      <c r="F2" s="2">
        <f>FIND("=",E2)</f>
        <v>15</v>
      </c>
      <c r="G2" s="2" t="str">
        <f>MID(E2,F2+LEN("="),LEN(E2))</f>
        <v>9887.18 cum.After comprehensively considering various factors in the reaction process, the operating temperatures remain moderate with no presence of highly corrosive substances. Given the cost considerations, we recommend using carbon steel as the reactor material.</v>
      </c>
      <c r="H2" s="2" t="str">
        <f>LEFT(G2,FIND(" ",G2,FIND("",G2)+1)-1)</f>
        <v>9887.18</v>
      </c>
      <c r="I2" s="2">
        <f>FIND("v=",C2)</f>
        <v>1181</v>
      </c>
      <c r="J2" s="3" t="str">
        <f>MID(C2,I2+LEN("v="),LEN(C2))</f>
        <v>1.686*10681.11=18008.3 cum.After comprehensively considering various factors in the reaction process, the operating temperatures remain moderate with no presence of highly corrosive substances. Given the cost considerations, we recommend using carbon steel as the reactor material.</v>
      </c>
      <c r="K2">
        <f>FIND("=",J2)</f>
        <v>15</v>
      </c>
      <c r="L2" t="str">
        <f>MID(J2,K2+LEN("="),LEN(J2))</f>
        <v>18008.3 cum.After comprehensively considering various factors in the reaction process, the operating temperatures remain moderate with no presence of highly corrosive substances. Given the cost considerations, we recommend using carbon steel as the reactor material.</v>
      </c>
      <c r="M2" t="str">
        <f>LEFT(L2,FIND(" ",L2,FIND("",L2)+1)-1)</f>
        <v>18008.3</v>
      </c>
    </row>
    <row r="3" spans="1:13" x14ac:dyDescent="0.25">
      <c r="A3" t="s">
        <v>6</v>
      </c>
      <c r="B3" t="s">
        <v>7</v>
      </c>
      <c r="C3" t="s">
        <v>8</v>
      </c>
      <c r="D3" s="2">
        <f t="shared" ref="D3:D31" si="0">FIND("v=",B3)</f>
        <v>1181</v>
      </c>
      <c r="E3" s="3" t="str">
        <f t="shared" ref="E3:E31" si="1">MID(B3,D3+LEN("v="),LEN(B3))</f>
        <v>0.966*10481.25=10123.48 cum.After comprehensively considering various factors in the reaction process, the operating temperatures remain moderate with no presence of highly corrosive substances. Given the cost considerations, we recommend using carbon steel as the reactor material.</v>
      </c>
      <c r="F3" s="2">
        <f t="shared" ref="F3:F31" si="2">FIND("=",E3)</f>
        <v>15</v>
      </c>
      <c r="G3" s="2" t="str">
        <f t="shared" ref="G3:G31" si="3">MID(E3,F3+LEN("="),LEN(E3))</f>
        <v>10123.48 cum.After comprehensively considering various factors in the reaction process, the operating temperatures remain moderate with no presence of highly corrosive substances. Given the cost considerations, we recommend using carbon steel as the reactor material.</v>
      </c>
      <c r="H3" s="2" t="str">
        <f t="shared" ref="H3:H31" si="4">LEFT(G3,FIND(" ",G3,FIND("",G3)+1)-1)</f>
        <v>10123.48</v>
      </c>
      <c r="I3" s="2">
        <f t="shared" ref="I3:I30" si="5">FIND("v=",C3)</f>
        <v>1181</v>
      </c>
      <c r="J3" s="3" t="str">
        <f t="shared" ref="J3:J31" si="6">MID(C3,I3+LEN("v="),LEN(C3))</f>
        <v>1.734*10681.11=18516.47 cum.After comprehensively considering various factors in the reaction process, the operating temperatures remain moderate with no presence of highly corrosive substances. Given the cost considerations, we recommend using carbon steel as the reactor material.</v>
      </c>
      <c r="K3">
        <f t="shared" ref="K3:K31" si="7">FIND("=",J3)</f>
        <v>15</v>
      </c>
      <c r="L3" t="str">
        <f t="shared" ref="L3:L31" si="8">MID(J3,K3+LEN("="),LEN(J3))</f>
        <v>18516.47 cum.After comprehensively considering various factors in the reaction process, the operating temperatures remain moderate with no presence of highly corrosive substances. Given the cost considerations, we recommend using carbon steel as the reactor material.</v>
      </c>
      <c r="M3" t="str">
        <f t="shared" ref="M3:M31" si="9">LEFT(L3,FIND(" ",L3,FIND("",L3)+1)-1)</f>
        <v>18516.47</v>
      </c>
    </row>
    <row r="4" spans="1:13" x14ac:dyDescent="0.25">
      <c r="A4" t="s">
        <v>9</v>
      </c>
      <c r="B4" t="s">
        <v>10</v>
      </c>
      <c r="C4" t="s">
        <v>11</v>
      </c>
      <c r="D4" s="2">
        <f t="shared" si="0"/>
        <v>1180</v>
      </c>
      <c r="E4" s="3" t="str">
        <f t="shared" si="1"/>
        <v>0.98*10458.94=10252.37 cum.After comprehensively considering various factors in the reaction process, the operating temperatures remain moderate with no presence of highly corrosive substances. Given the cost considerations, we recommend using carbon steel as the reactor material.</v>
      </c>
      <c r="F4" s="2">
        <f t="shared" si="2"/>
        <v>14</v>
      </c>
      <c r="G4" s="2" t="str">
        <f t="shared" si="3"/>
        <v>10252.37 cum.After comprehensively considering various factors in the reaction process, the operating temperatures remain moderate with no presence of highly corrosive substances. Given the cost considerations, we recommend using carbon steel as the reactor material.</v>
      </c>
      <c r="H4" s="2" t="str">
        <f t="shared" si="4"/>
        <v>10252.37</v>
      </c>
      <c r="I4" s="2">
        <f t="shared" si="5"/>
        <v>1181</v>
      </c>
      <c r="J4" s="3" t="str">
        <f t="shared" si="6"/>
        <v>1.778*10681.11=18992.88 cum.After comprehensively considering various factors in the reaction process, the operating temperatures remain moderate with no presence of highly corrosive substances. Given the cost considerations, we recommend using carbon steel as the reactor material.</v>
      </c>
      <c r="K4">
        <f t="shared" si="7"/>
        <v>15</v>
      </c>
      <c r="L4" t="str">
        <f t="shared" si="8"/>
        <v>18992.88 cum.After comprehensively considering various factors in the reaction process, the operating temperatures remain moderate with no presence of highly corrosive substances. Given the cost considerations, we recommend using carbon steel as the reactor material.</v>
      </c>
      <c r="M4" t="str">
        <f t="shared" si="9"/>
        <v>18992.88</v>
      </c>
    </row>
    <row r="5" spans="1:13" x14ac:dyDescent="0.25">
      <c r="A5" t="s">
        <v>12</v>
      </c>
      <c r="B5" t="s">
        <v>13</v>
      </c>
      <c r="C5" t="s">
        <v>14</v>
      </c>
      <c r="D5" s="2">
        <f t="shared" si="0"/>
        <v>1180</v>
      </c>
      <c r="E5" s="3" t="str">
        <f t="shared" si="1"/>
        <v>1.338*3932.53=5228.26 cum.After comprehensively considering various factors in the reaction process, the operating temperatures remain moderate with no presence of highly corrosive substances. Given the cost considerations, we recommend using carbon steel as the reactor material.</v>
      </c>
      <c r="F5" s="2">
        <f t="shared" si="2"/>
        <v>14</v>
      </c>
      <c r="G5" s="2" t="str">
        <f t="shared" si="3"/>
        <v>5228.26 cum.After comprehensively considering various factors in the reaction process, the operating temperatures remain moderate with no presence of highly corrosive substances. Given the cost considerations, we recommend using carbon steel as the reactor material.</v>
      </c>
      <c r="H5" s="2" t="str">
        <f t="shared" si="4"/>
        <v>5228.26</v>
      </c>
      <c r="I5" s="2">
        <f t="shared" si="5"/>
        <v>1180</v>
      </c>
      <c r="J5" s="3" t="str">
        <f t="shared" si="6"/>
        <v>1.82*10681.11=19437.53 cum.After comprehensively considering various factors in the reaction process, the operating temperatures remain moderate with no presence of highly corrosive substances. Given the cost considerations, we recommend using carbon steel as the reactor material.</v>
      </c>
      <c r="K5">
        <f t="shared" si="7"/>
        <v>14</v>
      </c>
      <c r="L5" t="str">
        <f t="shared" si="8"/>
        <v>19437.53 cum.After comprehensively considering various factors in the reaction process, the operating temperatures remain moderate with no presence of highly corrosive substances. Given the cost considerations, we recommend using carbon steel as the reactor material.</v>
      </c>
      <c r="M5" t="str">
        <f t="shared" si="9"/>
        <v>19437.53</v>
      </c>
    </row>
    <row r="6" spans="1:13" x14ac:dyDescent="0.25">
      <c r="A6" t="s">
        <v>15</v>
      </c>
      <c r="B6" t="s">
        <v>16</v>
      </c>
      <c r="C6" t="s">
        <v>17</v>
      </c>
      <c r="D6" s="2">
        <f t="shared" si="0"/>
        <v>1180</v>
      </c>
      <c r="E6" s="3" t="str">
        <f t="shared" si="1"/>
        <v>1.338*3908.37=5212.65 cum.After comprehensively considering various factors in the reaction process, the operating temperatures remain moderate with no presence of highly corrosive substances. Given the cost considerations, we recommend using carbon steel as the reactor material.</v>
      </c>
      <c r="F6" s="2">
        <f t="shared" si="2"/>
        <v>14</v>
      </c>
      <c r="G6" s="2" t="str">
        <f t="shared" si="3"/>
        <v>5212.65 cum.After comprehensively considering various factors in the reaction process, the operating temperatures remain moderate with no presence of highly corrosive substances. Given the cost considerations, we recommend using carbon steel as the reactor material.</v>
      </c>
      <c r="H6" s="2" t="str">
        <f t="shared" si="4"/>
        <v>5212.65</v>
      </c>
      <c r="I6" s="2">
        <f t="shared" si="5"/>
        <v>1181</v>
      </c>
      <c r="J6" s="3" t="str">
        <f t="shared" si="6"/>
        <v>1.858*10681.11=19850.42 cum.After comprehensively considering various factors in the reaction process, the operating temperatures remain moderate with no presence of highly corrosive substances. Given the cost considerations, we recommend using carbon steel as the reactor material.</v>
      </c>
      <c r="K6">
        <f t="shared" si="7"/>
        <v>15</v>
      </c>
      <c r="L6" t="str">
        <f t="shared" si="8"/>
        <v>19850.42 cum.After comprehensively considering various factors in the reaction process, the operating temperatures remain moderate with no presence of highly corrosive substances. Given the cost considerations, we recommend using carbon steel as the reactor material.</v>
      </c>
      <c r="M6" t="str">
        <f t="shared" si="9"/>
        <v>19850.42</v>
      </c>
    </row>
    <row r="7" spans="1:13" x14ac:dyDescent="0.25">
      <c r="A7" t="s">
        <v>18</v>
      </c>
      <c r="B7" t="s">
        <v>19</v>
      </c>
      <c r="C7" t="s">
        <v>5</v>
      </c>
      <c r="D7" s="2">
        <f t="shared" si="0"/>
        <v>1181</v>
      </c>
      <c r="E7" s="3" t="str">
        <f t="shared" si="1"/>
        <v>1.324*10456.87=13836.08 cum.After comprehensively considering various factors in the reaction process, the operating temperatures remain moderate with no presence of highly corrosive substances. Given the cost considerations, we recommend using carbon steel as the reactor material.</v>
      </c>
      <c r="F7" s="2">
        <f t="shared" si="2"/>
        <v>15</v>
      </c>
      <c r="G7" s="2" t="str">
        <f t="shared" si="3"/>
        <v>13836.08 cum.After comprehensively considering various factors in the reaction process, the operating temperatures remain moderate with no presence of highly corrosive substances. Given the cost considerations, we recommend using carbon steel as the reactor material.</v>
      </c>
      <c r="H7" s="2" t="str">
        <f t="shared" si="4"/>
        <v>13836.08</v>
      </c>
      <c r="I7" s="2">
        <f t="shared" si="5"/>
        <v>1181</v>
      </c>
      <c r="J7" s="3" t="str">
        <f t="shared" si="6"/>
        <v>1.686*10681.11=18008.3 cum.After comprehensively considering various factors in the reaction process, the operating temperatures remain moderate with no presence of highly corrosive substances. Given the cost considerations, we recommend using carbon steel as the reactor material.</v>
      </c>
      <c r="K7">
        <f t="shared" si="7"/>
        <v>15</v>
      </c>
      <c r="L7" t="str">
        <f t="shared" si="8"/>
        <v>18008.3 cum.After comprehensively considering various factors in the reaction process, the operating temperatures remain moderate with no presence of highly corrosive substances. Given the cost considerations, we recommend using carbon steel as the reactor material.</v>
      </c>
      <c r="M7" t="str">
        <f t="shared" si="9"/>
        <v>18008.3</v>
      </c>
    </row>
    <row r="8" spans="1:13" x14ac:dyDescent="0.25">
      <c r="A8" t="s">
        <v>20</v>
      </c>
      <c r="B8" t="s">
        <v>21</v>
      </c>
      <c r="C8" t="s">
        <v>8</v>
      </c>
      <c r="D8" s="2">
        <f t="shared" si="0"/>
        <v>1180</v>
      </c>
      <c r="E8" s="3" t="str">
        <f t="shared" si="1"/>
        <v>0.06*10481.25=573.38 cum.After comprehensively considering various factors in the reaction process, the operating temperatures remain moderate with no presence of highly corrosive substances. Given the cost considerations, we recommend using carbon steel as the reactor material.</v>
      </c>
      <c r="F8" s="2">
        <f t="shared" si="2"/>
        <v>14</v>
      </c>
      <c r="G8" s="2" t="str">
        <f t="shared" si="3"/>
        <v>573.38 cum.After comprehensively considering various factors in the reaction process, the operating temperatures remain moderate with no presence of highly corrosive substances. Given the cost considerations, we recommend using carbon steel as the reactor material.</v>
      </c>
      <c r="H8" s="2" t="str">
        <f t="shared" si="4"/>
        <v>573.38</v>
      </c>
      <c r="I8" s="2">
        <f t="shared" si="5"/>
        <v>1181</v>
      </c>
      <c r="J8" s="3" t="str">
        <f t="shared" si="6"/>
        <v>1.734*10681.11=18516.47 cum.After comprehensively considering various factors in the reaction process, the operating temperatures remain moderate with no presence of highly corrosive substances. Given the cost considerations, we recommend using carbon steel as the reactor material.</v>
      </c>
      <c r="K8">
        <f t="shared" si="7"/>
        <v>15</v>
      </c>
      <c r="L8" t="str">
        <f t="shared" si="8"/>
        <v>18516.47 cum.After comprehensively considering various factors in the reaction process, the operating temperatures remain moderate with no presence of highly corrosive substances. Given the cost considerations, we recommend using carbon steel as the reactor material.</v>
      </c>
      <c r="M8" t="str">
        <f t="shared" si="9"/>
        <v>18516.47</v>
      </c>
    </row>
    <row r="9" spans="1:13" x14ac:dyDescent="0.25">
      <c r="A9" t="s">
        <v>22</v>
      </c>
      <c r="B9" t="s">
        <v>23</v>
      </c>
      <c r="C9" t="s">
        <v>11</v>
      </c>
      <c r="D9" s="2">
        <f t="shared" si="0"/>
        <v>1180</v>
      </c>
      <c r="E9" s="3" t="str">
        <f t="shared" si="1"/>
        <v>0.964*3908.67=3759.74 cum.After comprehensively considering various factors in the reaction process, the operating temperatures remain moderate with no presence of highly corrosive substances. Given the cost considerations, we recommend using carbon steel as the reactor material.</v>
      </c>
      <c r="F9" s="2">
        <f t="shared" si="2"/>
        <v>14</v>
      </c>
      <c r="G9" s="2" t="str">
        <f t="shared" si="3"/>
        <v>3759.74 cum.After comprehensively considering various factors in the reaction process, the operating temperatures remain moderate with no presence of highly corrosive substances. Given the cost considerations, we recommend using carbon steel as the reactor material.</v>
      </c>
      <c r="H9" s="2" t="str">
        <f t="shared" si="4"/>
        <v>3759.74</v>
      </c>
      <c r="I9" s="2">
        <f t="shared" si="5"/>
        <v>1181</v>
      </c>
      <c r="J9" s="3" t="str">
        <f t="shared" si="6"/>
        <v>1.778*10681.11=18992.88 cum.After comprehensively considering various factors in the reaction process, the operating temperatures remain moderate with no presence of highly corrosive substances. Given the cost considerations, we recommend using carbon steel as the reactor material.</v>
      </c>
      <c r="K9">
        <f t="shared" si="7"/>
        <v>15</v>
      </c>
      <c r="L9" t="str">
        <f t="shared" si="8"/>
        <v>18992.88 cum.After comprehensively considering various factors in the reaction process, the operating temperatures remain moderate with no presence of highly corrosive substances. Given the cost considerations, we recommend using carbon steel as the reactor material.</v>
      </c>
      <c r="M9" t="str">
        <f t="shared" si="9"/>
        <v>18992.88</v>
      </c>
    </row>
    <row r="10" spans="1:13" x14ac:dyDescent="0.25">
      <c r="A10" t="s">
        <v>24</v>
      </c>
      <c r="B10" t="s">
        <v>25</v>
      </c>
      <c r="C10" t="s">
        <v>14</v>
      </c>
      <c r="D10" s="2">
        <f t="shared" si="0"/>
        <v>1180</v>
      </c>
      <c r="E10" s="3" t="str">
        <f t="shared" si="1"/>
        <v>1.338*3929.57=5202.29 cum.After comprehensively considering various factors in the reaction process, the operating temperatures remain moderate with no presence of highly corrosive substances. Given the cost considerations, we recommend using carbon steel as the reactor material.</v>
      </c>
      <c r="F10" s="2">
        <f t="shared" si="2"/>
        <v>14</v>
      </c>
      <c r="G10" s="2" t="str">
        <f t="shared" si="3"/>
        <v>5202.29 cum.After comprehensively considering various factors in the reaction process, the operating temperatures remain moderate with no presence of highly corrosive substances. Given the cost considerations, we recommend using carbon steel as the reactor material.</v>
      </c>
      <c r="H10" s="2" t="str">
        <f t="shared" si="4"/>
        <v>5202.29</v>
      </c>
      <c r="I10" s="2">
        <f t="shared" si="5"/>
        <v>1180</v>
      </c>
      <c r="J10" s="3" t="str">
        <f t="shared" si="6"/>
        <v>1.82*10681.11=19437.53 cum.After comprehensively considering various factors in the reaction process, the operating temperatures remain moderate with no presence of highly corrosive substances. Given the cost considerations, we recommend using carbon steel as the reactor material.</v>
      </c>
      <c r="K10">
        <f t="shared" si="7"/>
        <v>14</v>
      </c>
      <c r="L10" t="str">
        <f t="shared" si="8"/>
        <v>19437.53 cum.After comprehensively considering various factors in the reaction process, the operating temperatures remain moderate with no presence of highly corrosive substances. Given the cost considerations, we recommend using carbon steel as the reactor material.</v>
      </c>
      <c r="M10" t="str">
        <f t="shared" si="9"/>
        <v>19437.53</v>
      </c>
    </row>
    <row r="11" spans="1:13" x14ac:dyDescent="0.25">
      <c r="A11" t="s">
        <v>26</v>
      </c>
      <c r="B11" t="s">
        <v>27</v>
      </c>
      <c r="C11" t="s">
        <v>17</v>
      </c>
      <c r="D11" s="2">
        <f t="shared" si="0"/>
        <v>1181</v>
      </c>
      <c r="E11" s="3" t="str">
        <f t="shared" si="1"/>
        <v>1.338*39097.07=52017.76 cum.After comprehensively considering various factors in the reaction process, the operating temperatures remain moderate with no presence of highly corrosive substances. Given the cost considerations, we recommend using carbon steel as the reactor material.</v>
      </c>
      <c r="F11" s="2">
        <f t="shared" si="2"/>
        <v>15</v>
      </c>
      <c r="G11" s="2" t="str">
        <f t="shared" si="3"/>
        <v>52017.76 cum.After comprehensively considering various factors in the reaction process, the operating temperatures remain moderate with no presence of highly corrosive substances. Given the cost considerations, we recommend using carbon steel as the reactor material.</v>
      </c>
      <c r="H11" s="2" t="str">
        <f t="shared" si="4"/>
        <v>52017.76</v>
      </c>
      <c r="I11" s="2">
        <f t="shared" si="5"/>
        <v>1181</v>
      </c>
      <c r="J11" s="3" t="str">
        <f t="shared" si="6"/>
        <v>1.858*10681.11=19850.42 cum.After comprehensively considering various factors in the reaction process, the operating temperatures remain moderate with no presence of highly corrosive substances. Given the cost considerations, we recommend using carbon steel as the reactor material.</v>
      </c>
      <c r="K11">
        <f t="shared" si="7"/>
        <v>15</v>
      </c>
      <c r="L11" t="str">
        <f t="shared" si="8"/>
        <v>19850.42 cum.After comprehensively considering various factors in the reaction process, the operating temperatures remain moderate with no presence of highly corrosive substances. Given the cost considerations, we recommend using carbon steel as the reactor material.</v>
      </c>
      <c r="M11" t="str">
        <f t="shared" si="9"/>
        <v>19850.42</v>
      </c>
    </row>
    <row r="12" spans="1:13" x14ac:dyDescent="0.25">
      <c r="A12" t="s">
        <v>28</v>
      </c>
      <c r="B12" t="s">
        <v>29</v>
      </c>
      <c r="C12" t="s">
        <v>30</v>
      </c>
      <c r="D12" s="2">
        <f t="shared" si="0"/>
        <v>1111</v>
      </c>
      <c r="E12" s="3" t="str">
        <f t="shared" si="1"/>
        <v>1.044*3909.87=4102.88 cum.After comprehensively considering various factors in the reaction process, the operating temperatures remain moderate with no presence of highly corrosive substances. Given the cost considerations, we recommend using carbon steel as the reactor material.</v>
      </c>
      <c r="F12" s="2">
        <f t="shared" si="2"/>
        <v>14</v>
      </c>
      <c r="G12" s="2" t="str">
        <f t="shared" si="3"/>
        <v>4102.88 cum.After comprehensively considering various factors in the reaction process, the operating temperatures remain moderate with no presence of highly corrosive substances. Given the cost considerations, we recommend using carbon steel as the reactor material.</v>
      </c>
      <c r="H12" s="2" t="str">
        <f t="shared" si="4"/>
        <v>4102.88</v>
      </c>
      <c r="I12" s="2">
        <f t="shared" si="5"/>
        <v>1111</v>
      </c>
      <c r="J12" s="3" t="str">
        <f t="shared" si="6"/>
        <v>1.03*10681.11=11005.07 cum.After comprehensively considering various factors in the reaction process, the operating temperatures remain moderate with no presence of highly corrosive substances. Given the cost considerations, we recommend using carbon steel as the reactor material.</v>
      </c>
      <c r="K12">
        <f t="shared" si="7"/>
        <v>14</v>
      </c>
      <c r="L12" t="str">
        <f t="shared" si="8"/>
        <v>11005.07 cum.After comprehensively considering various factors in the reaction process, the operating temperatures remain moderate with no presence of highly corrosive substances. Given the cost considerations, we recommend using carbon steel as the reactor material.</v>
      </c>
      <c r="M12" t="str">
        <f t="shared" si="9"/>
        <v>11005.07</v>
      </c>
    </row>
    <row r="13" spans="1:13" x14ac:dyDescent="0.25">
      <c r="A13" t="s">
        <v>31</v>
      </c>
      <c r="B13" t="s">
        <v>32</v>
      </c>
      <c r="C13" t="s">
        <v>33</v>
      </c>
      <c r="D13" s="2">
        <f t="shared" si="0"/>
        <v>1112</v>
      </c>
      <c r="E13" s="3" t="str">
        <f t="shared" si="1"/>
        <v>0.2222*3929.82=873.88 cum.After comprehensively considering various factors in the reaction process, the operating temperatures remain moderate with no presence of highly corrosive substances. Given the cost considerations, we recommend using carbon steel as the reactor material.</v>
      </c>
      <c r="F13" s="2">
        <f t="shared" si="2"/>
        <v>15</v>
      </c>
      <c r="G13" s="2" t="str">
        <f t="shared" si="3"/>
        <v>873.88 cum.After comprehensively considering various factors in the reaction process, the operating temperatures remain moderate with no presence of highly corrosive substances. Given the cost considerations, we recommend using carbon steel as the reactor material.</v>
      </c>
      <c r="H13" s="2" t="str">
        <f t="shared" si="4"/>
        <v>873.88</v>
      </c>
      <c r="I13" s="2">
        <f t="shared" si="5"/>
        <v>1112</v>
      </c>
      <c r="J13" s="3" t="str">
        <f t="shared" si="6"/>
        <v>1.014*10681.11=10830.39 cum.After comprehensively considering various factors in the reaction process, the operating temperatures remain moderate with no presence of highly corrosive substances. Given the cost considerations, we recommend using carbon steel as the reactor material.</v>
      </c>
      <c r="K13">
        <f t="shared" si="7"/>
        <v>15</v>
      </c>
      <c r="L13" t="str">
        <f t="shared" si="8"/>
        <v>10830.39 cum.After comprehensively considering various factors in the reaction process, the operating temperatures remain moderate with no presence of highly corrosive substances. Given the cost considerations, we recommend using carbon steel as the reactor material.</v>
      </c>
      <c r="M13" t="str">
        <f t="shared" si="9"/>
        <v>10830.39</v>
      </c>
    </row>
    <row r="14" spans="1:13" x14ac:dyDescent="0.25">
      <c r="A14" t="s">
        <v>34</v>
      </c>
      <c r="B14" t="s">
        <v>35</v>
      </c>
      <c r="C14" t="s">
        <v>36</v>
      </c>
      <c r="D14" s="2">
        <f t="shared" si="0"/>
        <v>1111</v>
      </c>
      <c r="E14" s="3" t="str">
        <f t="shared" si="1"/>
        <v>0.814*3928.07=3190.51 cum.After comprehensively considering various factors in the reaction process, the operating temperatures remain moderate with no presence of highly corrosive substances. Given the cost considerations, we recommend using carbon steel as the reactor material.</v>
      </c>
      <c r="F14" s="2">
        <f t="shared" si="2"/>
        <v>14</v>
      </c>
      <c r="G14" s="2" t="str">
        <f t="shared" si="3"/>
        <v>3190.51 cum.After comprehensively considering various factors in the reaction process, the operating temperatures remain moderate with no presence of highly corrosive substances. Given the cost considerations, we recommend using carbon steel as the reactor material.</v>
      </c>
      <c r="H14" s="2" t="str">
        <f t="shared" si="4"/>
        <v>3190.51</v>
      </c>
      <c r="I14" s="2">
        <f t="shared" si="5"/>
        <v>1112</v>
      </c>
      <c r="J14" s="3" t="str">
        <f t="shared" si="6"/>
        <v>0.992*10681.11=10592.18 cum.After comprehensively considering various factors in the reaction process, the operating temperatures remain moderate with no presence of highly corrosive substances. Given the cost considerations, we recommend using carbon steel as the reactor material.</v>
      </c>
      <c r="K14">
        <f t="shared" si="7"/>
        <v>15</v>
      </c>
      <c r="L14" t="str">
        <f t="shared" si="8"/>
        <v>10592.18 cum.After comprehensively considering various factors in the reaction process, the operating temperatures remain moderate with no presence of highly corrosive substances. Given the cost considerations, we recommend using carbon steel as the reactor material.</v>
      </c>
      <c r="M14" t="str">
        <f t="shared" si="9"/>
        <v>10592.18</v>
      </c>
    </row>
    <row r="15" spans="1:13" x14ac:dyDescent="0.25">
      <c r="A15" t="s">
        <v>37</v>
      </c>
      <c r="B15" t="s">
        <v>38</v>
      </c>
      <c r="C15" t="s">
        <v>39</v>
      </c>
      <c r="D15" s="2">
        <f t="shared" si="0"/>
        <v>1113</v>
      </c>
      <c r="E15" s="3" t="str">
        <f t="shared" si="1"/>
        <v>0.2224*10454.32=2322.88 cum.After comprehensively considering various factors in the reaction process, the operating temperatures remain moderate with no presence of highly corrosive substances. Given the cost considerations, we recommend using carbon steel as the reactor material.</v>
      </c>
      <c r="F15" s="2">
        <f t="shared" si="2"/>
        <v>16</v>
      </c>
      <c r="G15" s="2" t="str">
        <f t="shared" si="3"/>
        <v>2322.88 cum.After comprehensively considering various factors in the reaction process, the operating temperatures remain moderate with no presence of highly corrosive substances. Given the cost considerations, we recommend using carbon steel as the reactor material.</v>
      </c>
      <c r="H15" s="2" t="str">
        <f t="shared" si="4"/>
        <v>2322.88</v>
      </c>
      <c r="I15" s="2">
        <f t="shared" si="5"/>
        <v>1112</v>
      </c>
      <c r="J15" s="3" t="str">
        <f t="shared" si="6"/>
        <v>0.963*10681.11=10290.46 cum.After comprehensively considering various factors in the reaction process, the operating temperatures remain moderate with no presence of highly corrosive substances. Given the cost considerations, we recommend using carbon steel as the reactor material.</v>
      </c>
      <c r="K15">
        <f t="shared" si="7"/>
        <v>15</v>
      </c>
      <c r="L15" t="str">
        <f t="shared" si="8"/>
        <v>10290.46 cum.After comprehensively considering various factors in the reaction process, the operating temperatures remain moderate with no presence of highly corrosive substances. Given the cost considerations, we recommend using carbon steel as the reactor material.</v>
      </c>
      <c r="M15" t="str">
        <f t="shared" si="9"/>
        <v>10290.46</v>
      </c>
    </row>
    <row r="16" spans="1:13" x14ac:dyDescent="0.25">
      <c r="A16" t="s">
        <v>40</v>
      </c>
      <c r="B16" t="s">
        <v>41</v>
      </c>
      <c r="C16" t="s">
        <v>42</v>
      </c>
      <c r="D16" s="2">
        <f t="shared" si="0"/>
        <v>1113</v>
      </c>
      <c r="E16" s="3" t="str">
        <f t="shared" si="1"/>
        <v>0.2322*10454.32=2422.07 cum.After comprehensively considering various factors in the reaction process, the operating temperatures remain moderate with no presence of highly corrosive substances. Given the cost considerations, we recommend using carbon steel as the reactor material.</v>
      </c>
      <c r="F16" s="2">
        <f t="shared" si="2"/>
        <v>16</v>
      </c>
      <c r="G16" s="2" t="str">
        <f t="shared" si="3"/>
        <v>2422.07 cum.After comprehensively considering various factors in the reaction process, the operating temperatures remain moderate with no presence of highly corrosive substances. Given the cost considerations, we recommend using carbon steel as the reactor material.</v>
      </c>
      <c r="H16" s="2" t="str">
        <f t="shared" si="4"/>
        <v>2422.07</v>
      </c>
      <c r="I16" s="2">
        <f t="shared" si="5"/>
        <v>1112</v>
      </c>
      <c r="J16" s="3" t="str">
        <f t="shared" si="6"/>
        <v>0.929*10681.11=9925.21 cum.After comprehensively considering various factors in the reaction process, the operating temperatures remain moderate with no presence of highly corrosive substances. Given the cost considerations, we recommend using carbon steel as the reactor material.</v>
      </c>
      <c r="K16">
        <f t="shared" si="7"/>
        <v>15</v>
      </c>
      <c r="L16" t="str">
        <f t="shared" si="8"/>
        <v>9925.21 cum.After comprehensively considering various factors in the reaction process, the operating temperatures remain moderate with no presence of highly corrosive substances. Given the cost considerations, we recommend using carbon steel as the reactor material.</v>
      </c>
      <c r="M16" t="str">
        <f t="shared" si="9"/>
        <v>9925.21</v>
      </c>
    </row>
    <row r="17" spans="1:13" x14ac:dyDescent="0.25">
      <c r="A17" t="s">
        <v>43</v>
      </c>
      <c r="B17" t="s">
        <v>44</v>
      </c>
      <c r="C17" t="s">
        <v>45</v>
      </c>
      <c r="D17" s="2">
        <f t="shared" si="0"/>
        <v>1178</v>
      </c>
      <c r="E17" s="3" t="str">
        <f t="shared" si="1"/>
        <v>0.968*7572.35=7484.74 cum.After comprehensively considering various factors in the reaction process, the operating temperatures remain moderate with no presence of highly corrosive substances. Given the cost considerations, we recommend using carbon steel as the reactor material.</v>
      </c>
      <c r="F17" s="2">
        <f t="shared" si="2"/>
        <v>14</v>
      </c>
      <c r="G17" s="2" t="str">
        <f t="shared" si="3"/>
        <v>7484.74 cum.After comprehensively considering various factors in the reaction process, the operating temperatures remain moderate with no presence of highly corrosive substances. Given the cost considerations, we recommend using carbon steel as the reactor material.</v>
      </c>
      <c r="H17" s="2" t="str">
        <f t="shared" si="4"/>
        <v>7484.74</v>
      </c>
      <c r="I17" s="2">
        <f t="shared" si="5"/>
        <v>1178</v>
      </c>
      <c r="J17" s="3" t="str">
        <f t="shared" si="6"/>
        <v>1.756*7832.82=13756.34 cum.After comprehensively considering various factors in the reaction process, the operating temperatures remain moderate with no presence of highly corrosive substances. Given the cost considerations, we recommend using carbon steel as the reactor material.</v>
      </c>
      <c r="K17">
        <f t="shared" si="7"/>
        <v>14</v>
      </c>
      <c r="L17" t="str">
        <f t="shared" si="8"/>
        <v>13756.34 cum.After comprehensively considering various factors in the reaction process, the operating temperatures remain moderate with no presence of highly corrosive substances. Given the cost considerations, we recommend using carbon steel as the reactor material.</v>
      </c>
      <c r="M17" t="str">
        <f t="shared" si="9"/>
        <v>13756.34</v>
      </c>
    </row>
    <row r="18" spans="1:13" x14ac:dyDescent="0.25">
      <c r="A18" t="s">
        <v>46</v>
      </c>
      <c r="B18" t="s">
        <v>47</v>
      </c>
      <c r="C18" t="s">
        <v>48</v>
      </c>
      <c r="D18" s="2">
        <f t="shared" si="0"/>
        <v>1180</v>
      </c>
      <c r="E18" s="3" t="str">
        <f t="shared" si="1"/>
        <v>1.338*9130.27=12286.48 cum.After comprehensively considering various factors in the reaction process, the operating temperatures remain moderate with no presence of highly corrosive substances. Given the cost considerations, we recommend using carbon steel as the reactor material.</v>
      </c>
      <c r="F18" s="2">
        <f t="shared" si="2"/>
        <v>14</v>
      </c>
      <c r="G18" s="2" t="str">
        <f t="shared" si="3"/>
        <v>12286.48 cum.After comprehensively considering various factors in the reaction process, the operating temperatures remain moderate with no presence of highly corrosive substances. Given the cost considerations, we recommend using carbon steel as the reactor material.</v>
      </c>
      <c r="H18" s="2" t="str">
        <f t="shared" si="4"/>
        <v>12286.48</v>
      </c>
      <c r="I18" s="2">
        <f t="shared" si="5"/>
        <v>1180</v>
      </c>
      <c r="J18" s="3" t="str">
        <f t="shared" si="6"/>
        <v>1.756*8544.89=15006.92 cum.After comprehensively considering various factors in the reaction process, the operating temperatures remain moderate with no presence of highly corrosive substances. Given the cost considerations, we recommend using carbon steel as the reactor material.</v>
      </c>
      <c r="K18">
        <f t="shared" si="7"/>
        <v>14</v>
      </c>
      <c r="L18" t="str">
        <f t="shared" si="8"/>
        <v>15006.92 cum.After comprehensively considering various factors in the reaction process, the operating temperatures remain moderate with no presence of highly corrosive substances. Given the cost considerations, we recommend using carbon steel as the reactor material.</v>
      </c>
      <c r="M18" t="str">
        <f t="shared" si="9"/>
        <v>15006.92</v>
      </c>
    </row>
    <row r="19" spans="1:13" x14ac:dyDescent="0.25">
      <c r="A19" t="s">
        <v>49</v>
      </c>
      <c r="B19" t="s">
        <v>50</v>
      </c>
      <c r="C19" t="s">
        <v>51</v>
      </c>
      <c r="D19" s="2">
        <f t="shared" si="0"/>
        <v>1180</v>
      </c>
      <c r="E19" s="3" t="str">
        <f t="shared" si="1"/>
        <v>1.338*9296.59=12511.68 cum.After comprehensively considering various factors in the reaction process, the operating temperatures remain moderate with no presence of highly corrosive substances. Given the cost considerations, we recommend using carbon steel as the reactor material.</v>
      </c>
      <c r="F19" s="2">
        <f t="shared" si="2"/>
        <v>14</v>
      </c>
      <c r="G19" s="2" t="str">
        <f t="shared" si="3"/>
        <v>12511.68 cum.After comprehensively considering various factors in the reaction process, the operating temperatures remain moderate with no presence of highly corrosive substances. Given the cost considerations, we recommend using carbon steel as the reactor material.</v>
      </c>
      <c r="H19" s="2" t="str">
        <f t="shared" si="4"/>
        <v>12511.68</v>
      </c>
      <c r="I19" s="2">
        <f t="shared" si="5"/>
        <v>1180</v>
      </c>
      <c r="J19" s="3" t="str">
        <f t="shared" si="6"/>
        <v>1.756*9256.97=16257.49 cum.After comprehensively considering various factors in the reaction process, the operating temperatures remain moderate with no presence of highly corrosive substances. Given the cost considerations, we recommend using carbon steel as the reactor material.</v>
      </c>
      <c r="K19">
        <f t="shared" si="7"/>
        <v>14</v>
      </c>
      <c r="L19" t="str">
        <f t="shared" si="8"/>
        <v>16257.49 cum.After comprehensively considering various factors in the reaction process, the operating temperatures remain moderate with no presence of highly corrosive substances. Given the cost considerations, we recommend using carbon steel as the reactor material.</v>
      </c>
      <c r="M19" t="str">
        <f t="shared" si="9"/>
        <v>16257.49</v>
      </c>
    </row>
    <row r="20" spans="1:13" x14ac:dyDescent="0.25">
      <c r="A20" t="s">
        <v>52</v>
      </c>
      <c r="B20" t="s">
        <v>53</v>
      </c>
      <c r="C20" t="s">
        <v>54</v>
      </c>
      <c r="D20" s="2">
        <f t="shared" si="0"/>
        <v>1181</v>
      </c>
      <c r="E20" s="3" t="str">
        <f t="shared" si="1"/>
        <v>1.338*10234.43=13744.06 cum.After comprehensively considering various factors in the reaction process, the operating temperatures remain moderate with no presence of highly corrosive substances. Given the cost considerations, we recommend using carbon steel as the reactor material.</v>
      </c>
      <c r="F20" s="2">
        <f t="shared" si="2"/>
        <v>15</v>
      </c>
      <c r="G20" s="2" t="str">
        <f t="shared" si="3"/>
        <v>13744.06 cum.After comprehensively considering various factors in the reaction process, the operating temperatures remain moderate with no presence of highly corrosive substances. Given the cost considerations, we recommend using carbon steel as the reactor material.</v>
      </c>
      <c r="H20" s="2" t="str">
        <f t="shared" si="4"/>
        <v>13744.06</v>
      </c>
      <c r="I20" s="2">
        <f t="shared" si="5"/>
        <v>1180</v>
      </c>
      <c r="J20" s="3" t="str">
        <f t="shared" si="6"/>
        <v>1.756*9969.04=17508.07 cum.After comprehensively considering various factors in the reaction process, the operating temperatures remain moderate with no presence of highly corrosive substances. Given the cost considerations, we recommend using carbon steel as the reactor material.</v>
      </c>
      <c r="K20">
        <f t="shared" si="7"/>
        <v>14</v>
      </c>
      <c r="L20" t="str">
        <f t="shared" si="8"/>
        <v>17508.07 cum.After comprehensively considering various factors in the reaction process, the operating temperatures remain moderate with no presence of highly corrosive substances. Given the cost considerations, we recommend using carbon steel as the reactor material.</v>
      </c>
      <c r="M20" t="str">
        <f t="shared" si="9"/>
        <v>17508.07</v>
      </c>
    </row>
    <row r="21" spans="1:13" x14ac:dyDescent="0.25">
      <c r="A21" t="s">
        <v>55</v>
      </c>
      <c r="B21" t="s">
        <v>56</v>
      </c>
      <c r="C21" t="s">
        <v>57</v>
      </c>
      <c r="D21" s="2">
        <f t="shared" si="0"/>
        <v>1180</v>
      </c>
      <c r="E21" s="3" t="str">
        <f t="shared" si="1"/>
        <v>1.338*3908.67=5211.68 cum.After comprehensively considering various factors in the reaction process, the operating temperatures remain moderate with no presence of highly corrosive substances. Given the cost considerations, we recommend using carbon steel as the reactor material.</v>
      </c>
      <c r="F21" s="2">
        <f t="shared" si="2"/>
        <v>14</v>
      </c>
      <c r="G21" s="2" t="str">
        <f t="shared" si="3"/>
        <v>5211.68 cum.After comprehensively considering various factors in the reaction process, the operating temperatures remain moderate with no presence of highly corrosive substances. Given the cost considerations, we recommend using carbon steel as the reactor material.</v>
      </c>
      <c r="H21" s="2" t="str">
        <f t="shared" si="4"/>
        <v>5211.68</v>
      </c>
      <c r="I21" s="2">
        <f t="shared" si="5"/>
        <v>1181</v>
      </c>
      <c r="J21" s="3" t="str">
        <f t="shared" si="6"/>
        <v>1.756*10681.11=18758.65 cum.After comprehensively considering various factors in the reaction process, the operating temperatures remain moderate with no presence of highly corrosive substances. Given the cost considerations, we recommend using carbon steel as the reactor material.</v>
      </c>
      <c r="K21">
        <f t="shared" si="7"/>
        <v>15</v>
      </c>
      <c r="L21" t="str">
        <f t="shared" si="8"/>
        <v>18758.65 cum.After comprehensively considering various factors in the reaction process, the operating temperatures remain moderate with no presence of highly corrosive substances. Given the cost considerations, we recommend using carbon steel as the reactor material.</v>
      </c>
      <c r="M21" t="str">
        <f t="shared" si="9"/>
        <v>18758.65</v>
      </c>
    </row>
    <row r="22" spans="1:13" x14ac:dyDescent="0.25">
      <c r="A22" t="s">
        <v>58</v>
      </c>
      <c r="B22" t="s">
        <v>59</v>
      </c>
      <c r="C22" t="s">
        <v>45</v>
      </c>
      <c r="D22" s="2">
        <f t="shared" si="0"/>
        <v>1178</v>
      </c>
      <c r="E22" s="3" t="str">
        <f t="shared" si="1"/>
        <v>0.978*7576.35=7465.28 cum.After comprehensively considering various factors in the reaction process, the operating temperatures remain moderate with no presence of highly corrosive substances. Given the cost considerations, we recommend using carbon steel as the reactor material.</v>
      </c>
      <c r="F22" s="2">
        <f t="shared" si="2"/>
        <v>14</v>
      </c>
      <c r="G22" s="2" t="str">
        <f t="shared" si="3"/>
        <v>7465.28 cum.After comprehensively considering various factors in the reaction process, the operating temperatures remain moderate with no presence of highly corrosive substances. Given the cost considerations, we recommend using carbon steel as the reactor material.</v>
      </c>
      <c r="H22" s="2" t="str">
        <f t="shared" si="4"/>
        <v>7465.28</v>
      </c>
      <c r="I22" s="2">
        <f t="shared" si="5"/>
        <v>1178</v>
      </c>
      <c r="J22" s="3" t="str">
        <f t="shared" si="6"/>
        <v>1.756*7832.82=13756.34 cum.After comprehensively considering various factors in the reaction process, the operating temperatures remain moderate with no presence of highly corrosive substances. Given the cost considerations, we recommend using carbon steel as the reactor material.</v>
      </c>
      <c r="K22">
        <f t="shared" si="7"/>
        <v>14</v>
      </c>
      <c r="L22" t="str">
        <f t="shared" si="8"/>
        <v>13756.34 cum.After comprehensively considering various factors in the reaction process, the operating temperatures remain moderate with no presence of highly corrosive substances. Given the cost considerations, we recommend using carbon steel as the reactor material.</v>
      </c>
      <c r="M22" t="str">
        <f t="shared" si="9"/>
        <v>13756.34</v>
      </c>
    </row>
    <row r="23" spans="1:13" x14ac:dyDescent="0.25">
      <c r="A23" t="s">
        <v>60</v>
      </c>
      <c r="B23" t="s">
        <v>61</v>
      </c>
      <c r="C23" t="s">
        <v>48</v>
      </c>
      <c r="D23" s="2">
        <f t="shared" si="0"/>
        <v>1180</v>
      </c>
      <c r="E23" s="3" t="str">
        <f t="shared" si="1"/>
        <v>1.338*9130.27=12300.06 cum.After comprehensively considering various factors in the reaction process, the operating temperatures remain moderate with no presence of highly corrosive substances. Given the cost considerations, we recommend using carbon steel as the reactor material.</v>
      </c>
      <c r="F23" s="2">
        <f t="shared" si="2"/>
        <v>14</v>
      </c>
      <c r="G23" s="2" t="str">
        <f t="shared" si="3"/>
        <v>12300.06 cum.After comprehensively considering various factors in the reaction process, the operating temperatures remain moderate with no presence of highly corrosive substances. Given the cost considerations, we recommend using carbon steel as the reactor material.</v>
      </c>
      <c r="H23" s="2" t="str">
        <f t="shared" si="4"/>
        <v>12300.06</v>
      </c>
      <c r="I23" s="2">
        <f t="shared" si="5"/>
        <v>1180</v>
      </c>
      <c r="J23" s="3" t="str">
        <f t="shared" si="6"/>
        <v>1.756*8544.89=15006.92 cum.After comprehensively considering various factors in the reaction process, the operating temperatures remain moderate with no presence of highly corrosive substances. Given the cost considerations, we recommend using carbon steel as the reactor material.</v>
      </c>
      <c r="K23">
        <f t="shared" si="7"/>
        <v>14</v>
      </c>
      <c r="L23" t="str">
        <f t="shared" si="8"/>
        <v>15006.92 cum.After comprehensively considering various factors in the reaction process, the operating temperatures remain moderate with no presence of highly corrosive substances. Given the cost considerations, we recommend using carbon steel as the reactor material.</v>
      </c>
      <c r="M23" t="str">
        <f t="shared" si="9"/>
        <v>15006.92</v>
      </c>
    </row>
    <row r="24" spans="1:13" x14ac:dyDescent="0.25">
      <c r="A24" t="s">
        <v>62</v>
      </c>
      <c r="B24" t="s">
        <v>63</v>
      </c>
      <c r="C24" t="s">
        <v>51</v>
      </c>
      <c r="D24" s="2">
        <f t="shared" si="0"/>
        <v>1180</v>
      </c>
      <c r="E24" s="3" t="str">
        <f t="shared" si="1"/>
        <v>0.976*9260.87=9044.76 cum.After comprehensively considering various factors in the reaction process, the operating temperatures remain moderate with no presence of highly corrosive substances. Given the cost considerations, we recommend using carbon steel as the reactor material.</v>
      </c>
      <c r="F24" s="2">
        <f t="shared" si="2"/>
        <v>14</v>
      </c>
      <c r="G24" s="2" t="str">
        <f t="shared" si="3"/>
        <v>9044.76 cum.After comprehensively considering various factors in the reaction process, the operating temperatures remain moderate with no presence of highly corrosive substances. Given the cost considerations, we recommend using carbon steel as the reactor material.</v>
      </c>
      <c r="H24" s="2" t="str">
        <f t="shared" si="4"/>
        <v>9044.76</v>
      </c>
      <c r="I24" s="2">
        <f t="shared" si="5"/>
        <v>1180</v>
      </c>
      <c r="J24" s="3" t="str">
        <f t="shared" si="6"/>
        <v>1.756*9256.97=16257.49 cum.After comprehensively considering various factors in the reaction process, the operating temperatures remain moderate with no presence of highly corrosive substances. Given the cost considerations, we recommend using carbon steel as the reactor material.</v>
      </c>
      <c r="K24">
        <f t="shared" si="7"/>
        <v>14</v>
      </c>
      <c r="L24" t="str">
        <f t="shared" si="8"/>
        <v>16257.49 cum.After comprehensively considering various factors in the reaction process, the operating temperatures remain moderate with no presence of highly corrosive substances. Given the cost considerations, we recommend using carbon steel as the reactor material.</v>
      </c>
      <c r="M24" t="str">
        <f t="shared" si="9"/>
        <v>16257.49</v>
      </c>
    </row>
    <row r="25" spans="1:13" x14ac:dyDescent="0.25">
      <c r="A25" t="s">
        <v>64</v>
      </c>
      <c r="B25" t="s">
        <v>65</v>
      </c>
      <c r="C25" t="s">
        <v>54</v>
      </c>
      <c r="D25" s="2">
        <f t="shared" si="0"/>
        <v>1180</v>
      </c>
      <c r="E25" s="3" t="str">
        <f t="shared" si="1"/>
        <v>0.97*10238.38=10002.18 cum.After comprehensively considering various factors in the reaction process, the operating temperatures remain moderate with no presence of highly corrosive substances. Given the cost considerations, we recommend using carbon steel as the reactor material.</v>
      </c>
      <c r="F25" s="2">
        <f t="shared" si="2"/>
        <v>14</v>
      </c>
      <c r="G25" s="2" t="str">
        <f t="shared" si="3"/>
        <v>10002.18 cum.After comprehensively considering various factors in the reaction process, the operating temperatures remain moderate with no presence of highly corrosive substances. Given the cost considerations, we recommend using carbon steel as the reactor material.</v>
      </c>
      <c r="H25" s="2" t="str">
        <f t="shared" si="4"/>
        <v>10002.18</v>
      </c>
      <c r="I25" s="2">
        <f t="shared" si="5"/>
        <v>1180</v>
      </c>
      <c r="J25" s="3" t="str">
        <f t="shared" si="6"/>
        <v>1.756*9969.04=17508.07 cum.After comprehensively considering various factors in the reaction process, the operating temperatures remain moderate with no presence of highly corrosive substances. Given the cost considerations, we recommend using carbon steel as the reactor material.</v>
      </c>
      <c r="K25">
        <f t="shared" si="7"/>
        <v>14</v>
      </c>
      <c r="L25" t="str">
        <f t="shared" si="8"/>
        <v>17508.07 cum.After comprehensively considering various factors in the reaction process, the operating temperatures remain moderate with no presence of highly corrosive substances. Given the cost considerations, we recommend using carbon steel as the reactor material.</v>
      </c>
      <c r="M25" t="str">
        <f t="shared" si="9"/>
        <v>17508.07</v>
      </c>
    </row>
    <row r="26" spans="1:13" x14ac:dyDescent="0.25">
      <c r="A26" t="s">
        <v>66</v>
      </c>
      <c r="B26" t="s">
        <v>67</v>
      </c>
      <c r="C26" t="s">
        <v>57</v>
      </c>
      <c r="D26" s="2">
        <f t="shared" si="0"/>
        <v>1181</v>
      </c>
      <c r="E26" s="3" t="str">
        <f t="shared" si="1"/>
        <v>0.958*10481.25=10007.65 cum.After comprehensively considering various factors in the reaction process, the operating temperatures remain moderate with no presence of highly corrosive substances. Given the cost considerations, we recommend using carbon steel as the reactor material.</v>
      </c>
      <c r="F26" s="2">
        <f t="shared" si="2"/>
        <v>15</v>
      </c>
      <c r="G26" s="2" t="str">
        <f t="shared" si="3"/>
        <v>10007.65 cum.After comprehensively considering various factors in the reaction process, the operating temperatures remain moderate with no presence of highly corrosive substances. Given the cost considerations, we recommend using carbon steel as the reactor material.</v>
      </c>
      <c r="H26" s="2" t="str">
        <f t="shared" si="4"/>
        <v>10007.65</v>
      </c>
      <c r="I26" s="2">
        <f t="shared" si="5"/>
        <v>1181</v>
      </c>
      <c r="J26" s="3" t="str">
        <f t="shared" si="6"/>
        <v>1.756*10681.11=18758.65 cum.After comprehensively considering various factors in the reaction process, the operating temperatures remain moderate with no presence of highly corrosive substances. Given the cost considerations, we recommend using carbon steel as the reactor material.</v>
      </c>
      <c r="K26">
        <f t="shared" si="7"/>
        <v>15</v>
      </c>
      <c r="L26" t="str">
        <f t="shared" si="8"/>
        <v>18758.65 cum.After comprehensively considering various factors in the reaction process, the operating temperatures remain moderate with no presence of highly corrosive substances. Given the cost considerations, we recommend using carbon steel as the reactor material.</v>
      </c>
      <c r="M26" t="str">
        <f t="shared" si="9"/>
        <v>18758.65</v>
      </c>
    </row>
    <row r="27" spans="1:13" x14ac:dyDescent="0.25">
      <c r="A27" t="s">
        <v>68</v>
      </c>
      <c r="B27" t="s">
        <v>69</v>
      </c>
      <c r="C27" t="s">
        <v>70</v>
      </c>
      <c r="D27" s="2">
        <f t="shared" si="0"/>
        <v>1109</v>
      </c>
      <c r="E27" s="3" t="str">
        <f t="shared" si="1"/>
        <v>1.004*7574.42=7586.49 cum.After comprehensively considering various factors in the reaction process, the operating temperatures remain moderate with no presence of highly corrosive substances. Given the cost considerations, we recommend using carbon steel as the reactor material.</v>
      </c>
      <c r="F27" s="2">
        <f t="shared" si="2"/>
        <v>14</v>
      </c>
      <c r="G27" s="2" t="str">
        <f t="shared" si="3"/>
        <v>7586.49 cum.After comprehensively considering various factors in the reaction process, the operating temperatures remain moderate with no presence of highly corrosive substances. Given the cost considerations, we recommend using carbon steel as the reactor material.</v>
      </c>
      <c r="H27" s="2" t="str">
        <f t="shared" si="4"/>
        <v>7586.49</v>
      </c>
      <c r="I27" s="2">
        <f t="shared" si="5"/>
        <v>1109</v>
      </c>
      <c r="J27" s="3" t="str">
        <f t="shared" si="6"/>
        <v>1.004*7832.82=7860.77 cum.After comprehensively considering various factors in the reaction process, the operating temperatures remain moderate with no presence of highly corrosive substances. Given the cost considerations, we recommend using carbon steel as the reactor material.</v>
      </c>
      <c r="K27">
        <f t="shared" si="7"/>
        <v>14</v>
      </c>
      <c r="L27" t="str">
        <f t="shared" si="8"/>
        <v>7860.77 cum.After comprehensively considering various factors in the reaction process, the operating temperatures remain moderate with no presence of highly corrosive substances. Given the cost considerations, we recommend using carbon steel as the reactor material.</v>
      </c>
      <c r="M27" t="str">
        <f t="shared" si="9"/>
        <v>7860.77</v>
      </c>
    </row>
    <row r="28" spans="1:13" x14ac:dyDescent="0.25">
      <c r="A28" t="s">
        <v>71</v>
      </c>
      <c r="B28" t="s">
        <v>72</v>
      </c>
      <c r="C28" t="s">
        <v>73</v>
      </c>
      <c r="D28" s="2">
        <f t="shared" si="0"/>
        <v>1111</v>
      </c>
      <c r="E28" s="3" t="str">
        <f t="shared" si="1"/>
        <v>1.004*9130.22=9159.65 cum.After comprehensively considering various factors in the reaction process, the operating temperatures remain moderate with no presence of highly corrosive substances. Given the cost considerations, we recommend using carbon steel as the reactor material.</v>
      </c>
      <c r="F28" s="2">
        <f t="shared" si="2"/>
        <v>14</v>
      </c>
      <c r="G28" s="2" t="str">
        <f t="shared" si="3"/>
        <v>9159.65 cum.After comprehensively considering various factors in the reaction process, the operating temperatures remain moderate with no presence of highly corrosive substances. Given the cost considerations, we recommend using carbon steel as the reactor material.</v>
      </c>
      <c r="H28" s="2" t="str">
        <f t="shared" si="4"/>
        <v>9159.65</v>
      </c>
      <c r="I28" s="2">
        <f t="shared" si="5"/>
        <v>1111</v>
      </c>
      <c r="J28" s="3" t="str">
        <f t="shared" si="6"/>
        <v>1.004*8544.89=8575.38 cum.After comprehensively considering various factors in the reaction process, the operating temperatures remain moderate with no presence of highly corrosive substances. Given the cost considerations, we recommend using carbon steel as the reactor material.</v>
      </c>
      <c r="K28">
        <f t="shared" si="7"/>
        <v>14</v>
      </c>
      <c r="L28" t="str">
        <f t="shared" si="8"/>
        <v>8575.38 cum.After comprehensively considering various factors in the reaction process, the operating temperatures remain moderate with no presence of highly corrosive substances. Given the cost considerations, we recommend using carbon steel as the reactor material.</v>
      </c>
      <c r="M28" t="str">
        <f t="shared" si="9"/>
        <v>8575.38</v>
      </c>
    </row>
    <row r="29" spans="1:13" x14ac:dyDescent="0.25">
      <c r="A29" t="s">
        <v>74</v>
      </c>
      <c r="B29" t="s">
        <v>75</v>
      </c>
      <c r="C29" t="s">
        <v>76</v>
      </c>
      <c r="D29" s="2">
        <f t="shared" si="0"/>
        <v>1111</v>
      </c>
      <c r="E29" s="3" t="str">
        <f t="shared" si="1"/>
        <v>1.072*9269.63=9890.71 cum.After comprehensively considering various factors in the reaction process, the operating temperatures remain moderate with no presence of highly corrosive substances. Given the cost considerations, we recommend using carbon steel as the reactor material.</v>
      </c>
      <c r="F29" s="2">
        <f t="shared" si="2"/>
        <v>14</v>
      </c>
      <c r="G29" s="2" t="str">
        <f t="shared" si="3"/>
        <v>9890.71 cum.After comprehensively considering various factors in the reaction process, the operating temperatures remain moderate with no presence of highly corrosive substances. Given the cost considerations, we recommend using carbon steel as the reactor material.</v>
      </c>
      <c r="H29" s="2" t="str">
        <f t="shared" si="4"/>
        <v>9890.71</v>
      </c>
      <c r="I29" s="2">
        <f t="shared" si="5"/>
        <v>1111</v>
      </c>
      <c r="J29" s="3" t="str">
        <f t="shared" si="6"/>
        <v>1.004*9256.97=9290.0 cum.After comprehensively considering various factors in the reaction process, the operating temperatures remain moderate with no presence of highly corrosive substances. Given the cost considerations, we recommend using carbon steel as the reactor material.</v>
      </c>
      <c r="K29">
        <f t="shared" si="7"/>
        <v>14</v>
      </c>
      <c r="L29" t="str">
        <f t="shared" si="8"/>
        <v>9290.0 cum.After comprehensively considering various factors in the reaction process, the operating temperatures remain moderate with no presence of highly corrosive substances. Given the cost considerations, we recommend using carbon steel as the reactor material.</v>
      </c>
      <c r="M29" t="str">
        <f t="shared" si="9"/>
        <v>9290.0</v>
      </c>
    </row>
    <row r="30" spans="1:13" x14ac:dyDescent="0.25">
      <c r="A30" t="s">
        <v>77</v>
      </c>
      <c r="B30" t="s">
        <v>78</v>
      </c>
      <c r="C30" t="s">
        <v>79</v>
      </c>
      <c r="D30" s="2">
        <f t="shared" si="0"/>
        <v>1113</v>
      </c>
      <c r="E30" s="3" t="str">
        <f t="shared" si="1"/>
        <v>0.2322*10222.57=2386.66 cum.After comprehensively considering various factors in the reaction process, the operating temperatures remain moderate with no presence of highly corrosive substances. Given the cost considerations, we recommend using carbon steel as the reactor material.</v>
      </c>
      <c r="F30" s="2">
        <f t="shared" si="2"/>
        <v>16</v>
      </c>
      <c r="G30" s="2" t="str">
        <f t="shared" si="3"/>
        <v>2386.66 cum.After comprehensively considering various factors in the reaction process, the operating temperatures remain moderate with no presence of highly corrosive substances. Given the cost considerations, we recommend using carbon steel as the reactor material.</v>
      </c>
      <c r="H30" s="2" t="str">
        <f t="shared" si="4"/>
        <v>2386.66</v>
      </c>
      <c r="I30" s="2">
        <f t="shared" si="5"/>
        <v>1111</v>
      </c>
      <c r="J30" s="3" t="str">
        <f t="shared" si="6"/>
        <v>1.004*9969.04=10004.61 cum.After comprehensively considering various factors in the reaction process, the operating temperatures remain moderate with no presence of highly corrosive substances. Given the cost considerations, we recommend using carbon steel as the reactor material.</v>
      </c>
      <c r="K30">
        <f t="shared" si="7"/>
        <v>14</v>
      </c>
      <c r="L30" t="str">
        <f t="shared" si="8"/>
        <v>10004.61 cum.After comprehensively considering various factors in the reaction process, the operating temperatures remain moderate with no presence of highly corrosive substances. Given the cost considerations, we recommend using carbon steel as the reactor material.</v>
      </c>
      <c r="M30" t="str">
        <f t="shared" si="9"/>
        <v>10004.61</v>
      </c>
    </row>
    <row r="31" spans="1:13" x14ac:dyDescent="0.25">
      <c r="A31" t="s">
        <v>80</v>
      </c>
      <c r="B31" t="s">
        <v>81</v>
      </c>
      <c r="C31" t="s">
        <v>82</v>
      </c>
      <c r="D31" s="2">
        <f t="shared" si="0"/>
        <v>1111</v>
      </c>
      <c r="E31" s="3" t="str">
        <f t="shared" si="1"/>
        <v>0.24*10456.87=25021.64 cum.After comprehensively considering various factors in the reaction process, the operating temperatures remain moderate with no presence of highly corrosive substances. Given the cost considerations, we recommend using carbon steel as the reactor material.</v>
      </c>
      <c r="F31" s="2">
        <f t="shared" si="2"/>
        <v>14</v>
      </c>
      <c r="G31" s="2" t="str">
        <f t="shared" si="3"/>
        <v>25021.64 cum.After comprehensively considering various factors in the reaction process, the operating temperatures remain moderate with no presence of highly corrosive substances. Given the cost considerations, we recommend using carbon steel as the reactor material.</v>
      </c>
      <c r="H31" s="2" t="str">
        <f t="shared" si="4"/>
        <v>25021.64</v>
      </c>
      <c r="I31" s="2">
        <f>FIND("v=",C31)</f>
        <v>1112</v>
      </c>
      <c r="J31" s="3" t="str">
        <f t="shared" si="6"/>
        <v>1.004*10681.11=10719.23 cum.After comprehensively considering various factors in the reaction process, the operating temperatures remain moderate with no presence of highly corrosive substances. Given the cost considerations, we recommend using carbon steel as the reactor material.</v>
      </c>
      <c r="K31">
        <f t="shared" si="7"/>
        <v>15</v>
      </c>
      <c r="L31" t="str">
        <f t="shared" si="8"/>
        <v>10719.23 cum.After comprehensively considering various factors in the reaction process, the operating temperatures remain moderate with no presence of highly corrosive substances. Given the cost considerations, we recommend using carbon steel as the reactor material.</v>
      </c>
      <c r="M31" t="str">
        <f t="shared" si="9"/>
        <v>10719.23</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D049B-0A2B-4E00-8B93-2CFC57E6D3A5}">
  <sheetPr filterMode="1"/>
  <dimension ref="A1:F31"/>
  <sheetViews>
    <sheetView workbookViewId="0">
      <selection activeCell="I13" sqref="I13"/>
    </sheetView>
  </sheetViews>
  <sheetFormatPr defaultRowHeight="14" x14ac:dyDescent="0.25"/>
  <sheetData>
    <row r="1" spans="1:6" x14ac:dyDescent="0.25">
      <c r="A1" s="1" t="s">
        <v>0</v>
      </c>
      <c r="B1" s="1" t="s">
        <v>1</v>
      </c>
      <c r="C1" s="1" t="s">
        <v>2</v>
      </c>
      <c r="F1" s="4" t="s">
        <v>134</v>
      </c>
    </row>
    <row r="2" spans="1:6" x14ac:dyDescent="0.25">
      <c r="A2" t="s">
        <v>3</v>
      </c>
      <c r="B2" t="s">
        <v>4</v>
      </c>
      <c r="C2" t="s">
        <v>5</v>
      </c>
      <c r="D2" t="s">
        <v>84</v>
      </c>
      <c r="E2" t="s">
        <v>114</v>
      </c>
      <c r="F2">
        <f>ABS(D2-E2)/E2</f>
        <v>0.45096538818211601</v>
      </c>
    </row>
    <row r="3" spans="1:6" x14ac:dyDescent="0.25">
      <c r="A3" t="s">
        <v>6</v>
      </c>
      <c r="B3" t="s">
        <v>7</v>
      </c>
      <c r="C3" t="s">
        <v>8</v>
      </c>
      <c r="D3" t="s">
        <v>85</v>
      </c>
      <c r="E3" t="s">
        <v>115</v>
      </c>
      <c r="F3">
        <f t="shared" ref="F3:F31" si="0">ABS(D3-E3)/E3</f>
        <v>0.45327160090449209</v>
      </c>
    </row>
    <row r="4" spans="1:6" x14ac:dyDescent="0.25">
      <c r="A4" t="s">
        <v>9</v>
      </c>
      <c r="B4" t="s">
        <v>10</v>
      </c>
      <c r="C4" t="s">
        <v>11</v>
      </c>
      <c r="D4" t="s">
        <v>86</v>
      </c>
      <c r="E4" t="s">
        <v>116</v>
      </c>
      <c r="F4">
        <f t="shared" si="0"/>
        <v>0.46019929573608637</v>
      </c>
    </row>
    <row r="5" spans="1:6" x14ac:dyDescent="0.25">
      <c r="A5" t="s">
        <v>12</v>
      </c>
      <c r="B5" t="s">
        <v>13</v>
      </c>
      <c r="C5" t="s">
        <v>14</v>
      </c>
      <c r="D5" t="s">
        <v>87</v>
      </c>
      <c r="E5" t="s">
        <v>117</v>
      </c>
      <c r="F5">
        <f t="shared" si="0"/>
        <v>0.7310224087113949</v>
      </c>
    </row>
    <row r="6" spans="1:6" x14ac:dyDescent="0.25">
      <c r="A6" t="s">
        <v>15</v>
      </c>
      <c r="B6" t="s">
        <v>16</v>
      </c>
      <c r="C6" t="s">
        <v>17</v>
      </c>
      <c r="D6" t="s">
        <v>88</v>
      </c>
      <c r="E6" t="s">
        <v>118</v>
      </c>
      <c r="F6">
        <f t="shared" si="0"/>
        <v>0.73740354108376549</v>
      </c>
    </row>
    <row r="7" spans="1:6" x14ac:dyDescent="0.25">
      <c r="A7" t="s">
        <v>18</v>
      </c>
      <c r="B7" t="s">
        <v>19</v>
      </c>
      <c r="C7" t="s">
        <v>5</v>
      </c>
      <c r="D7" t="s">
        <v>89</v>
      </c>
      <c r="E7" t="s">
        <v>114</v>
      </c>
      <c r="F7">
        <f t="shared" si="0"/>
        <v>0.23168316831683167</v>
      </c>
    </row>
    <row r="8" spans="1:6" x14ac:dyDescent="0.25">
      <c r="A8" t="s">
        <v>20</v>
      </c>
      <c r="B8" t="s">
        <v>21</v>
      </c>
      <c r="C8" t="s">
        <v>8</v>
      </c>
      <c r="D8" t="s">
        <v>90</v>
      </c>
      <c r="E8" t="s">
        <v>115</v>
      </c>
      <c r="F8">
        <f t="shared" si="0"/>
        <v>0.969034054547114</v>
      </c>
    </row>
    <row r="9" spans="1:6" x14ac:dyDescent="0.25">
      <c r="A9" t="s">
        <v>22</v>
      </c>
      <c r="B9" t="s">
        <v>23</v>
      </c>
      <c r="C9" t="s">
        <v>11</v>
      </c>
      <c r="D9" t="s">
        <v>91</v>
      </c>
      <c r="E9" t="s">
        <v>116</v>
      </c>
      <c r="F9">
        <f t="shared" si="0"/>
        <v>0.80204476624924714</v>
      </c>
    </row>
    <row r="10" spans="1:6" x14ac:dyDescent="0.25">
      <c r="A10" t="s">
        <v>24</v>
      </c>
      <c r="B10" t="s">
        <v>25</v>
      </c>
      <c r="C10" t="s">
        <v>14</v>
      </c>
      <c r="D10" t="s">
        <v>92</v>
      </c>
      <c r="E10" t="s">
        <v>117</v>
      </c>
      <c r="F10">
        <f t="shared" si="0"/>
        <v>0.73235848381970337</v>
      </c>
    </row>
    <row r="11" spans="1:6" hidden="1" x14ac:dyDescent="0.25">
      <c r="A11" t="s">
        <v>26</v>
      </c>
      <c r="B11" t="s">
        <v>27</v>
      </c>
      <c r="C11" t="s">
        <v>17</v>
      </c>
      <c r="D11" t="s">
        <v>93</v>
      </c>
      <c r="E11" t="s">
        <v>118</v>
      </c>
      <c r="F11">
        <f t="shared" si="0"/>
        <v>1.6204866194266925</v>
      </c>
    </row>
    <row r="12" spans="1:6" x14ac:dyDescent="0.25">
      <c r="A12" t="s">
        <v>28</v>
      </c>
      <c r="B12" t="s">
        <v>29</v>
      </c>
      <c r="C12" t="s">
        <v>30</v>
      </c>
      <c r="D12" t="s">
        <v>94</v>
      </c>
      <c r="E12" t="s">
        <v>119</v>
      </c>
      <c r="F12">
        <f t="shared" si="0"/>
        <v>0.62718274395346874</v>
      </c>
    </row>
    <row r="13" spans="1:6" x14ac:dyDescent="0.25">
      <c r="A13" t="s">
        <v>31</v>
      </c>
      <c r="B13" t="s">
        <v>32</v>
      </c>
      <c r="C13" t="s">
        <v>33</v>
      </c>
      <c r="D13" t="s">
        <v>95</v>
      </c>
      <c r="E13" t="s">
        <v>120</v>
      </c>
      <c r="F13">
        <f t="shared" si="0"/>
        <v>0.91931223160015485</v>
      </c>
    </row>
    <row r="14" spans="1:6" x14ac:dyDescent="0.25">
      <c r="A14" t="s">
        <v>34</v>
      </c>
      <c r="B14" t="s">
        <v>35</v>
      </c>
      <c r="C14" t="s">
        <v>36</v>
      </c>
      <c r="D14" t="s">
        <v>96</v>
      </c>
      <c r="E14" t="s">
        <v>121</v>
      </c>
      <c r="F14">
        <f t="shared" si="0"/>
        <v>0.69878627440243646</v>
      </c>
    </row>
    <row r="15" spans="1:6" x14ac:dyDescent="0.25">
      <c r="A15" t="s">
        <v>37</v>
      </c>
      <c r="B15" t="s">
        <v>38</v>
      </c>
      <c r="C15" t="s">
        <v>39</v>
      </c>
      <c r="D15" t="s">
        <v>97</v>
      </c>
      <c r="E15" t="s">
        <v>122</v>
      </c>
      <c r="F15">
        <f t="shared" si="0"/>
        <v>0.77426859440685836</v>
      </c>
    </row>
    <row r="16" spans="1:6" x14ac:dyDescent="0.25">
      <c r="A16" t="s">
        <v>40</v>
      </c>
      <c r="B16" t="s">
        <v>41</v>
      </c>
      <c r="C16" t="s">
        <v>42</v>
      </c>
      <c r="D16" t="s">
        <v>98</v>
      </c>
      <c r="E16" t="s">
        <v>123</v>
      </c>
      <c r="F16">
        <f t="shared" si="0"/>
        <v>0.75596788380296231</v>
      </c>
    </row>
    <row r="17" spans="1:6" x14ac:dyDescent="0.25">
      <c r="A17" t="s">
        <v>43</v>
      </c>
      <c r="B17" t="s">
        <v>44</v>
      </c>
      <c r="C17" t="s">
        <v>45</v>
      </c>
      <c r="D17" t="s">
        <v>99</v>
      </c>
      <c r="E17" t="s">
        <v>124</v>
      </c>
      <c r="F17">
        <f t="shared" si="0"/>
        <v>0.4559061494554511</v>
      </c>
    </row>
    <row r="18" spans="1:6" x14ac:dyDescent="0.25">
      <c r="A18" t="s">
        <v>46</v>
      </c>
      <c r="B18" t="s">
        <v>47</v>
      </c>
      <c r="C18" t="s">
        <v>48</v>
      </c>
      <c r="D18" t="s">
        <v>100</v>
      </c>
      <c r="E18" t="s">
        <v>125</v>
      </c>
      <c r="F18">
        <f t="shared" si="0"/>
        <v>0.18127903660444653</v>
      </c>
    </row>
    <row r="19" spans="1:6" x14ac:dyDescent="0.25">
      <c r="A19" t="s">
        <v>49</v>
      </c>
      <c r="B19" t="s">
        <v>50</v>
      </c>
      <c r="C19" t="s">
        <v>51</v>
      </c>
      <c r="D19" t="s">
        <v>101</v>
      </c>
      <c r="E19" t="s">
        <v>126</v>
      </c>
      <c r="F19">
        <f t="shared" si="0"/>
        <v>0.23040518554832262</v>
      </c>
    </row>
    <row r="20" spans="1:6" x14ac:dyDescent="0.25">
      <c r="A20" t="s">
        <v>52</v>
      </c>
      <c r="B20" t="s">
        <v>53</v>
      </c>
      <c r="C20" t="s">
        <v>54</v>
      </c>
      <c r="D20" t="s">
        <v>102</v>
      </c>
      <c r="E20" t="s">
        <v>127</v>
      </c>
      <c r="F20">
        <f t="shared" si="0"/>
        <v>0.21498714592756371</v>
      </c>
    </row>
    <row r="21" spans="1:6" x14ac:dyDescent="0.25">
      <c r="A21" t="s">
        <v>55</v>
      </c>
      <c r="B21" t="s">
        <v>56</v>
      </c>
      <c r="C21" t="s">
        <v>57</v>
      </c>
      <c r="D21" t="s">
        <v>103</v>
      </c>
      <c r="E21" t="s">
        <v>128</v>
      </c>
      <c r="F21">
        <f t="shared" si="0"/>
        <v>0.72217190469463421</v>
      </c>
    </row>
    <row r="22" spans="1:6" x14ac:dyDescent="0.25">
      <c r="A22" t="s">
        <v>58</v>
      </c>
      <c r="B22" t="s">
        <v>59</v>
      </c>
      <c r="C22" t="s">
        <v>45</v>
      </c>
      <c r="D22" t="s">
        <v>104</v>
      </c>
      <c r="E22" t="s">
        <v>124</v>
      </c>
      <c r="F22">
        <f t="shared" si="0"/>
        <v>0.45732076991409054</v>
      </c>
    </row>
    <row r="23" spans="1:6" x14ac:dyDescent="0.25">
      <c r="A23" t="s">
        <v>60</v>
      </c>
      <c r="B23" t="s">
        <v>61</v>
      </c>
      <c r="C23" t="s">
        <v>48</v>
      </c>
      <c r="D23" t="s">
        <v>105</v>
      </c>
      <c r="E23" t="s">
        <v>125</v>
      </c>
      <c r="F23">
        <f t="shared" si="0"/>
        <v>0.1803741207389658</v>
      </c>
    </row>
    <row r="24" spans="1:6" x14ac:dyDescent="0.25">
      <c r="A24" t="s">
        <v>62</v>
      </c>
      <c r="B24" t="s">
        <v>63</v>
      </c>
      <c r="C24" t="s">
        <v>51</v>
      </c>
      <c r="D24" t="s">
        <v>106</v>
      </c>
      <c r="E24" t="s">
        <v>126</v>
      </c>
      <c r="F24">
        <f t="shared" si="0"/>
        <v>0.44365581648827707</v>
      </c>
    </row>
    <row r="25" spans="1:6" x14ac:dyDescent="0.25">
      <c r="A25" t="s">
        <v>64</v>
      </c>
      <c r="B25" t="s">
        <v>65</v>
      </c>
      <c r="C25" t="s">
        <v>54</v>
      </c>
      <c r="D25" t="s">
        <v>107</v>
      </c>
      <c r="E25" t="s">
        <v>127</v>
      </c>
      <c r="F25">
        <f t="shared" si="0"/>
        <v>0.42871030330584692</v>
      </c>
    </row>
    <row r="26" spans="1:6" x14ac:dyDescent="0.25">
      <c r="A26" t="s">
        <v>66</v>
      </c>
      <c r="B26" t="s">
        <v>67</v>
      </c>
      <c r="C26" t="s">
        <v>57</v>
      </c>
      <c r="D26" t="s">
        <v>108</v>
      </c>
      <c r="E26" t="s">
        <v>128</v>
      </c>
      <c r="F26">
        <f t="shared" si="0"/>
        <v>0.4665047857921546</v>
      </c>
    </row>
    <row r="27" spans="1:6" x14ac:dyDescent="0.25">
      <c r="A27" t="s">
        <v>68</v>
      </c>
      <c r="B27" t="s">
        <v>69</v>
      </c>
      <c r="C27" t="s">
        <v>70</v>
      </c>
      <c r="D27" t="s">
        <v>109</v>
      </c>
      <c r="E27" t="s">
        <v>129</v>
      </c>
      <c r="F27">
        <f t="shared" si="0"/>
        <v>3.4892256102137656E-2</v>
      </c>
    </row>
    <row r="28" spans="1:6" x14ac:dyDescent="0.25">
      <c r="A28" t="s">
        <v>71</v>
      </c>
      <c r="B28" t="s">
        <v>72</v>
      </c>
      <c r="C28" t="s">
        <v>73</v>
      </c>
      <c r="D28" t="s">
        <v>110</v>
      </c>
      <c r="E28" t="s">
        <v>130</v>
      </c>
      <c r="F28">
        <f t="shared" si="0"/>
        <v>6.8133423824950093E-2</v>
      </c>
    </row>
    <row r="29" spans="1:6" x14ac:dyDescent="0.25">
      <c r="A29" t="s">
        <v>74</v>
      </c>
      <c r="B29" t="s">
        <v>75</v>
      </c>
      <c r="C29" t="s">
        <v>76</v>
      </c>
      <c r="D29" t="s">
        <v>111</v>
      </c>
      <c r="E29" t="s">
        <v>131</v>
      </c>
      <c r="F29">
        <f t="shared" si="0"/>
        <v>6.4662002152852435E-2</v>
      </c>
    </row>
    <row r="30" spans="1:6" x14ac:dyDescent="0.25">
      <c r="A30" t="s">
        <v>77</v>
      </c>
      <c r="B30" t="s">
        <v>78</v>
      </c>
      <c r="C30" t="s">
        <v>79</v>
      </c>
      <c r="D30" t="s">
        <v>112</v>
      </c>
      <c r="E30" t="s">
        <v>132</v>
      </c>
      <c r="F30">
        <f t="shared" si="0"/>
        <v>0.76144397432783495</v>
      </c>
    </row>
    <row r="31" spans="1:6" hidden="1" x14ac:dyDescent="0.25">
      <c r="A31" t="s">
        <v>80</v>
      </c>
      <c r="B31" t="s">
        <v>81</v>
      </c>
      <c r="C31" t="s">
        <v>82</v>
      </c>
      <c r="D31" t="s">
        <v>113</v>
      </c>
      <c r="E31" t="s">
        <v>133</v>
      </c>
      <c r="F31">
        <f t="shared" si="0"/>
        <v>1.3342758761590152</v>
      </c>
    </row>
  </sheetData>
  <autoFilter ref="F1:F31" xr:uid="{878D049B-0A2B-4E00-8B93-2CFC57E6D3A5}">
    <filterColumn colId="0">
      <customFilters>
        <customFilter operator="lessThanOrEqual" val="1"/>
      </custom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OOD_deepseek-r1_result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奔 张</cp:lastModifiedBy>
  <dcterms:created xsi:type="dcterms:W3CDTF">2026-03-06T02:47:14Z</dcterms:created>
  <dcterms:modified xsi:type="dcterms:W3CDTF">2026-03-09T01:20:50Z</dcterms:modified>
</cp:coreProperties>
</file>