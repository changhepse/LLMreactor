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E:\wohen\code\pythonProject\LLMreactor\"/>
    </mc:Choice>
  </mc:AlternateContent>
  <xr:revisionPtr revIDLastSave="0" documentId="13_ncr:1_{4FA4F1BD-6D2B-443B-9CED-2F44240C9D0C}" xr6:coauthVersionLast="47" xr6:coauthVersionMax="47" xr10:uidLastSave="{00000000-0000-0000-0000-000000000000}"/>
  <bookViews>
    <workbookView xWindow="11380" yWindow="3700" windowWidth="23740" windowHeight="15540" tabRatio="766" xr2:uid="{00000000-000D-0000-FFFF-FFFF00000000}"/>
  </bookViews>
  <sheets>
    <sheet name="real_qwen2.5_Omni" sheetId="12" r:id="rId1"/>
    <sheet name="real_qwen2.5_math" sheetId="13" r:id="rId2"/>
    <sheet name="real_llama3.2" sheetId="14" r:id="rId3"/>
    <sheet name="real_gemma3" sheetId="15" r:id="rId4"/>
    <sheet name="real_deepseek_r1" sheetId="16" r:id="rId5"/>
    <sheet name="qwen2.5_Omni" sheetId="2" r:id="rId6"/>
    <sheet name="qwen2.5_math" sheetId="3" r:id="rId7"/>
    <sheet name="llama3.2" sheetId="4" r:id="rId8"/>
    <sheet name="gemma3" sheetId="5" r:id="rId9"/>
    <sheet name="deepseek_r1" sheetId="6" r:id="rId10"/>
    <sheet name="数据处理" sheetId="1" r:id="rId11"/>
  </sheets>
  <definedNames>
    <definedName name="_xlnm._FilterDatabase" localSheetId="9" hidden="1">deepseek_r1!$A$1:$G$92</definedName>
    <definedName name="_xlnm._FilterDatabase" localSheetId="8" hidden="1">gemma3!$A$1:$G$92</definedName>
    <definedName name="_xlnm._FilterDatabase" localSheetId="7" hidden="1">llama3.2!$A$1:$G$92</definedName>
    <definedName name="_xlnm._FilterDatabase" localSheetId="6" hidden="1">qwen2.5_math!$A$1:$G$92</definedName>
    <definedName name="_xlnm._FilterDatabase" localSheetId="5" hidden="1">qwen2.5_Omni!$A$1:$G$93</definedName>
    <definedName name="_xlnm._FilterDatabase" localSheetId="4" hidden="1">real_deepseek_r1!$A$1:$G$90</definedName>
    <definedName name="_xlnm._FilterDatabase" localSheetId="3" hidden="1">real_gemma3!$A$1:$H$90</definedName>
    <definedName name="_xlnm._FilterDatabase" localSheetId="2" hidden="1">'real_llama3.2'!$A$1:$G$90</definedName>
    <definedName name="_xlnm._FilterDatabase" localSheetId="1" hidden="1">'real_qwen2.5_math'!$A$1:$G$90</definedName>
    <definedName name="_xlnm._FilterDatabase" localSheetId="0" hidden="1">'real_qwen2.5_Omni'!$A$1:$G$90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93" i="12" l="1"/>
  <c r="N79" i="1"/>
  <c r="N80" i="1"/>
  <c r="N81" i="1"/>
  <c r="N82" i="1"/>
  <c r="N78" i="1"/>
  <c r="M79" i="1"/>
  <c r="M80" i="1"/>
  <c r="M81" i="1"/>
  <c r="M82" i="1"/>
  <c r="M78" i="1"/>
  <c r="I3" i="16"/>
  <c r="J3" i="16" s="1"/>
  <c r="K3" i="16" s="1"/>
  <c r="L3" i="16"/>
  <c r="M3" i="16" s="1"/>
  <c r="N3" i="16" s="1"/>
  <c r="I4" i="16"/>
  <c r="J4" i="16"/>
  <c r="K4" i="16" s="1"/>
  <c r="L4" i="16"/>
  <c r="M4" i="16" s="1"/>
  <c r="N4" i="16" s="1"/>
  <c r="I5" i="16"/>
  <c r="J5" i="16" s="1"/>
  <c r="K5" i="16" s="1"/>
  <c r="L5" i="16"/>
  <c r="M5" i="16" s="1"/>
  <c r="N5" i="16" s="1"/>
  <c r="I6" i="16"/>
  <c r="J6" i="16"/>
  <c r="K6" i="16" s="1"/>
  <c r="L6" i="16"/>
  <c r="M6" i="16"/>
  <c r="N6" i="16"/>
  <c r="I7" i="16"/>
  <c r="J7" i="16" s="1"/>
  <c r="K7" i="16" s="1"/>
  <c r="L7" i="16"/>
  <c r="M7" i="16" s="1"/>
  <c r="N7" i="16" s="1"/>
  <c r="I8" i="16"/>
  <c r="J8" i="16"/>
  <c r="K8" i="16" s="1"/>
  <c r="L8" i="16"/>
  <c r="M8" i="16" s="1"/>
  <c r="N8" i="16" s="1"/>
  <c r="I9" i="16"/>
  <c r="J9" i="16" s="1"/>
  <c r="K9" i="16" s="1"/>
  <c r="L9" i="16"/>
  <c r="M9" i="16" s="1"/>
  <c r="N9" i="16" s="1"/>
  <c r="I10" i="16"/>
  <c r="J10" i="16"/>
  <c r="K10" i="16" s="1"/>
  <c r="L10" i="16"/>
  <c r="M10" i="16"/>
  <c r="N10" i="16"/>
  <c r="I11" i="16"/>
  <c r="J11" i="16" s="1"/>
  <c r="K11" i="16" s="1"/>
  <c r="L11" i="16"/>
  <c r="M11" i="16" s="1"/>
  <c r="N11" i="16" s="1"/>
  <c r="I12" i="16"/>
  <c r="J12" i="16"/>
  <c r="K12" i="16" s="1"/>
  <c r="L12" i="16"/>
  <c r="M12" i="16" s="1"/>
  <c r="N12" i="16" s="1"/>
  <c r="I13" i="16"/>
  <c r="J13" i="16" s="1"/>
  <c r="K13" i="16" s="1"/>
  <c r="L13" i="16"/>
  <c r="M13" i="16" s="1"/>
  <c r="N13" i="16" s="1"/>
  <c r="I14" i="16"/>
  <c r="J14" i="16"/>
  <c r="K14" i="16" s="1"/>
  <c r="L14" i="16"/>
  <c r="M14" i="16"/>
  <c r="N14" i="16"/>
  <c r="I15" i="16"/>
  <c r="J15" i="16" s="1"/>
  <c r="K15" i="16" s="1"/>
  <c r="L15" i="16"/>
  <c r="M15" i="16" s="1"/>
  <c r="N15" i="16" s="1"/>
  <c r="I16" i="16"/>
  <c r="J16" i="16"/>
  <c r="K16" i="16" s="1"/>
  <c r="L16" i="16"/>
  <c r="M16" i="16" s="1"/>
  <c r="N16" i="16" s="1"/>
  <c r="I17" i="16"/>
  <c r="J17" i="16" s="1"/>
  <c r="K17" i="16" s="1"/>
  <c r="L17" i="16"/>
  <c r="M17" i="16" s="1"/>
  <c r="N17" i="16" s="1"/>
  <c r="I18" i="16"/>
  <c r="J18" i="16"/>
  <c r="K18" i="16" s="1"/>
  <c r="L18" i="16"/>
  <c r="M18" i="16"/>
  <c r="N18" i="16"/>
  <c r="I19" i="16"/>
  <c r="J19" i="16" s="1"/>
  <c r="K19" i="16" s="1"/>
  <c r="L19" i="16"/>
  <c r="M19" i="16" s="1"/>
  <c r="N19" i="16" s="1"/>
  <c r="I20" i="16"/>
  <c r="J20" i="16"/>
  <c r="K20" i="16" s="1"/>
  <c r="L20" i="16"/>
  <c r="M20" i="16" s="1"/>
  <c r="N20" i="16" s="1"/>
  <c r="I21" i="16"/>
  <c r="J21" i="16" s="1"/>
  <c r="K21" i="16" s="1"/>
  <c r="L21" i="16"/>
  <c r="M21" i="16" s="1"/>
  <c r="N21" i="16" s="1"/>
  <c r="I22" i="16"/>
  <c r="J22" i="16"/>
  <c r="K22" i="16" s="1"/>
  <c r="L22" i="16"/>
  <c r="M22" i="16"/>
  <c r="N22" i="16"/>
  <c r="I23" i="16"/>
  <c r="J23" i="16" s="1"/>
  <c r="K23" i="16" s="1"/>
  <c r="L23" i="16"/>
  <c r="M23" i="16" s="1"/>
  <c r="N23" i="16" s="1"/>
  <c r="I24" i="16"/>
  <c r="J24" i="16"/>
  <c r="K24" i="16" s="1"/>
  <c r="L24" i="16"/>
  <c r="M24" i="16" s="1"/>
  <c r="N24" i="16" s="1"/>
  <c r="I25" i="16"/>
  <c r="J25" i="16" s="1"/>
  <c r="K25" i="16" s="1"/>
  <c r="L25" i="16"/>
  <c r="M25" i="16" s="1"/>
  <c r="N25" i="16" s="1"/>
  <c r="I26" i="16"/>
  <c r="J26" i="16"/>
  <c r="K26" i="16" s="1"/>
  <c r="L26" i="16"/>
  <c r="M26" i="16"/>
  <c r="N26" i="16"/>
  <c r="I27" i="16"/>
  <c r="J27" i="16" s="1"/>
  <c r="K27" i="16" s="1"/>
  <c r="L27" i="16"/>
  <c r="M27" i="16" s="1"/>
  <c r="N27" i="16" s="1"/>
  <c r="I28" i="16"/>
  <c r="J28" i="16"/>
  <c r="K28" i="16" s="1"/>
  <c r="L28" i="16"/>
  <c r="M28" i="16" s="1"/>
  <c r="N28" i="16" s="1"/>
  <c r="I29" i="16"/>
  <c r="J29" i="16" s="1"/>
  <c r="K29" i="16" s="1"/>
  <c r="L29" i="16"/>
  <c r="M29" i="16" s="1"/>
  <c r="N29" i="16" s="1"/>
  <c r="I30" i="16"/>
  <c r="J30" i="16"/>
  <c r="K30" i="16" s="1"/>
  <c r="L30" i="16"/>
  <c r="M30" i="16"/>
  <c r="N30" i="16"/>
  <c r="I31" i="16"/>
  <c r="J31" i="16" s="1"/>
  <c r="K31" i="16" s="1"/>
  <c r="L31" i="16"/>
  <c r="M31" i="16" s="1"/>
  <c r="N31" i="16" s="1"/>
  <c r="I32" i="16"/>
  <c r="J32" i="16"/>
  <c r="K32" i="16" s="1"/>
  <c r="L32" i="16"/>
  <c r="M32" i="16" s="1"/>
  <c r="N32" i="16" s="1"/>
  <c r="I33" i="16"/>
  <c r="J33" i="16" s="1"/>
  <c r="K33" i="16" s="1"/>
  <c r="L33" i="16"/>
  <c r="M33" i="16" s="1"/>
  <c r="N33" i="16" s="1"/>
  <c r="I34" i="16"/>
  <c r="J34" i="16"/>
  <c r="K34" i="16" s="1"/>
  <c r="L34" i="16"/>
  <c r="M34" i="16"/>
  <c r="N34" i="16"/>
  <c r="I35" i="16"/>
  <c r="J35" i="16" s="1"/>
  <c r="K35" i="16" s="1"/>
  <c r="L35" i="16"/>
  <c r="M35" i="16" s="1"/>
  <c r="N35" i="16" s="1"/>
  <c r="I36" i="16"/>
  <c r="J36" i="16"/>
  <c r="K36" i="16" s="1"/>
  <c r="L36" i="16"/>
  <c r="M36" i="16" s="1"/>
  <c r="N36" i="16" s="1"/>
  <c r="I37" i="16"/>
  <c r="J37" i="16" s="1"/>
  <c r="K37" i="16" s="1"/>
  <c r="L37" i="16"/>
  <c r="M37" i="16" s="1"/>
  <c r="N37" i="16" s="1"/>
  <c r="I38" i="16"/>
  <c r="J38" i="16"/>
  <c r="K38" i="16" s="1"/>
  <c r="L38" i="16"/>
  <c r="M38" i="16"/>
  <c r="N38" i="16"/>
  <c r="I39" i="16"/>
  <c r="J39" i="16" s="1"/>
  <c r="K39" i="16" s="1"/>
  <c r="L39" i="16"/>
  <c r="M39" i="16" s="1"/>
  <c r="N39" i="16" s="1"/>
  <c r="I40" i="16"/>
  <c r="J40" i="16"/>
  <c r="K40" i="16" s="1"/>
  <c r="L40" i="16"/>
  <c r="M40" i="16" s="1"/>
  <c r="N40" i="16" s="1"/>
  <c r="I41" i="16"/>
  <c r="J41" i="16" s="1"/>
  <c r="K41" i="16" s="1"/>
  <c r="L41" i="16"/>
  <c r="M41" i="16" s="1"/>
  <c r="N41" i="16" s="1"/>
  <c r="I42" i="16"/>
  <c r="J42" i="16"/>
  <c r="K42" i="16" s="1"/>
  <c r="L42" i="16"/>
  <c r="M42" i="16"/>
  <c r="N42" i="16"/>
  <c r="I43" i="16"/>
  <c r="J43" i="16" s="1"/>
  <c r="K43" i="16" s="1"/>
  <c r="L43" i="16"/>
  <c r="M43" i="16" s="1"/>
  <c r="N43" i="16" s="1"/>
  <c r="I44" i="16"/>
  <c r="J44" i="16"/>
  <c r="K44" i="16" s="1"/>
  <c r="L44" i="16"/>
  <c r="M44" i="16" s="1"/>
  <c r="N44" i="16" s="1"/>
  <c r="I45" i="16"/>
  <c r="J45" i="16" s="1"/>
  <c r="K45" i="16" s="1"/>
  <c r="L45" i="16"/>
  <c r="M45" i="16" s="1"/>
  <c r="N45" i="16" s="1"/>
  <c r="I46" i="16"/>
  <c r="J46" i="16"/>
  <c r="K46" i="16" s="1"/>
  <c r="L46" i="16"/>
  <c r="M46" i="16"/>
  <c r="N46" i="16"/>
  <c r="I47" i="16"/>
  <c r="J47" i="16" s="1"/>
  <c r="K47" i="16" s="1"/>
  <c r="L47" i="16"/>
  <c r="M47" i="16" s="1"/>
  <c r="N47" i="16" s="1"/>
  <c r="I48" i="16"/>
  <c r="J48" i="16"/>
  <c r="K48" i="16" s="1"/>
  <c r="L48" i="16"/>
  <c r="M48" i="16" s="1"/>
  <c r="N48" i="16" s="1"/>
  <c r="I49" i="16"/>
  <c r="J49" i="16" s="1"/>
  <c r="K49" i="16" s="1"/>
  <c r="L49" i="16"/>
  <c r="M49" i="16" s="1"/>
  <c r="N49" i="16" s="1"/>
  <c r="I50" i="16"/>
  <c r="J50" i="16"/>
  <c r="K50" i="16" s="1"/>
  <c r="L50" i="16"/>
  <c r="M50" i="16"/>
  <c r="N50" i="16"/>
  <c r="I51" i="16"/>
  <c r="J51" i="16" s="1"/>
  <c r="K51" i="16" s="1"/>
  <c r="L51" i="16"/>
  <c r="M51" i="16" s="1"/>
  <c r="N51" i="16" s="1"/>
  <c r="I52" i="16"/>
  <c r="J52" i="16"/>
  <c r="K52" i="16" s="1"/>
  <c r="L52" i="16"/>
  <c r="M52" i="16" s="1"/>
  <c r="N52" i="16" s="1"/>
  <c r="I53" i="16"/>
  <c r="J53" i="16" s="1"/>
  <c r="K53" i="16" s="1"/>
  <c r="L53" i="16"/>
  <c r="M53" i="16" s="1"/>
  <c r="N53" i="16" s="1"/>
  <c r="I54" i="16"/>
  <c r="J54" i="16"/>
  <c r="K54" i="16" s="1"/>
  <c r="L54" i="16"/>
  <c r="M54" i="16"/>
  <c r="N54" i="16"/>
  <c r="I55" i="16"/>
  <c r="J55" i="16" s="1"/>
  <c r="K55" i="16" s="1"/>
  <c r="L55" i="16"/>
  <c r="M55" i="16" s="1"/>
  <c r="N55" i="16" s="1"/>
  <c r="I56" i="16"/>
  <c r="J56" i="16"/>
  <c r="K56" i="16" s="1"/>
  <c r="L56" i="16"/>
  <c r="M56" i="16" s="1"/>
  <c r="N56" i="16" s="1"/>
  <c r="I57" i="16"/>
  <c r="J57" i="16" s="1"/>
  <c r="K57" i="16" s="1"/>
  <c r="L57" i="16"/>
  <c r="M57" i="16" s="1"/>
  <c r="N57" i="16" s="1"/>
  <c r="I58" i="16"/>
  <c r="J58" i="16"/>
  <c r="K58" i="16" s="1"/>
  <c r="L58" i="16"/>
  <c r="M58" i="16"/>
  <c r="N58" i="16"/>
  <c r="I59" i="16"/>
  <c r="J59" i="16" s="1"/>
  <c r="K59" i="16" s="1"/>
  <c r="L59" i="16"/>
  <c r="M59" i="16" s="1"/>
  <c r="N59" i="16" s="1"/>
  <c r="I60" i="16"/>
  <c r="J60" i="16"/>
  <c r="K60" i="16" s="1"/>
  <c r="L60" i="16"/>
  <c r="M60" i="16" s="1"/>
  <c r="N60" i="16" s="1"/>
  <c r="I61" i="16"/>
  <c r="J61" i="16" s="1"/>
  <c r="K61" i="16" s="1"/>
  <c r="L61" i="16"/>
  <c r="M61" i="16" s="1"/>
  <c r="N61" i="16" s="1"/>
  <c r="I62" i="16"/>
  <c r="J62" i="16"/>
  <c r="K62" i="16" s="1"/>
  <c r="L62" i="16"/>
  <c r="M62" i="16"/>
  <c r="N62" i="16"/>
  <c r="I63" i="16"/>
  <c r="J63" i="16" s="1"/>
  <c r="K63" i="16" s="1"/>
  <c r="L63" i="16"/>
  <c r="M63" i="16" s="1"/>
  <c r="N63" i="16" s="1"/>
  <c r="I64" i="16"/>
  <c r="J64" i="16"/>
  <c r="K64" i="16" s="1"/>
  <c r="L64" i="16"/>
  <c r="M64" i="16" s="1"/>
  <c r="N64" i="16" s="1"/>
  <c r="I65" i="16"/>
  <c r="J65" i="16" s="1"/>
  <c r="K65" i="16" s="1"/>
  <c r="L65" i="16"/>
  <c r="M65" i="16" s="1"/>
  <c r="N65" i="16" s="1"/>
  <c r="I66" i="16"/>
  <c r="J66" i="16"/>
  <c r="K66" i="16" s="1"/>
  <c r="L66" i="16"/>
  <c r="M66" i="16"/>
  <c r="N66" i="16"/>
  <c r="I67" i="16"/>
  <c r="J67" i="16" s="1"/>
  <c r="K67" i="16" s="1"/>
  <c r="L67" i="16"/>
  <c r="M67" i="16" s="1"/>
  <c r="N67" i="16" s="1"/>
  <c r="I68" i="16"/>
  <c r="J68" i="16"/>
  <c r="K68" i="16" s="1"/>
  <c r="L68" i="16"/>
  <c r="M68" i="16" s="1"/>
  <c r="N68" i="16" s="1"/>
  <c r="I69" i="16"/>
  <c r="J69" i="16" s="1"/>
  <c r="K69" i="16" s="1"/>
  <c r="L69" i="16"/>
  <c r="M69" i="16" s="1"/>
  <c r="N69" i="16" s="1"/>
  <c r="I70" i="16"/>
  <c r="J70" i="16"/>
  <c r="K70" i="16" s="1"/>
  <c r="L70" i="16"/>
  <c r="M70" i="16"/>
  <c r="N70" i="16"/>
  <c r="I71" i="16"/>
  <c r="J71" i="16" s="1"/>
  <c r="K71" i="16" s="1"/>
  <c r="L71" i="16"/>
  <c r="M71" i="16" s="1"/>
  <c r="N71" i="16" s="1"/>
  <c r="I72" i="16"/>
  <c r="J72" i="16"/>
  <c r="K72" i="16" s="1"/>
  <c r="L72" i="16"/>
  <c r="M72" i="16" s="1"/>
  <c r="N72" i="16" s="1"/>
  <c r="I73" i="16"/>
  <c r="J73" i="16" s="1"/>
  <c r="L73" i="16"/>
  <c r="M73" i="16" s="1"/>
  <c r="N73" i="16" s="1"/>
  <c r="I74" i="16"/>
  <c r="J74" i="16"/>
  <c r="L74" i="16"/>
  <c r="M74" i="16"/>
  <c r="N74" i="16"/>
  <c r="I75" i="16"/>
  <c r="J75" i="16" s="1"/>
  <c r="K75" i="16" s="1"/>
  <c r="L75" i="16"/>
  <c r="M75" i="16" s="1"/>
  <c r="N75" i="16" s="1"/>
  <c r="I76" i="16"/>
  <c r="J76" i="16"/>
  <c r="K76" i="16" s="1"/>
  <c r="L76" i="16"/>
  <c r="M76" i="16" s="1"/>
  <c r="N76" i="16" s="1"/>
  <c r="I77" i="16"/>
  <c r="J77" i="16" s="1"/>
  <c r="K77" i="16" s="1"/>
  <c r="L77" i="16"/>
  <c r="M77" i="16" s="1"/>
  <c r="N77" i="16" s="1"/>
  <c r="I78" i="16"/>
  <c r="J78" i="16"/>
  <c r="K78" i="16" s="1"/>
  <c r="L78" i="16"/>
  <c r="M78" i="16"/>
  <c r="N78" i="16"/>
  <c r="I79" i="16"/>
  <c r="J79" i="16" s="1"/>
  <c r="K79" i="16" s="1"/>
  <c r="L79" i="16"/>
  <c r="M79" i="16" s="1"/>
  <c r="N79" i="16" s="1"/>
  <c r="I80" i="16"/>
  <c r="J80" i="16"/>
  <c r="K80" i="16" s="1"/>
  <c r="L80" i="16"/>
  <c r="M80" i="16" s="1"/>
  <c r="N80" i="16" s="1"/>
  <c r="I81" i="16"/>
  <c r="J81" i="16" s="1"/>
  <c r="K81" i="16" s="1"/>
  <c r="L81" i="16"/>
  <c r="M81" i="16" s="1"/>
  <c r="N81" i="16" s="1"/>
  <c r="I82" i="16"/>
  <c r="J82" i="16"/>
  <c r="K82" i="16" s="1"/>
  <c r="L82" i="16"/>
  <c r="M82" i="16"/>
  <c r="N82" i="16"/>
  <c r="I83" i="16"/>
  <c r="J83" i="16" s="1"/>
  <c r="K83" i="16" s="1"/>
  <c r="L83" i="16"/>
  <c r="M83" i="16" s="1"/>
  <c r="N83" i="16" s="1"/>
  <c r="I84" i="16"/>
  <c r="J84" i="16"/>
  <c r="K84" i="16" s="1"/>
  <c r="L84" i="16"/>
  <c r="M84" i="16" s="1"/>
  <c r="N84" i="16" s="1"/>
  <c r="I85" i="16"/>
  <c r="J85" i="16" s="1"/>
  <c r="K85" i="16" s="1"/>
  <c r="L85" i="16"/>
  <c r="M85" i="16" s="1"/>
  <c r="N85" i="16" s="1"/>
  <c r="I86" i="16"/>
  <c r="J86" i="16"/>
  <c r="K86" i="16" s="1"/>
  <c r="L86" i="16"/>
  <c r="M86" i="16"/>
  <c r="N86" i="16"/>
  <c r="I87" i="16"/>
  <c r="J87" i="16" s="1"/>
  <c r="K87" i="16" s="1"/>
  <c r="L87" i="16"/>
  <c r="M87" i="16" s="1"/>
  <c r="N87" i="16" s="1"/>
  <c r="I88" i="16"/>
  <c r="J88" i="16"/>
  <c r="K88" i="16" s="1"/>
  <c r="L88" i="16"/>
  <c r="M88" i="16" s="1"/>
  <c r="N88" i="16" s="1"/>
  <c r="I89" i="16"/>
  <c r="J89" i="16" s="1"/>
  <c r="K89" i="16" s="1"/>
  <c r="L89" i="16"/>
  <c r="M89" i="16" s="1"/>
  <c r="N89" i="16" s="1"/>
  <c r="L2" i="16"/>
  <c r="M2" i="16" s="1"/>
  <c r="N2" i="16" s="1"/>
  <c r="I2" i="16"/>
  <c r="J2" i="16" s="1"/>
  <c r="K2" i="16" s="1"/>
  <c r="I3" i="15"/>
  <c r="J3" i="15" s="1"/>
  <c r="K3" i="15" s="1"/>
  <c r="L3" i="15"/>
  <c r="M3" i="15" s="1"/>
  <c r="N3" i="15" s="1"/>
  <c r="I4" i="15"/>
  <c r="J4" i="15" s="1"/>
  <c r="K4" i="15" s="1"/>
  <c r="L4" i="15"/>
  <c r="M4" i="15" s="1"/>
  <c r="N4" i="15" s="1"/>
  <c r="I5" i="15"/>
  <c r="J5" i="15" s="1"/>
  <c r="K5" i="15" s="1"/>
  <c r="L5" i="15"/>
  <c r="M5" i="15" s="1"/>
  <c r="N5" i="15" s="1"/>
  <c r="I6" i="15"/>
  <c r="J6" i="15"/>
  <c r="K6" i="15" s="1"/>
  <c r="L6" i="15"/>
  <c r="M6" i="15" s="1"/>
  <c r="N6" i="15" s="1"/>
  <c r="I7" i="15"/>
  <c r="J7" i="15" s="1"/>
  <c r="K7" i="15" s="1"/>
  <c r="L7" i="15"/>
  <c r="M7" i="15" s="1"/>
  <c r="N7" i="15" s="1"/>
  <c r="I8" i="15"/>
  <c r="J8" i="15" s="1"/>
  <c r="K8" i="15" s="1"/>
  <c r="L8" i="15"/>
  <c r="M8" i="15" s="1"/>
  <c r="N8" i="15" s="1"/>
  <c r="I9" i="15"/>
  <c r="J9" i="15" s="1"/>
  <c r="K9" i="15" s="1"/>
  <c r="L9" i="15"/>
  <c r="M9" i="15" s="1"/>
  <c r="N9" i="15" s="1"/>
  <c r="I10" i="15"/>
  <c r="J10" i="15"/>
  <c r="K10" i="15" s="1"/>
  <c r="L10" i="15"/>
  <c r="M10" i="15" s="1"/>
  <c r="N10" i="15" s="1"/>
  <c r="I11" i="15"/>
  <c r="J11" i="15" s="1"/>
  <c r="K11" i="15" s="1"/>
  <c r="L11" i="15"/>
  <c r="M11" i="15" s="1"/>
  <c r="N11" i="15" s="1"/>
  <c r="I12" i="15"/>
  <c r="J12" i="15" s="1"/>
  <c r="K12" i="15" s="1"/>
  <c r="L12" i="15"/>
  <c r="M12" i="15" s="1"/>
  <c r="N12" i="15" s="1"/>
  <c r="I13" i="15"/>
  <c r="J13" i="15" s="1"/>
  <c r="K13" i="15" s="1"/>
  <c r="L13" i="15"/>
  <c r="M13" i="15" s="1"/>
  <c r="N13" i="15" s="1"/>
  <c r="I14" i="15"/>
  <c r="J14" i="15"/>
  <c r="K14" i="15" s="1"/>
  <c r="L14" i="15"/>
  <c r="M14" i="15" s="1"/>
  <c r="N14" i="15" s="1"/>
  <c r="I15" i="15"/>
  <c r="J15" i="15" s="1"/>
  <c r="K15" i="15" s="1"/>
  <c r="L15" i="15"/>
  <c r="M15" i="15" s="1"/>
  <c r="N15" i="15" s="1"/>
  <c r="I16" i="15"/>
  <c r="J16" i="15" s="1"/>
  <c r="K16" i="15" s="1"/>
  <c r="L16" i="15"/>
  <c r="M16" i="15" s="1"/>
  <c r="N16" i="15" s="1"/>
  <c r="I17" i="15"/>
  <c r="J17" i="15" s="1"/>
  <c r="K17" i="15" s="1"/>
  <c r="L17" i="15"/>
  <c r="M17" i="15" s="1"/>
  <c r="N17" i="15" s="1"/>
  <c r="I18" i="15"/>
  <c r="J18" i="15"/>
  <c r="K18" i="15" s="1"/>
  <c r="L18" i="15"/>
  <c r="M18" i="15"/>
  <c r="N18" i="15" s="1"/>
  <c r="I19" i="15"/>
  <c r="J19" i="15" s="1"/>
  <c r="K19" i="15" s="1"/>
  <c r="L19" i="15"/>
  <c r="M19" i="15" s="1"/>
  <c r="N19" i="15" s="1"/>
  <c r="I20" i="15"/>
  <c r="J20" i="15" s="1"/>
  <c r="K20" i="15" s="1"/>
  <c r="L20" i="15"/>
  <c r="M20" i="15" s="1"/>
  <c r="N20" i="15" s="1"/>
  <c r="I21" i="15"/>
  <c r="J21" i="15" s="1"/>
  <c r="K21" i="15" s="1"/>
  <c r="L21" i="15"/>
  <c r="M21" i="15" s="1"/>
  <c r="N21" i="15" s="1"/>
  <c r="I22" i="15"/>
  <c r="J22" i="15"/>
  <c r="K22" i="15" s="1"/>
  <c r="L22" i="15"/>
  <c r="M22" i="15" s="1"/>
  <c r="N22" i="15" s="1"/>
  <c r="I23" i="15"/>
  <c r="J23" i="15" s="1"/>
  <c r="K23" i="15" s="1"/>
  <c r="L23" i="15"/>
  <c r="M23" i="15" s="1"/>
  <c r="N23" i="15" s="1"/>
  <c r="I24" i="15"/>
  <c r="J24" i="15" s="1"/>
  <c r="K24" i="15" s="1"/>
  <c r="L24" i="15"/>
  <c r="M24" i="15" s="1"/>
  <c r="N24" i="15" s="1"/>
  <c r="I25" i="15"/>
  <c r="J25" i="15" s="1"/>
  <c r="K25" i="15" s="1"/>
  <c r="L25" i="15"/>
  <c r="M25" i="15" s="1"/>
  <c r="N25" i="15" s="1"/>
  <c r="I26" i="15"/>
  <c r="J26" i="15"/>
  <c r="K26" i="15" s="1"/>
  <c r="L26" i="15"/>
  <c r="M26" i="15"/>
  <c r="N26" i="15" s="1"/>
  <c r="I27" i="15"/>
  <c r="J27" i="15" s="1"/>
  <c r="K27" i="15" s="1"/>
  <c r="L27" i="15"/>
  <c r="M27" i="15" s="1"/>
  <c r="N27" i="15" s="1"/>
  <c r="I28" i="15"/>
  <c r="J28" i="15" s="1"/>
  <c r="K28" i="15" s="1"/>
  <c r="L28" i="15"/>
  <c r="M28" i="15" s="1"/>
  <c r="N28" i="15" s="1"/>
  <c r="I29" i="15"/>
  <c r="J29" i="15" s="1"/>
  <c r="K29" i="15" s="1"/>
  <c r="L29" i="15"/>
  <c r="M29" i="15" s="1"/>
  <c r="N29" i="15" s="1"/>
  <c r="I30" i="15"/>
  <c r="J30" i="15" s="1"/>
  <c r="K30" i="15" s="1"/>
  <c r="L30" i="15"/>
  <c r="M30" i="15"/>
  <c r="N30" i="15" s="1"/>
  <c r="I31" i="15"/>
  <c r="J31" i="15"/>
  <c r="K31" i="15" s="1"/>
  <c r="L31" i="15"/>
  <c r="M31" i="15" s="1"/>
  <c r="N31" i="15" s="1"/>
  <c r="I32" i="15"/>
  <c r="J32" i="15"/>
  <c r="K32" i="15" s="1"/>
  <c r="L32" i="15"/>
  <c r="M32" i="15" s="1"/>
  <c r="N32" i="15" s="1"/>
  <c r="I33" i="15"/>
  <c r="J33" i="15" s="1"/>
  <c r="K33" i="15" s="1"/>
  <c r="L33" i="15"/>
  <c r="M33" i="15" s="1"/>
  <c r="N33" i="15" s="1"/>
  <c r="I34" i="15"/>
  <c r="J34" i="15" s="1"/>
  <c r="K34" i="15" s="1"/>
  <c r="L34" i="15"/>
  <c r="M34" i="15" s="1"/>
  <c r="N34" i="15" s="1"/>
  <c r="I35" i="15"/>
  <c r="J35" i="15" s="1"/>
  <c r="K35" i="15" s="1"/>
  <c r="L35" i="15"/>
  <c r="M35" i="15" s="1"/>
  <c r="N35" i="15" s="1"/>
  <c r="I36" i="15"/>
  <c r="J36" i="15"/>
  <c r="K36" i="15" s="1"/>
  <c r="L36" i="15"/>
  <c r="M36" i="15"/>
  <c r="N36" i="15" s="1"/>
  <c r="I37" i="15"/>
  <c r="J37" i="15" s="1"/>
  <c r="K37" i="15" s="1"/>
  <c r="L37" i="15"/>
  <c r="M37" i="15" s="1"/>
  <c r="N37" i="15" s="1"/>
  <c r="I38" i="15"/>
  <c r="J38" i="15" s="1"/>
  <c r="K38" i="15" s="1"/>
  <c r="L38" i="15"/>
  <c r="M38" i="15"/>
  <c r="N38" i="15"/>
  <c r="I39" i="15"/>
  <c r="J39" i="15"/>
  <c r="K39" i="15"/>
  <c r="L39" i="15"/>
  <c r="M39" i="15" s="1"/>
  <c r="N39" i="15" s="1"/>
  <c r="I40" i="15"/>
  <c r="J40" i="15"/>
  <c r="K40" i="15" s="1"/>
  <c r="L40" i="15"/>
  <c r="M40" i="15" s="1"/>
  <c r="N40" i="15" s="1"/>
  <c r="I41" i="15"/>
  <c r="J41" i="15" s="1"/>
  <c r="K41" i="15" s="1"/>
  <c r="L41" i="15"/>
  <c r="M41" i="15" s="1"/>
  <c r="N41" i="15" s="1"/>
  <c r="I42" i="15"/>
  <c r="J42" i="15" s="1"/>
  <c r="K42" i="15" s="1"/>
  <c r="L42" i="15"/>
  <c r="M42" i="15" s="1"/>
  <c r="N42" i="15" s="1"/>
  <c r="I43" i="15"/>
  <c r="J43" i="15"/>
  <c r="K43" i="15" s="1"/>
  <c r="L43" i="15"/>
  <c r="M43" i="15" s="1"/>
  <c r="N43" i="15" s="1"/>
  <c r="I44" i="15"/>
  <c r="J44" i="15" s="1"/>
  <c r="K44" i="15" s="1"/>
  <c r="L44" i="15"/>
  <c r="M44" i="15"/>
  <c r="N44" i="15" s="1"/>
  <c r="I45" i="15"/>
  <c r="J45" i="15" s="1"/>
  <c r="K45" i="15" s="1"/>
  <c r="L45" i="15"/>
  <c r="M45" i="15" s="1"/>
  <c r="N45" i="15" s="1"/>
  <c r="I46" i="15"/>
  <c r="J46" i="15" s="1"/>
  <c r="K46" i="15" s="1"/>
  <c r="L46" i="15"/>
  <c r="M46" i="15"/>
  <c r="N46" i="15" s="1"/>
  <c r="I47" i="15"/>
  <c r="J47" i="15"/>
  <c r="K47" i="15"/>
  <c r="L47" i="15"/>
  <c r="M47" i="15" s="1"/>
  <c r="N47" i="15" s="1"/>
  <c r="I48" i="15"/>
  <c r="J48" i="15"/>
  <c r="K48" i="15" s="1"/>
  <c r="L48" i="15"/>
  <c r="M48" i="15" s="1"/>
  <c r="N48" i="15" s="1"/>
  <c r="I49" i="15"/>
  <c r="J49" i="15" s="1"/>
  <c r="K49" i="15" s="1"/>
  <c r="L49" i="15"/>
  <c r="M49" i="15" s="1"/>
  <c r="N49" i="15" s="1"/>
  <c r="I50" i="15"/>
  <c r="J50" i="15" s="1"/>
  <c r="K50" i="15" s="1"/>
  <c r="L50" i="15"/>
  <c r="M50" i="15" s="1"/>
  <c r="N50" i="15" s="1"/>
  <c r="I51" i="15"/>
  <c r="J51" i="15" s="1"/>
  <c r="K51" i="15" s="1"/>
  <c r="L51" i="15"/>
  <c r="M51" i="15" s="1"/>
  <c r="N51" i="15" s="1"/>
  <c r="I52" i="15"/>
  <c r="J52" i="15"/>
  <c r="K52" i="15" s="1"/>
  <c r="L52" i="15"/>
  <c r="M52" i="15"/>
  <c r="N52" i="15" s="1"/>
  <c r="I53" i="15"/>
  <c r="J53" i="15" s="1"/>
  <c r="K53" i="15" s="1"/>
  <c r="L53" i="15"/>
  <c r="M53" i="15" s="1"/>
  <c r="N53" i="15" s="1"/>
  <c r="I54" i="15"/>
  <c r="J54" i="15" s="1"/>
  <c r="K54" i="15" s="1"/>
  <c r="L54" i="15"/>
  <c r="M54" i="15"/>
  <c r="N54" i="15"/>
  <c r="I55" i="15"/>
  <c r="J55" i="15"/>
  <c r="K55" i="15"/>
  <c r="L55" i="15"/>
  <c r="M55" i="15" s="1"/>
  <c r="N55" i="15" s="1"/>
  <c r="I56" i="15"/>
  <c r="J56" i="15"/>
  <c r="K56" i="15" s="1"/>
  <c r="L56" i="15"/>
  <c r="M56" i="15"/>
  <c r="N56" i="15" s="1"/>
  <c r="I57" i="15"/>
  <c r="J57" i="15" s="1"/>
  <c r="K57" i="15" s="1"/>
  <c r="L57" i="15"/>
  <c r="M57" i="15" s="1"/>
  <c r="N57" i="15" s="1"/>
  <c r="I58" i="15"/>
  <c r="J58" i="15" s="1"/>
  <c r="K58" i="15" s="1"/>
  <c r="L58" i="15"/>
  <c r="M58" i="15" s="1"/>
  <c r="N58" i="15" s="1"/>
  <c r="I59" i="15"/>
  <c r="J59" i="15"/>
  <c r="K59" i="15" s="1"/>
  <c r="L59" i="15"/>
  <c r="M59" i="15" s="1"/>
  <c r="N59" i="15" s="1"/>
  <c r="I60" i="15"/>
  <c r="J60" i="15" s="1"/>
  <c r="K60" i="15" s="1"/>
  <c r="L60" i="15"/>
  <c r="M60" i="15"/>
  <c r="N60" i="15" s="1"/>
  <c r="I61" i="15"/>
  <c r="J61" i="15" s="1"/>
  <c r="K61" i="15" s="1"/>
  <c r="L61" i="15"/>
  <c r="M61" i="15" s="1"/>
  <c r="N61" i="15" s="1"/>
  <c r="I62" i="15"/>
  <c r="J62" i="15" s="1"/>
  <c r="K62" i="15" s="1"/>
  <c r="L62" i="15"/>
  <c r="M62" i="15"/>
  <c r="N62" i="15" s="1"/>
  <c r="I63" i="15"/>
  <c r="J63" i="15"/>
  <c r="K63" i="15"/>
  <c r="L63" i="15"/>
  <c r="M63" i="15" s="1"/>
  <c r="N63" i="15" s="1"/>
  <c r="I64" i="15"/>
  <c r="J64" i="15"/>
  <c r="K64" i="15" s="1"/>
  <c r="L64" i="15"/>
  <c r="M64" i="15" s="1"/>
  <c r="N64" i="15" s="1"/>
  <c r="I65" i="15"/>
  <c r="J65" i="15" s="1"/>
  <c r="K65" i="15" s="1"/>
  <c r="L65" i="15"/>
  <c r="M65" i="15" s="1"/>
  <c r="N65" i="15" s="1"/>
  <c r="I66" i="15"/>
  <c r="J66" i="15" s="1"/>
  <c r="K66" i="15" s="1"/>
  <c r="L66" i="15"/>
  <c r="M66" i="15" s="1"/>
  <c r="N66" i="15" s="1"/>
  <c r="I67" i="15"/>
  <c r="J67" i="15" s="1"/>
  <c r="K67" i="15" s="1"/>
  <c r="L67" i="15"/>
  <c r="M67" i="15" s="1"/>
  <c r="N67" i="15" s="1"/>
  <c r="I68" i="15"/>
  <c r="J68" i="15"/>
  <c r="K68" i="15" s="1"/>
  <c r="L68" i="15"/>
  <c r="M68" i="15"/>
  <c r="N68" i="15" s="1"/>
  <c r="I69" i="15"/>
  <c r="J69" i="15" s="1"/>
  <c r="K69" i="15" s="1"/>
  <c r="L69" i="15"/>
  <c r="M69" i="15" s="1"/>
  <c r="N69" i="15" s="1"/>
  <c r="I70" i="15"/>
  <c r="J70" i="15" s="1"/>
  <c r="K70" i="15" s="1"/>
  <c r="L70" i="15"/>
  <c r="M70" i="15"/>
  <c r="N70" i="15"/>
  <c r="I71" i="15"/>
  <c r="J71" i="15"/>
  <c r="K71" i="15"/>
  <c r="L71" i="15"/>
  <c r="M71" i="15" s="1"/>
  <c r="N71" i="15" s="1"/>
  <c r="I72" i="15"/>
  <c r="J72" i="15"/>
  <c r="K72" i="15" s="1"/>
  <c r="L72" i="15"/>
  <c r="M72" i="15"/>
  <c r="N72" i="15" s="1"/>
  <c r="I73" i="15"/>
  <c r="J73" i="15" s="1"/>
  <c r="K73" i="15" s="1"/>
  <c r="L73" i="15"/>
  <c r="M73" i="15" s="1"/>
  <c r="N73" i="15" s="1"/>
  <c r="I74" i="15"/>
  <c r="J74" i="15" s="1"/>
  <c r="K74" i="15" s="1"/>
  <c r="L74" i="15"/>
  <c r="M74" i="15" s="1"/>
  <c r="N74" i="15" s="1"/>
  <c r="I75" i="15"/>
  <c r="J75" i="15"/>
  <c r="K75" i="15" s="1"/>
  <c r="L75" i="15"/>
  <c r="M75" i="15" s="1"/>
  <c r="N75" i="15" s="1"/>
  <c r="I76" i="15"/>
  <c r="J76" i="15" s="1"/>
  <c r="K76" i="15" s="1"/>
  <c r="L76" i="15"/>
  <c r="M76" i="15"/>
  <c r="N76" i="15" s="1"/>
  <c r="I77" i="15"/>
  <c r="J77" i="15" s="1"/>
  <c r="K77" i="15" s="1"/>
  <c r="L77" i="15"/>
  <c r="M77" i="15" s="1"/>
  <c r="N77" i="15" s="1"/>
  <c r="I78" i="15"/>
  <c r="J78" i="15" s="1"/>
  <c r="K78" i="15" s="1"/>
  <c r="L78" i="15"/>
  <c r="M78" i="15"/>
  <c r="N78" i="15" s="1"/>
  <c r="I79" i="15"/>
  <c r="J79" i="15"/>
  <c r="K79" i="15"/>
  <c r="L79" i="15"/>
  <c r="M79" i="15" s="1"/>
  <c r="N79" i="15" s="1"/>
  <c r="I80" i="15"/>
  <c r="J80" i="15"/>
  <c r="K80" i="15" s="1"/>
  <c r="L80" i="15"/>
  <c r="M80" i="15" s="1"/>
  <c r="N80" i="15" s="1"/>
  <c r="I81" i="15"/>
  <c r="J81" i="15" s="1"/>
  <c r="K81" i="15" s="1"/>
  <c r="L81" i="15"/>
  <c r="M81" i="15" s="1"/>
  <c r="N81" i="15" s="1"/>
  <c r="I82" i="15"/>
  <c r="J82" i="15" s="1"/>
  <c r="K82" i="15" s="1"/>
  <c r="L82" i="15"/>
  <c r="M82" i="15" s="1"/>
  <c r="N82" i="15" s="1"/>
  <c r="I83" i="15"/>
  <c r="J83" i="15" s="1"/>
  <c r="K83" i="15" s="1"/>
  <c r="L83" i="15"/>
  <c r="M83" i="15" s="1"/>
  <c r="N83" i="15" s="1"/>
  <c r="I84" i="15"/>
  <c r="J84" i="15"/>
  <c r="K84" i="15" s="1"/>
  <c r="L84" i="15"/>
  <c r="M84" i="15"/>
  <c r="N84" i="15" s="1"/>
  <c r="I85" i="15"/>
  <c r="J85" i="15" s="1"/>
  <c r="K85" i="15" s="1"/>
  <c r="L85" i="15"/>
  <c r="M85" i="15" s="1"/>
  <c r="N85" i="15" s="1"/>
  <c r="I86" i="15"/>
  <c r="J86" i="15" s="1"/>
  <c r="K86" i="15" s="1"/>
  <c r="L86" i="15"/>
  <c r="M86" i="15"/>
  <c r="N86" i="15"/>
  <c r="I87" i="15"/>
  <c r="J87" i="15"/>
  <c r="K87" i="15"/>
  <c r="L87" i="15"/>
  <c r="M87" i="15" s="1"/>
  <c r="N87" i="15" s="1"/>
  <c r="I88" i="15"/>
  <c r="J88" i="15"/>
  <c r="K88" i="15" s="1"/>
  <c r="L88" i="15"/>
  <c r="M88" i="15"/>
  <c r="N88" i="15" s="1"/>
  <c r="I89" i="15"/>
  <c r="J89" i="15" s="1"/>
  <c r="K89" i="15" s="1"/>
  <c r="L89" i="15"/>
  <c r="M89" i="15" s="1"/>
  <c r="N89" i="15" s="1"/>
  <c r="L2" i="15"/>
  <c r="M2" i="15" s="1"/>
  <c r="N2" i="15" s="1"/>
  <c r="I2" i="15"/>
  <c r="J2" i="15" s="1"/>
  <c r="K2" i="15" s="1"/>
  <c r="H12" i="14"/>
  <c r="I12" i="14" s="1"/>
  <c r="J12" i="14" s="1"/>
  <c r="K12" i="14"/>
  <c r="L12" i="14" s="1"/>
  <c r="M12" i="14" s="1"/>
  <c r="H13" i="14"/>
  <c r="I13" i="14"/>
  <c r="J13" i="14" s="1"/>
  <c r="K13" i="14"/>
  <c r="L13" i="14" s="1"/>
  <c r="M13" i="14" s="1"/>
  <c r="H14" i="14"/>
  <c r="I14" i="14"/>
  <c r="J14" i="14" s="1"/>
  <c r="K14" i="14"/>
  <c r="L14" i="14" s="1"/>
  <c r="M14" i="14" s="1"/>
  <c r="H15" i="14"/>
  <c r="I15" i="14"/>
  <c r="J15" i="14" s="1"/>
  <c r="K15" i="14"/>
  <c r="L15" i="14" s="1"/>
  <c r="M15" i="14" s="1"/>
  <c r="H16" i="14"/>
  <c r="I16" i="14" s="1"/>
  <c r="J16" i="14" s="1"/>
  <c r="K16" i="14"/>
  <c r="L16" i="14" s="1"/>
  <c r="M16" i="14" s="1"/>
  <c r="H17" i="14"/>
  <c r="I17" i="14"/>
  <c r="J17" i="14" s="1"/>
  <c r="K17" i="14"/>
  <c r="L17" i="14" s="1"/>
  <c r="M17" i="14" s="1"/>
  <c r="H18" i="14"/>
  <c r="I18" i="14"/>
  <c r="J18" i="14" s="1"/>
  <c r="K18" i="14"/>
  <c r="L18" i="14" s="1"/>
  <c r="M18" i="14" s="1"/>
  <c r="H19" i="14"/>
  <c r="I19" i="14"/>
  <c r="J19" i="14" s="1"/>
  <c r="K19" i="14"/>
  <c r="L19" i="14" s="1"/>
  <c r="M19" i="14" s="1"/>
  <c r="H20" i="14"/>
  <c r="I20" i="14" s="1"/>
  <c r="J20" i="14" s="1"/>
  <c r="K20" i="14"/>
  <c r="L20" i="14" s="1"/>
  <c r="M20" i="14" s="1"/>
  <c r="H21" i="14"/>
  <c r="I21" i="14"/>
  <c r="J21" i="14" s="1"/>
  <c r="K21" i="14"/>
  <c r="L21" i="14" s="1"/>
  <c r="M21" i="14" s="1"/>
  <c r="H22" i="14"/>
  <c r="I22" i="14"/>
  <c r="J22" i="14" s="1"/>
  <c r="K22" i="14"/>
  <c r="L22" i="14" s="1"/>
  <c r="M22" i="14" s="1"/>
  <c r="H23" i="14"/>
  <c r="I23" i="14"/>
  <c r="J23" i="14" s="1"/>
  <c r="K23" i="14"/>
  <c r="L23" i="14" s="1"/>
  <c r="M23" i="14" s="1"/>
  <c r="H24" i="14"/>
  <c r="I24" i="14" s="1"/>
  <c r="J24" i="14" s="1"/>
  <c r="K24" i="14"/>
  <c r="L24" i="14" s="1"/>
  <c r="M24" i="14" s="1"/>
  <c r="H25" i="14"/>
  <c r="I25" i="14"/>
  <c r="J25" i="14" s="1"/>
  <c r="K25" i="14"/>
  <c r="L25" i="14" s="1"/>
  <c r="M25" i="14" s="1"/>
  <c r="H26" i="14"/>
  <c r="I26" i="14"/>
  <c r="J26" i="14" s="1"/>
  <c r="K26" i="14"/>
  <c r="L26" i="14" s="1"/>
  <c r="M26" i="14" s="1"/>
  <c r="H27" i="14"/>
  <c r="I27" i="14"/>
  <c r="J27" i="14" s="1"/>
  <c r="K27" i="14"/>
  <c r="L27" i="14" s="1"/>
  <c r="M27" i="14" s="1"/>
  <c r="H28" i="14"/>
  <c r="I28" i="14" s="1"/>
  <c r="J28" i="14" s="1"/>
  <c r="K28" i="14"/>
  <c r="L28" i="14" s="1"/>
  <c r="M28" i="14" s="1"/>
  <c r="H29" i="14"/>
  <c r="I29" i="14"/>
  <c r="J29" i="14" s="1"/>
  <c r="K29" i="14"/>
  <c r="L29" i="14" s="1"/>
  <c r="M29" i="14" s="1"/>
  <c r="H30" i="14"/>
  <c r="I30" i="14"/>
  <c r="J30" i="14" s="1"/>
  <c r="K30" i="14"/>
  <c r="L30" i="14" s="1"/>
  <c r="M30" i="14" s="1"/>
  <c r="H31" i="14"/>
  <c r="I31" i="14"/>
  <c r="J31" i="14" s="1"/>
  <c r="K31" i="14"/>
  <c r="L31" i="14" s="1"/>
  <c r="M31" i="14" s="1"/>
  <c r="H32" i="14"/>
  <c r="I32" i="14"/>
  <c r="J32" i="14" s="1"/>
  <c r="K32" i="14"/>
  <c r="L32" i="14" s="1"/>
  <c r="M32" i="14" s="1"/>
  <c r="H33" i="14"/>
  <c r="I33" i="14"/>
  <c r="J33" i="14" s="1"/>
  <c r="K33" i="14"/>
  <c r="L33" i="14" s="1"/>
  <c r="M33" i="14" s="1"/>
  <c r="H34" i="14"/>
  <c r="I34" i="14"/>
  <c r="J34" i="14" s="1"/>
  <c r="K34" i="14"/>
  <c r="L34" i="14" s="1"/>
  <c r="M34" i="14" s="1"/>
  <c r="H35" i="14"/>
  <c r="I35" i="14"/>
  <c r="J35" i="14" s="1"/>
  <c r="K35" i="14"/>
  <c r="L35" i="14" s="1"/>
  <c r="M35" i="14" s="1"/>
  <c r="H36" i="14"/>
  <c r="I36" i="14"/>
  <c r="J36" i="14" s="1"/>
  <c r="K36" i="14"/>
  <c r="L36" i="14" s="1"/>
  <c r="M36" i="14" s="1"/>
  <c r="H37" i="14"/>
  <c r="I37" i="14"/>
  <c r="J37" i="14" s="1"/>
  <c r="K37" i="14"/>
  <c r="L37" i="14" s="1"/>
  <c r="M37" i="14" s="1"/>
  <c r="H38" i="14"/>
  <c r="I38" i="14"/>
  <c r="J38" i="14" s="1"/>
  <c r="K38" i="14"/>
  <c r="L38" i="14" s="1"/>
  <c r="M38" i="14" s="1"/>
  <c r="H39" i="14"/>
  <c r="I39" i="14"/>
  <c r="J39" i="14" s="1"/>
  <c r="K39" i="14"/>
  <c r="L39" i="14" s="1"/>
  <c r="M39" i="14" s="1"/>
  <c r="H40" i="14"/>
  <c r="I40" i="14"/>
  <c r="J40" i="14" s="1"/>
  <c r="K40" i="14"/>
  <c r="L40" i="14" s="1"/>
  <c r="M40" i="14" s="1"/>
  <c r="H41" i="14"/>
  <c r="I41" i="14"/>
  <c r="J41" i="14" s="1"/>
  <c r="K41" i="14"/>
  <c r="L41" i="14" s="1"/>
  <c r="M41" i="14" s="1"/>
  <c r="H42" i="14"/>
  <c r="I42" i="14"/>
  <c r="J42" i="14" s="1"/>
  <c r="K42" i="14"/>
  <c r="L42" i="14" s="1"/>
  <c r="M42" i="14" s="1"/>
  <c r="H43" i="14"/>
  <c r="I43" i="14"/>
  <c r="J43" i="14" s="1"/>
  <c r="K43" i="14"/>
  <c r="L43" i="14" s="1"/>
  <c r="M43" i="14" s="1"/>
  <c r="H44" i="14"/>
  <c r="I44" i="14"/>
  <c r="J44" i="14" s="1"/>
  <c r="K44" i="14"/>
  <c r="L44" i="14" s="1"/>
  <c r="M44" i="14" s="1"/>
  <c r="H45" i="14"/>
  <c r="I45" i="14"/>
  <c r="J45" i="14" s="1"/>
  <c r="K45" i="14"/>
  <c r="L45" i="14" s="1"/>
  <c r="M45" i="14" s="1"/>
  <c r="H46" i="14"/>
  <c r="I46" i="14"/>
  <c r="J46" i="14" s="1"/>
  <c r="K46" i="14"/>
  <c r="L46" i="14" s="1"/>
  <c r="M46" i="14" s="1"/>
  <c r="H47" i="14"/>
  <c r="I47" i="14"/>
  <c r="J47" i="14" s="1"/>
  <c r="K47" i="14"/>
  <c r="L47" i="14" s="1"/>
  <c r="M47" i="14" s="1"/>
  <c r="H48" i="14"/>
  <c r="I48" i="14"/>
  <c r="J48" i="14" s="1"/>
  <c r="K48" i="14"/>
  <c r="L48" i="14" s="1"/>
  <c r="M48" i="14" s="1"/>
  <c r="H49" i="14"/>
  <c r="I49" i="14"/>
  <c r="J49" i="14" s="1"/>
  <c r="K49" i="14"/>
  <c r="L49" i="14" s="1"/>
  <c r="M49" i="14" s="1"/>
  <c r="H50" i="14"/>
  <c r="I50" i="14"/>
  <c r="J50" i="14" s="1"/>
  <c r="K50" i="14"/>
  <c r="L50" i="14" s="1"/>
  <c r="M50" i="14" s="1"/>
  <c r="H51" i="14"/>
  <c r="I51" i="14"/>
  <c r="J51" i="14" s="1"/>
  <c r="K51" i="14"/>
  <c r="L51" i="14" s="1"/>
  <c r="M51" i="14" s="1"/>
  <c r="H52" i="14"/>
  <c r="I52" i="14"/>
  <c r="J52" i="14" s="1"/>
  <c r="K52" i="14"/>
  <c r="L52" i="14" s="1"/>
  <c r="M52" i="14" s="1"/>
  <c r="H53" i="14"/>
  <c r="I53" i="14"/>
  <c r="J53" i="14" s="1"/>
  <c r="K53" i="14"/>
  <c r="L53" i="14" s="1"/>
  <c r="M53" i="14" s="1"/>
  <c r="H54" i="14"/>
  <c r="I54" i="14"/>
  <c r="J54" i="14" s="1"/>
  <c r="K54" i="14"/>
  <c r="L54" i="14" s="1"/>
  <c r="M54" i="14" s="1"/>
  <c r="H55" i="14"/>
  <c r="I55" i="14"/>
  <c r="J55" i="14" s="1"/>
  <c r="K55" i="14"/>
  <c r="L55" i="14" s="1"/>
  <c r="M55" i="14" s="1"/>
  <c r="H56" i="14"/>
  <c r="I56" i="14"/>
  <c r="J56" i="14" s="1"/>
  <c r="K56" i="14"/>
  <c r="L56" i="14" s="1"/>
  <c r="M56" i="14" s="1"/>
  <c r="H57" i="14"/>
  <c r="I57" i="14"/>
  <c r="J57" i="14" s="1"/>
  <c r="K57" i="14"/>
  <c r="L57" i="14" s="1"/>
  <c r="M57" i="14" s="1"/>
  <c r="H58" i="14"/>
  <c r="I58" i="14"/>
  <c r="J58" i="14" s="1"/>
  <c r="K58" i="14"/>
  <c r="L58" i="14" s="1"/>
  <c r="M58" i="14" s="1"/>
  <c r="H59" i="14"/>
  <c r="I59" i="14"/>
  <c r="J59" i="14" s="1"/>
  <c r="K59" i="14"/>
  <c r="L59" i="14" s="1"/>
  <c r="M59" i="14" s="1"/>
  <c r="H60" i="14"/>
  <c r="I60" i="14"/>
  <c r="J60" i="14" s="1"/>
  <c r="K60" i="14"/>
  <c r="L60" i="14" s="1"/>
  <c r="M60" i="14" s="1"/>
  <c r="H61" i="14"/>
  <c r="I61" i="14"/>
  <c r="J61" i="14" s="1"/>
  <c r="K61" i="14"/>
  <c r="L61" i="14" s="1"/>
  <c r="M61" i="14" s="1"/>
  <c r="H62" i="14"/>
  <c r="I62" i="14"/>
  <c r="J62" i="14" s="1"/>
  <c r="K62" i="14"/>
  <c r="L62" i="14" s="1"/>
  <c r="M62" i="14" s="1"/>
  <c r="H63" i="14"/>
  <c r="I63" i="14"/>
  <c r="J63" i="14" s="1"/>
  <c r="K63" i="14"/>
  <c r="L63" i="14" s="1"/>
  <c r="M63" i="14" s="1"/>
  <c r="H64" i="14"/>
  <c r="I64" i="14"/>
  <c r="J64" i="14" s="1"/>
  <c r="K64" i="14"/>
  <c r="L64" i="14" s="1"/>
  <c r="M64" i="14" s="1"/>
  <c r="H65" i="14"/>
  <c r="I65" i="14"/>
  <c r="J65" i="14" s="1"/>
  <c r="K65" i="14"/>
  <c r="L65" i="14" s="1"/>
  <c r="M65" i="14" s="1"/>
  <c r="H66" i="14"/>
  <c r="I66" i="14"/>
  <c r="J66" i="14" s="1"/>
  <c r="K66" i="14"/>
  <c r="L66" i="14" s="1"/>
  <c r="M66" i="14" s="1"/>
  <c r="H67" i="14"/>
  <c r="I67" i="14"/>
  <c r="J67" i="14" s="1"/>
  <c r="K67" i="14"/>
  <c r="L67" i="14" s="1"/>
  <c r="M67" i="14" s="1"/>
  <c r="H68" i="14"/>
  <c r="I68" i="14"/>
  <c r="J68" i="14" s="1"/>
  <c r="K68" i="14"/>
  <c r="L68" i="14" s="1"/>
  <c r="M68" i="14" s="1"/>
  <c r="H69" i="14"/>
  <c r="I69" i="14"/>
  <c r="J69" i="14" s="1"/>
  <c r="K69" i="14"/>
  <c r="L69" i="14" s="1"/>
  <c r="M69" i="14" s="1"/>
  <c r="H70" i="14"/>
  <c r="I70" i="14"/>
  <c r="J70" i="14" s="1"/>
  <c r="K70" i="14"/>
  <c r="L70" i="14" s="1"/>
  <c r="M70" i="14" s="1"/>
  <c r="H71" i="14"/>
  <c r="I71" i="14"/>
  <c r="J71" i="14" s="1"/>
  <c r="K71" i="14"/>
  <c r="L71" i="14" s="1"/>
  <c r="M71" i="14" s="1"/>
  <c r="H72" i="14"/>
  <c r="I72" i="14"/>
  <c r="J72" i="14" s="1"/>
  <c r="K72" i="14"/>
  <c r="L72" i="14" s="1"/>
  <c r="M72" i="14" s="1"/>
  <c r="H73" i="14"/>
  <c r="I73" i="14"/>
  <c r="J73" i="14" s="1"/>
  <c r="K73" i="14"/>
  <c r="L73" i="14" s="1"/>
  <c r="M73" i="14" s="1"/>
  <c r="H74" i="14"/>
  <c r="I74" i="14"/>
  <c r="J74" i="14" s="1"/>
  <c r="K74" i="14"/>
  <c r="L74" i="14" s="1"/>
  <c r="M74" i="14" s="1"/>
  <c r="H75" i="14"/>
  <c r="I75" i="14"/>
  <c r="J75" i="14" s="1"/>
  <c r="K75" i="14"/>
  <c r="L75" i="14" s="1"/>
  <c r="M75" i="14" s="1"/>
  <c r="H76" i="14"/>
  <c r="I76" i="14"/>
  <c r="J76" i="14" s="1"/>
  <c r="K76" i="14"/>
  <c r="L76" i="14" s="1"/>
  <c r="M76" i="14" s="1"/>
  <c r="H77" i="14"/>
  <c r="I77" i="14"/>
  <c r="J77" i="14" s="1"/>
  <c r="K77" i="14"/>
  <c r="L77" i="14" s="1"/>
  <c r="M77" i="14" s="1"/>
  <c r="H78" i="14"/>
  <c r="I78" i="14"/>
  <c r="J78" i="14" s="1"/>
  <c r="K78" i="14"/>
  <c r="L78" i="14" s="1"/>
  <c r="M78" i="14" s="1"/>
  <c r="H79" i="14"/>
  <c r="I79" i="14"/>
  <c r="J79" i="14" s="1"/>
  <c r="K79" i="14"/>
  <c r="L79" i="14" s="1"/>
  <c r="M79" i="14" s="1"/>
  <c r="H80" i="14"/>
  <c r="I80" i="14"/>
  <c r="J80" i="14" s="1"/>
  <c r="K80" i="14"/>
  <c r="L80" i="14" s="1"/>
  <c r="M80" i="14" s="1"/>
  <c r="H81" i="14"/>
  <c r="I81" i="14"/>
  <c r="J81" i="14" s="1"/>
  <c r="K81" i="14"/>
  <c r="L81" i="14" s="1"/>
  <c r="M81" i="14" s="1"/>
  <c r="H82" i="14"/>
  <c r="I82" i="14"/>
  <c r="J82" i="14" s="1"/>
  <c r="K82" i="14"/>
  <c r="L82" i="14" s="1"/>
  <c r="M82" i="14" s="1"/>
  <c r="H83" i="14"/>
  <c r="I83" i="14"/>
  <c r="J83" i="14" s="1"/>
  <c r="K83" i="14"/>
  <c r="L83" i="14" s="1"/>
  <c r="M83" i="14" s="1"/>
  <c r="H84" i="14"/>
  <c r="I84" i="14"/>
  <c r="J84" i="14" s="1"/>
  <c r="K84" i="14"/>
  <c r="L84" i="14" s="1"/>
  <c r="M84" i="14" s="1"/>
  <c r="H85" i="14"/>
  <c r="I85" i="14"/>
  <c r="J85" i="14" s="1"/>
  <c r="K85" i="14"/>
  <c r="L85" i="14" s="1"/>
  <c r="M85" i="14" s="1"/>
  <c r="H86" i="14"/>
  <c r="I86" i="14"/>
  <c r="J86" i="14" s="1"/>
  <c r="K86" i="14"/>
  <c r="L86" i="14" s="1"/>
  <c r="M86" i="14" s="1"/>
  <c r="H87" i="14"/>
  <c r="I87" i="14"/>
  <c r="J87" i="14" s="1"/>
  <c r="K87" i="14"/>
  <c r="L87" i="14" s="1"/>
  <c r="M87" i="14" s="1"/>
  <c r="H88" i="14"/>
  <c r="I88" i="14"/>
  <c r="J88" i="14" s="1"/>
  <c r="K88" i="14"/>
  <c r="L88" i="14" s="1"/>
  <c r="M88" i="14" s="1"/>
  <c r="H89" i="14"/>
  <c r="I89" i="14"/>
  <c r="J89" i="14" s="1"/>
  <c r="K89" i="14"/>
  <c r="L89" i="14" s="1"/>
  <c r="M89" i="14" s="1"/>
  <c r="L11" i="14"/>
  <c r="M11" i="14" s="1"/>
  <c r="K11" i="14"/>
  <c r="H11" i="14"/>
  <c r="I11" i="14" s="1"/>
  <c r="J11" i="14" s="1"/>
  <c r="K10" i="14"/>
  <c r="L10" i="14" s="1"/>
  <c r="M10" i="14" s="1"/>
  <c r="H10" i="14"/>
  <c r="I10" i="14" s="1"/>
  <c r="J10" i="14" s="1"/>
  <c r="L9" i="14"/>
  <c r="M9" i="14" s="1"/>
  <c r="K9" i="14"/>
  <c r="H9" i="14"/>
  <c r="I9" i="14" s="1"/>
  <c r="J9" i="14" s="1"/>
  <c r="L8" i="14"/>
  <c r="M8" i="14" s="1"/>
  <c r="K8" i="14"/>
  <c r="H8" i="14"/>
  <c r="I8" i="14" s="1"/>
  <c r="J8" i="14" s="1"/>
  <c r="L7" i="14"/>
  <c r="M7" i="14" s="1"/>
  <c r="K7" i="14"/>
  <c r="H7" i="14"/>
  <c r="I7" i="14" s="1"/>
  <c r="J7" i="14" s="1"/>
  <c r="K6" i="14"/>
  <c r="L6" i="14" s="1"/>
  <c r="M6" i="14" s="1"/>
  <c r="H6" i="14"/>
  <c r="I6" i="14" s="1"/>
  <c r="J6" i="14" s="1"/>
  <c r="L5" i="14"/>
  <c r="M5" i="14" s="1"/>
  <c r="K5" i="14"/>
  <c r="H5" i="14"/>
  <c r="I5" i="14" s="1"/>
  <c r="J5" i="14" s="1"/>
  <c r="L4" i="14"/>
  <c r="M4" i="14" s="1"/>
  <c r="K4" i="14"/>
  <c r="J4" i="14"/>
  <c r="I4" i="14"/>
  <c r="H4" i="14"/>
  <c r="L3" i="14"/>
  <c r="M3" i="14" s="1"/>
  <c r="K3" i="14"/>
  <c r="H3" i="14"/>
  <c r="I3" i="14" s="1"/>
  <c r="J3" i="14" s="1"/>
  <c r="K2" i="14"/>
  <c r="L2" i="14" s="1"/>
  <c r="M2" i="14" s="1"/>
  <c r="H2" i="14"/>
  <c r="I2" i="14" s="1"/>
  <c r="J2" i="14" s="1"/>
  <c r="H3" i="13"/>
  <c r="I3" i="13" s="1"/>
  <c r="J3" i="13" s="1"/>
  <c r="K3" i="13"/>
  <c r="L3" i="13" s="1"/>
  <c r="M3" i="13" s="1"/>
  <c r="H4" i="13"/>
  <c r="I4" i="13" s="1"/>
  <c r="J4" i="13" s="1"/>
  <c r="K4" i="13"/>
  <c r="L4" i="13" s="1"/>
  <c r="M4" i="13" s="1"/>
  <c r="H5" i="13"/>
  <c r="I5" i="13" s="1"/>
  <c r="J5" i="13" s="1"/>
  <c r="K5" i="13"/>
  <c r="L5" i="13" s="1"/>
  <c r="M5" i="13" s="1"/>
  <c r="H6" i="13"/>
  <c r="I6" i="13"/>
  <c r="J6" i="13" s="1"/>
  <c r="K6" i="13"/>
  <c r="L6" i="13" s="1"/>
  <c r="M6" i="13" s="1"/>
  <c r="H7" i="13"/>
  <c r="I7" i="13" s="1"/>
  <c r="J7" i="13" s="1"/>
  <c r="K7" i="13"/>
  <c r="L7" i="13" s="1"/>
  <c r="M7" i="13" s="1"/>
  <c r="H8" i="13"/>
  <c r="I8" i="13" s="1"/>
  <c r="J8" i="13" s="1"/>
  <c r="K8" i="13"/>
  <c r="L8" i="13" s="1"/>
  <c r="M8" i="13" s="1"/>
  <c r="H9" i="13"/>
  <c r="I9" i="13" s="1"/>
  <c r="J9" i="13" s="1"/>
  <c r="K9" i="13"/>
  <c r="L9" i="13" s="1"/>
  <c r="M9" i="13" s="1"/>
  <c r="H10" i="13"/>
  <c r="I10" i="13" s="1"/>
  <c r="J10" i="13" s="1"/>
  <c r="K10" i="13"/>
  <c r="L10" i="13" s="1"/>
  <c r="M10" i="13" s="1"/>
  <c r="H11" i="13"/>
  <c r="I11" i="13" s="1"/>
  <c r="J11" i="13" s="1"/>
  <c r="K11" i="13"/>
  <c r="L11" i="13" s="1"/>
  <c r="M11" i="13" s="1"/>
  <c r="H12" i="13"/>
  <c r="I12" i="13" s="1"/>
  <c r="J12" i="13" s="1"/>
  <c r="K12" i="13"/>
  <c r="L12" i="13" s="1"/>
  <c r="M12" i="13" s="1"/>
  <c r="H13" i="13"/>
  <c r="I13" i="13" s="1"/>
  <c r="J13" i="13" s="1"/>
  <c r="K13" i="13"/>
  <c r="L13" i="13" s="1"/>
  <c r="M13" i="13" s="1"/>
  <c r="H14" i="13"/>
  <c r="I14" i="13" s="1"/>
  <c r="J14" i="13" s="1"/>
  <c r="K14" i="13"/>
  <c r="L14" i="13" s="1"/>
  <c r="M14" i="13" s="1"/>
  <c r="H15" i="13"/>
  <c r="I15" i="13" s="1"/>
  <c r="J15" i="13" s="1"/>
  <c r="K15" i="13"/>
  <c r="L15" i="13" s="1"/>
  <c r="M15" i="13" s="1"/>
  <c r="H16" i="13"/>
  <c r="I16" i="13" s="1"/>
  <c r="J16" i="13" s="1"/>
  <c r="K16" i="13"/>
  <c r="L16" i="13"/>
  <c r="M16" i="13" s="1"/>
  <c r="H17" i="13"/>
  <c r="I17" i="13" s="1"/>
  <c r="J17" i="13" s="1"/>
  <c r="K17" i="13"/>
  <c r="L17" i="13" s="1"/>
  <c r="M17" i="13" s="1"/>
  <c r="H18" i="13"/>
  <c r="I18" i="13" s="1"/>
  <c r="J18" i="13" s="1"/>
  <c r="K18" i="13"/>
  <c r="L18" i="13" s="1"/>
  <c r="M18" i="13" s="1"/>
  <c r="H19" i="13"/>
  <c r="I19" i="13" s="1"/>
  <c r="K19" i="13"/>
  <c r="L19" i="13" s="1"/>
  <c r="M19" i="13" s="1"/>
  <c r="H20" i="13"/>
  <c r="I20" i="13" s="1"/>
  <c r="J20" i="13" s="1"/>
  <c r="K20" i="13"/>
  <c r="L20" i="13"/>
  <c r="M20" i="13" s="1"/>
  <c r="H21" i="13"/>
  <c r="I21" i="13"/>
  <c r="J21" i="13" s="1"/>
  <c r="K21" i="13"/>
  <c r="L21" i="13" s="1"/>
  <c r="M21" i="13" s="1"/>
  <c r="H22" i="13"/>
  <c r="I22" i="13" s="1"/>
  <c r="J22" i="13" s="1"/>
  <c r="K22" i="13"/>
  <c r="L22" i="13" s="1"/>
  <c r="M22" i="13" s="1"/>
  <c r="H23" i="13"/>
  <c r="I23" i="13" s="1"/>
  <c r="J23" i="13" s="1"/>
  <c r="K23" i="13"/>
  <c r="L23" i="13" s="1"/>
  <c r="M23" i="13" s="1"/>
  <c r="H24" i="13"/>
  <c r="I24" i="13" s="1"/>
  <c r="J24" i="13" s="1"/>
  <c r="K24" i="13"/>
  <c r="L24" i="13" s="1"/>
  <c r="M24" i="13" s="1"/>
  <c r="H25" i="13"/>
  <c r="I25" i="13" s="1"/>
  <c r="J25" i="13" s="1"/>
  <c r="K25" i="13"/>
  <c r="L25" i="13" s="1"/>
  <c r="M25" i="13" s="1"/>
  <c r="H26" i="13"/>
  <c r="I26" i="13" s="1"/>
  <c r="J26" i="13" s="1"/>
  <c r="K26" i="13"/>
  <c r="L26" i="13" s="1"/>
  <c r="M26" i="13" s="1"/>
  <c r="H27" i="13"/>
  <c r="I27" i="13" s="1"/>
  <c r="J27" i="13" s="1"/>
  <c r="K27" i="13"/>
  <c r="L27" i="13" s="1"/>
  <c r="M27" i="13" s="1"/>
  <c r="H28" i="13"/>
  <c r="I28" i="13" s="1"/>
  <c r="J28" i="13" s="1"/>
  <c r="K28" i="13"/>
  <c r="L28" i="13" s="1"/>
  <c r="M28" i="13" s="1"/>
  <c r="H29" i="13"/>
  <c r="I29" i="13"/>
  <c r="J29" i="13" s="1"/>
  <c r="K29" i="13"/>
  <c r="L29" i="13"/>
  <c r="M29" i="13" s="1"/>
  <c r="H30" i="13"/>
  <c r="I30" i="13" s="1"/>
  <c r="J30" i="13" s="1"/>
  <c r="K30" i="13"/>
  <c r="L30" i="13" s="1"/>
  <c r="M30" i="13" s="1"/>
  <c r="H31" i="13"/>
  <c r="I31" i="13" s="1"/>
  <c r="J31" i="13" s="1"/>
  <c r="K31" i="13"/>
  <c r="L31" i="13" s="1"/>
  <c r="M31" i="13" s="1"/>
  <c r="H32" i="13"/>
  <c r="I32" i="13" s="1"/>
  <c r="J32" i="13" s="1"/>
  <c r="K32" i="13"/>
  <c r="L32" i="13" s="1"/>
  <c r="M32" i="13" s="1"/>
  <c r="H33" i="13"/>
  <c r="I33" i="13" s="1"/>
  <c r="J33" i="13" s="1"/>
  <c r="K33" i="13"/>
  <c r="L33" i="13"/>
  <c r="M33" i="13" s="1"/>
  <c r="H34" i="13"/>
  <c r="I34" i="13" s="1"/>
  <c r="J34" i="13" s="1"/>
  <c r="K34" i="13"/>
  <c r="L34" i="13" s="1"/>
  <c r="M34" i="13" s="1"/>
  <c r="H35" i="13"/>
  <c r="I35" i="13" s="1"/>
  <c r="J35" i="13" s="1"/>
  <c r="K35" i="13"/>
  <c r="L35" i="13" s="1"/>
  <c r="M35" i="13" s="1"/>
  <c r="H36" i="13"/>
  <c r="I36" i="13" s="1"/>
  <c r="J36" i="13" s="1"/>
  <c r="K36" i="13"/>
  <c r="L36" i="13" s="1"/>
  <c r="M36" i="13" s="1"/>
  <c r="H37" i="13"/>
  <c r="I37" i="13" s="1"/>
  <c r="J37" i="13" s="1"/>
  <c r="K37" i="13"/>
  <c r="L37" i="13"/>
  <c r="M37" i="13" s="1"/>
  <c r="H38" i="13"/>
  <c r="I38" i="13" s="1"/>
  <c r="J38" i="13" s="1"/>
  <c r="K38" i="13"/>
  <c r="L38" i="13" s="1"/>
  <c r="M38" i="13" s="1"/>
  <c r="H39" i="13"/>
  <c r="I39" i="13" s="1"/>
  <c r="J39" i="13" s="1"/>
  <c r="K39" i="13"/>
  <c r="L39" i="13" s="1"/>
  <c r="M39" i="13" s="1"/>
  <c r="H40" i="13"/>
  <c r="I40" i="13" s="1"/>
  <c r="J40" i="13" s="1"/>
  <c r="K40" i="13"/>
  <c r="L40" i="13"/>
  <c r="M40" i="13" s="1"/>
  <c r="H41" i="13"/>
  <c r="I41" i="13" s="1"/>
  <c r="J41" i="13" s="1"/>
  <c r="K41" i="13"/>
  <c r="L41" i="13"/>
  <c r="M41" i="13" s="1"/>
  <c r="H42" i="13"/>
  <c r="I42" i="13" s="1"/>
  <c r="J42" i="13" s="1"/>
  <c r="K42" i="13"/>
  <c r="L42" i="13" s="1"/>
  <c r="M42" i="13" s="1"/>
  <c r="H43" i="13"/>
  <c r="I43" i="13" s="1"/>
  <c r="J43" i="13" s="1"/>
  <c r="K43" i="13"/>
  <c r="L43" i="13" s="1"/>
  <c r="M43" i="13" s="1"/>
  <c r="H44" i="13"/>
  <c r="I44" i="13" s="1"/>
  <c r="J44" i="13" s="1"/>
  <c r="K44" i="13"/>
  <c r="L44" i="13"/>
  <c r="M44" i="13" s="1"/>
  <c r="H45" i="13"/>
  <c r="I45" i="13" s="1"/>
  <c r="J45" i="13" s="1"/>
  <c r="K45" i="13"/>
  <c r="L45" i="13" s="1"/>
  <c r="M45" i="13" s="1"/>
  <c r="H46" i="13"/>
  <c r="I46" i="13" s="1"/>
  <c r="J46" i="13" s="1"/>
  <c r="K46" i="13"/>
  <c r="L46" i="13" s="1"/>
  <c r="M46" i="13" s="1"/>
  <c r="H47" i="13"/>
  <c r="I47" i="13" s="1"/>
  <c r="J47" i="13" s="1"/>
  <c r="K47" i="13"/>
  <c r="L47" i="13" s="1"/>
  <c r="M47" i="13" s="1"/>
  <c r="H48" i="13"/>
  <c r="I48" i="13" s="1"/>
  <c r="J48" i="13" s="1"/>
  <c r="K48" i="13"/>
  <c r="L48" i="13"/>
  <c r="M48" i="13" s="1"/>
  <c r="H49" i="13"/>
  <c r="I49" i="13"/>
  <c r="J49" i="13" s="1"/>
  <c r="K49" i="13"/>
  <c r="L49" i="13" s="1"/>
  <c r="M49" i="13" s="1"/>
  <c r="H50" i="13"/>
  <c r="I50" i="13" s="1"/>
  <c r="J50" i="13" s="1"/>
  <c r="K50" i="13"/>
  <c r="L50" i="13" s="1"/>
  <c r="M50" i="13" s="1"/>
  <c r="H51" i="13"/>
  <c r="I51" i="13" s="1"/>
  <c r="J51" i="13" s="1"/>
  <c r="K51" i="13"/>
  <c r="L51" i="13" s="1"/>
  <c r="M51" i="13" s="1"/>
  <c r="H52" i="13"/>
  <c r="I52" i="13" s="1"/>
  <c r="J52" i="13" s="1"/>
  <c r="K52" i="13"/>
  <c r="L52" i="13"/>
  <c r="M52" i="13" s="1"/>
  <c r="H53" i="13"/>
  <c r="I53" i="13"/>
  <c r="J53" i="13" s="1"/>
  <c r="K53" i="13"/>
  <c r="L53" i="13" s="1"/>
  <c r="M53" i="13" s="1"/>
  <c r="H54" i="13"/>
  <c r="I54" i="13" s="1"/>
  <c r="J54" i="13" s="1"/>
  <c r="K54" i="13"/>
  <c r="L54" i="13" s="1"/>
  <c r="M54" i="13" s="1"/>
  <c r="H55" i="13"/>
  <c r="I55" i="13" s="1"/>
  <c r="J55" i="13" s="1"/>
  <c r="K55" i="13"/>
  <c r="L55" i="13" s="1"/>
  <c r="M55" i="13" s="1"/>
  <c r="H56" i="13"/>
  <c r="I56" i="13" s="1"/>
  <c r="J56" i="13" s="1"/>
  <c r="K56" i="13"/>
  <c r="L56" i="13"/>
  <c r="M56" i="13" s="1"/>
  <c r="H57" i="13"/>
  <c r="I57" i="13"/>
  <c r="J57" i="13" s="1"/>
  <c r="K57" i="13"/>
  <c r="L57" i="13"/>
  <c r="M57" i="13" s="1"/>
  <c r="H58" i="13"/>
  <c r="I58" i="13" s="1"/>
  <c r="J58" i="13" s="1"/>
  <c r="K58" i="13"/>
  <c r="L58" i="13" s="1"/>
  <c r="M58" i="13" s="1"/>
  <c r="H59" i="13"/>
  <c r="I59" i="13" s="1"/>
  <c r="J59" i="13" s="1"/>
  <c r="K59" i="13"/>
  <c r="L59" i="13" s="1"/>
  <c r="M59" i="13" s="1"/>
  <c r="H60" i="13"/>
  <c r="I60" i="13" s="1"/>
  <c r="J60" i="13" s="1"/>
  <c r="K60" i="13"/>
  <c r="L60" i="13" s="1"/>
  <c r="M60" i="13" s="1"/>
  <c r="H61" i="13"/>
  <c r="I61" i="13"/>
  <c r="J61" i="13" s="1"/>
  <c r="K61" i="13"/>
  <c r="L61" i="13"/>
  <c r="M61" i="13" s="1"/>
  <c r="H62" i="13"/>
  <c r="I62" i="13" s="1"/>
  <c r="J62" i="13" s="1"/>
  <c r="K62" i="13"/>
  <c r="L62" i="13" s="1"/>
  <c r="M62" i="13" s="1"/>
  <c r="H63" i="13"/>
  <c r="I63" i="13" s="1"/>
  <c r="J63" i="13" s="1"/>
  <c r="K63" i="13"/>
  <c r="L63" i="13" s="1"/>
  <c r="M63" i="13" s="1"/>
  <c r="H64" i="13"/>
  <c r="I64" i="13" s="1"/>
  <c r="J64" i="13" s="1"/>
  <c r="K64" i="13"/>
  <c r="L64" i="13" s="1"/>
  <c r="M64" i="13" s="1"/>
  <c r="H65" i="13"/>
  <c r="I65" i="13"/>
  <c r="J65" i="13" s="1"/>
  <c r="K65" i="13"/>
  <c r="L65" i="13"/>
  <c r="M65" i="13" s="1"/>
  <c r="H66" i="13"/>
  <c r="I66" i="13" s="1"/>
  <c r="J66" i="13" s="1"/>
  <c r="K66" i="13"/>
  <c r="L66" i="13" s="1"/>
  <c r="M66" i="13" s="1"/>
  <c r="H67" i="13"/>
  <c r="I67" i="13" s="1"/>
  <c r="J67" i="13" s="1"/>
  <c r="K67" i="13"/>
  <c r="L67" i="13" s="1"/>
  <c r="M67" i="13" s="1"/>
  <c r="H68" i="13"/>
  <c r="I68" i="13" s="1"/>
  <c r="J68" i="13" s="1"/>
  <c r="K68" i="13"/>
  <c r="L68" i="13" s="1"/>
  <c r="M68" i="13" s="1"/>
  <c r="H69" i="13"/>
  <c r="I69" i="13" s="1"/>
  <c r="J69" i="13" s="1"/>
  <c r="K69" i="13"/>
  <c r="L69" i="13"/>
  <c r="M69" i="13" s="1"/>
  <c r="H70" i="13"/>
  <c r="I70" i="13" s="1"/>
  <c r="J70" i="13" s="1"/>
  <c r="K70" i="13"/>
  <c r="L70" i="13" s="1"/>
  <c r="M70" i="13" s="1"/>
  <c r="H71" i="13"/>
  <c r="I71" i="13" s="1"/>
  <c r="J71" i="13" s="1"/>
  <c r="K71" i="13"/>
  <c r="L71" i="13" s="1"/>
  <c r="M71" i="13" s="1"/>
  <c r="H72" i="13"/>
  <c r="I72" i="13" s="1"/>
  <c r="J72" i="13" s="1"/>
  <c r="K72" i="13"/>
  <c r="L72" i="13"/>
  <c r="M72" i="13" s="1"/>
  <c r="H73" i="13"/>
  <c r="I73" i="13" s="1"/>
  <c r="J73" i="13" s="1"/>
  <c r="K73" i="13"/>
  <c r="L73" i="13"/>
  <c r="M73" i="13" s="1"/>
  <c r="H74" i="13"/>
  <c r="I74" i="13"/>
  <c r="J74" i="13" s="1"/>
  <c r="K74" i="13"/>
  <c r="L74" i="13" s="1"/>
  <c r="M74" i="13" s="1"/>
  <c r="H75" i="13"/>
  <c r="I75" i="13" s="1"/>
  <c r="J75" i="13" s="1"/>
  <c r="K75" i="13"/>
  <c r="L75" i="13" s="1"/>
  <c r="M75" i="13" s="1"/>
  <c r="H76" i="13"/>
  <c r="I76" i="13" s="1"/>
  <c r="J76" i="13" s="1"/>
  <c r="K76" i="13"/>
  <c r="L76" i="13"/>
  <c r="M76" i="13" s="1"/>
  <c r="H77" i="13"/>
  <c r="I77" i="13" s="1"/>
  <c r="J77" i="13" s="1"/>
  <c r="K77" i="13"/>
  <c r="L77" i="13"/>
  <c r="M77" i="13" s="1"/>
  <c r="H78" i="13"/>
  <c r="I78" i="13"/>
  <c r="J78" i="13" s="1"/>
  <c r="K78" i="13"/>
  <c r="L78" i="13" s="1"/>
  <c r="M78" i="13" s="1"/>
  <c r="H79" i="13"/>
  <c r="I79" i="13" s="1"/>
  <c r="J79" i="13" s="1"/>
  <c r="K79" i="13"/>
  <c r="L79" i="13" s="1"/>
  <c r="M79" i="13" s="1"/>
  <c r="H80" i="13"/>
  <c r="I80" i="13" s="1"/>
  <c r="J80" i="13" s="1"/>
  <c r="K80" i="13"/>
  <c r="L80" i="13"/>
  <c r="M80" i="13" s="1"/>
  <c r="H81" i="13"/>
  <c r="I81" i="13"/>
  <c r="J81" i="13" s="1"/>
  <c r="K81" i="13"/>
  <c r="L81" i="13"/>
  <c r="M81" i="13" s="1"/>
  <c r="H82" i="13"/>
  <c r="I82" i="13"/>
  <c r="J82" i="13" s="1"/>
  <c r="K82" i="13"/>
  <c r="L82" i="13" s="1"/>
  <c r="M82" i="13" s="1"/>
  <c r="H83" i="13"/>
  <c r="I83" i="13" s="1"/>
  <c r="J83" i="13" s="1"/>
  <c r="K83" i="13"/>
  <c r="L83" i="13" s="1"/>
  <c r="M83" i="13" s="1"/>
  <c r="H84" i="13"/>
  <c r="I84" i="13" s="1"/>
  <c r="J84" i="13" s="1"/>
  <c r="K84" i="13"/>
  <c r="L84" i="13"/>
  <c r="M84" i="13" s="1"/>
  <c r="H85" i="13"/>
  <c r="I85" i="13"/>
  <c r="J85" i="13" s="1"/>
  <c r="K85" i="13"/>
  <c r="L85" i="13"/>
  <c r="M85" i="13" s="1"/>
  <c r="H86" i="13"/>
  <c r="I86" i="13" s="1"/>
  <c r="J86" i="13" s="1"/>
  <c r="K86" i="13"/>
  <c r="L86" i="13" s="1"/>
  <c r="M86" i="13" s="1"/>
  <c r="H87" i="13"/>
  <c r="I87" i="13" s="1"/>
  <c r="J87" i="13" s="1"/>
  <c r="K87" i="13"/>
  <c r="L87" i="13" s="1"/>
  <c r="M87" i="13" s="1"/>
  <c r="H88" i="13"/>
  <c r="I88" i="13" s="1"/>
  <c r="J88" i="13" s="1"/>
  <c r="K88" i="13"/>
  <c r="L88" i="13"/>
  <c r="M88" i="13"/>
  <c r="H89" i="13"/>
  <c r="I89" i="13"/>
  <c r="J89" i="13" s="1"/>
  <c r="K89" i="13"/>
  <c r="L89" i="13"/>
  <c r="M89" i="13"/>
  <c r="K2" i="13"/>
  <c r="L2" i="13" s="1"/>
  <c r="M2" i="13" s="1"/>
  <c r="H2" i="13"/>
  <c r="I2" i="13" s="1"/>
  <c r="J2" i="13" s="1"/>
  <c r="J41" i="1"/>
  <c r="J42" i="1"/>
  <c r="J43" i="1"/>
  <c r="J44" i="1"/>
  <c r="J40" i="1"/>
  <c r="M90" i="12"/>
  <c r="K3" i="12"/>
  <c r="L3" i="12" s="1"/>
  <c r="M3" i="12" s="1"/>
  <c r="K4" i="12"/>
  <c r="L4" i="12" s="1"/>
  <c r="M4" i="12" s="1"/>
  <c r="K5" i="12"/>
  <c r="L5" i="12" s="1"/>
  <c r="M5" i="12" s="1"/>
  <c r="K6" i="12"/>
  <c r="L6" i="12" s="1"/>
  <c r="M6" i="12" s="1"/>
  <c r="K7" i="12"/>
  <c r="L7" i="12" s="1"/>
  <c r="M7" i="12" s="1"/>
  <c r="K8" i="12"/>
  <c r="L8" i="12" s="1"/>
  <c r="M8" i="12" s="1"/>
  <c r="K9" i="12"/>
  <c r="L9" i="12" s="1"/>
  <c r="M9" i="12" s="1"/>
  <c r="K10" i="12"/>
  <c r="L10" i="12" s="1"/>
  <c r="M10" i="12" s="1"/>
  <c r="K11" i="12"/>
  <c r="L11" i="12" s="1"/>
  <c r="M11" i="12" s="1"/>
  <c r="K12" i="12"/>
  <c r="L12" i="12" s="1"/>
  <c r="M12" i="12" s="1"/>
  <c r="K13" i="12"/>
  <c r="L13" i="12" s="1"/>
  <c r="M13" i="12" s="1"/>
  <c r="K14" i="12"/>
  <c r="L14" i="12" s="1"/>
  <c r="M14" i="12" s="1"/>
  <c r="K15" i="12"/>
  <c r="L15" i="12" s="1"/>
  <c r="M15" i="12" s="1"/>
  <c r="K16" i="12"/>
  <c r="L16" i="12" s="1"/>
  <c r="M16" i="12" s="1"/>
  <c r="K17" i="12"/>
  <c r="L17" i="12" s="1"/>
  <c r="M17" i="12" s="1"/>
  <c r="K18" i="12"/>
  <c r="L18" i="12" s="1"/>
  <c r="M18" i="12" s="1"/>
  <c r="K19" i="12"/>
  <c r="L19" i="12" s="1"/>
  <c r="M19" i="12" s="1"/>
  <c r="K20" i="12"/>
  <c r="L20" i="12" s="1"/>
  <c r="M20" i="12" s="1"/>
  <c r="K21" i="12"/>
  <c r="L21" i="12" s="1"/>
  <c r="M21" i="12" s="1"/>
  <c r="K22" i="12"/>
  <c r="L22" i="12" s="1"/>
  <c r="M22" i="12" s="1"/>
  <c r="K23" i="12"/>
  <c r="L23" i="12" s="1"/>
  <c r="M23" i="12" s="1"/>
  <c r="K24" i="12"/>
  <c r="L24" i="12" s="1"/>
  <c r="M24" i="12" s="1"/>
  <c r="K25" i="12"/>
  <c r="L25" i="12" s="1"/>
  <c r="M25" i="12" s="1"/>
  <c r="K26" i="12"/>
  <c r="L26" i="12" s="1"/>
  <c r="M26" i="12" s="1"/>
  <c r="K27" i="12"/>
  <c r="L27" i="12" s="1"/>
  <c r="M27" i="12" s="1"/>
  <c r="K28" i="12"/>
  <c r="L28" i="12" s="1"/>
  <c r="M28" i="12" s="1"/>
  <c r="K29" i="12"/>
  <c r="L29" i="12" s="1"/>
  <c r="M29" i="12" s="1"/>
  <c r="K30" i="12"/>
  <c r="L30" i="12" s="1"/>
  <c r="M30" i="12" s="1"/>
  <c r="K31" i="12"/>
  <c r="L31" i="12" s="1"/>
  <c r="M31" i="12" s="1"/>
  <c r="K32" i="12"/>
  <c r="L32" i="12" s="1"/>
  <c r="M32" i="12" s="1"/>
  <c r="K33" i="12"/>
  <c r="L33" i="12" s="1"/>
  <c r="M33" i="12" s="1"/>
  <c r="K34" i="12"/>
  <c r="L34" i="12" s="1"/>
  <c r="M34" i="12" s="1"/>
  <c r="K35" i="12"/>
  <c r="L35" i="12" s="1"/>
  <c r="M35" i="12" s="1"/>
  <c r="K36" i="12"/>
  <c r="L36" i="12" s="1"/>
  <c r="M36" i="12" s="1"/>
  <c r="K37" i="12"/>
  <c r="L37" i="12" s="1"/>
  <c r="M37" i="12" s="1"/>
  <c r="K38" i="12"/>
  <c r="L38" i="12" s="1"/>
  <c r="M38" i="12" s="1"/>
  <c r="K39" i="12"/>
  <c r="L39" i="12" s="1"/>
  <c r="M39" i="12" s="1"/>
  <c r="K40" i="12"/>
  <c r="L40" i="12" s="1"/>
  <c r="M40" i="12" s="1"/>
  <c r="K41" i="12"/>
  <c r="L41" i="12" s="1"/>
  <c r="M41" i="12" s="1"/>
  <c r="K42" i="12"/>
  <c r="L42" i="12" s="1"/>
  <c r="M42" i="12" s="1"/>
  <c r="K43" i="12"/>
  <c r="L43" i="12" s="1"/>
  <c r="M43" i="12" s="1"/>
  <c r="K44" i="12"/>
  <c r="L44" i="12" s="1"/>
  <c r="M44" i="12" s="1"/>
  <c r="K45" i="12"/>
  <c r="L45" i="12" s="1"/>
  <c r="M45" i="12" s="1"/>
  <c r="K46" i="12"/>
  <c r="L46" i="12" s="1"/>
  <c r="M46" i="12" s="1"/>
  <c r="K47" i="12"/>
  <c r="L47" i="12" s="1"/>
  <c r="M47" i="12" s="1"/>
  <c r="K48" i="12"/>
  <c r="L48" i="12" s="1"/>
  <c r="M48" i="12" s="1"/>
  <c r="K49" i="12"/>
  <c r="L49" i="12" s="1"/>
  <c r="M49" i="12" s="1"/>
  <c r="K50" i="12"/>
  <c r="L50" i="12" s="1"/>
  <c r="M50" i="12" s="1"/>
  <c r="K51" i="12"/>
  <c r="L51" i="12" s="1"/>
  <c r="M51" i="12" s="1"/>
  <c r="K52" i="12"/>
  <c r="L52" i="12" s="1"/>
  <c r="M52" i="12" s="1"/>
  <c r="K53" i="12"/>
  <c r="L53" i="12" s="1"/>
  <c r="M53" i="12" s="1"/>
  <c r="K54" i="12"/>
  <c r="L54" i="12" s="1"/>
  <c r="M54" i="12" s="1"/>
  <c r="K55" i="12"/>
  <c r="L55" i="12" s="1"/>
  <c r="M55" i="12" s="1"/>
  <c r="K56" i="12"/>
  <c r="L56" i="12" s="1"/>
  <c r="M56" i="12" s="1"/>
  <c r="K57" i="12"/>
  <c r="L57" i="12" s="1"/>
  <c r="M57" i="12" s="1"/>
  <c r="K58" i="12"/>
  <c r="L58" i="12" s="1"/>
  <c r="M58" i="12" s="1"/>
  <c r="K59" i="12"/>
  <c r="L59" i="12" s="1"/>
  <c r="M59" i="12" s="1"/>
  <c r="K60" i="12"/>
  <c r="L60" i="12" s="1"/>
  <c r="M60" i="12" s="1"/>
  <c r="K61" i="12"/>
  <c r="L61" i="12" s="1"/>
  <c r="M61" i="12" s="1"/>
  <c r="K62" i="12"/>
  <c r="L62" i="12" s="1"/>
  <c r="M62" i="12" s="1"/>
  <c r="K63" i="12"/>
  <c r="L63" i="12" s="1"/>
  <c r="M63" i="12" s="1"/>
  <c r="K64" i="12"/>
  <c r="L64" i="12" s="1"/>
  <c r="M64" i="12" s="1"/>
  <c r="K65" i="12"/>
  <c r="L65" i="12" s="1"/>
  <c r="M65" i="12" s="1"/>
  <c r="K66" i="12"/>
  <c r="L66" i="12" s="1"/>
  <c r="M66" i="12" s="1"/>
  <c r="K67" i="12"/>
  <c r="L67" i="12" s="1"/>
  <c r="M67" i="12" s="1"/>
  <c r="K68" i="12"/>
  <c r="L68" i="12" s="1"/>
  <c r="M68" i="12" s="1"/>
  <c r="K69" i="12"/>
  <c r="L69" i="12" s="1"/>
  <c r="M69" i="12" s="1"/>
  <c r="K70" i="12"/>
  <c r="L70" i="12" s="1"/>
  <c r="M70" i="12" s="1"/>
  <c r="K71" i="12"/>
  <c r="L71" i="12" s="1"/>
  <c r="M71" i="12" s="1"/>
  <c r="K72" i="12"/>
  <c r="L72" i="12" s="1"/>
  <c r="M72" i="12" s="1"/>
  <c r="K73" i="12"/>
  <c r="L73" i="12" s="1"/>
  <c r="M73" i="12" s="1"/>
  <c r="K74" i="12"/>
  <c r="L74" i="12" s="1"/>
  <c r="M74" i="12" s="1"/>
  <c r="K75" i="12"/>
  <c r="L75" i="12"/>
  <c r="M75" i="12" s="1"/>
  <c r="K76" i="12"/>
  <c r="L76" i="12" s="1"/>
  <c r="M76" i="12" s="1"/>
  <c r="K77" i="12"/>
  <c r="L77" i="12" s="1"/>
  <c r="M77" i="12" s="1"/>
  <c r="K78" i="12"/>
  <c r="L78" i="12" s="1"/>
  <c r="M78" i="12" s="1"/>
  <c r="K79" i="12"/>
  <c r="L79" i="12" s="1"/>
  <c r="M79" i="12" s="1"/>
  <c r="K80" i="12"/>
  <c r="L80" i="12" s="1"/>
  <c r="M80" i="12" s="1"/>
  <c r="K81" i="12"/>
  <c r="L81" i="12"/>
  <c r="M81" i="12" s="1"/>
  <c r="K82" i="12"/>
  <c r="L82" i="12" s="1"/>
  <c r="M82" i="12" s="1"/>
  <c r="K83" i="12"/>
  <c r="L83" i="12" s="1"/>
  <c r="M83" i="12" s="1"/>
  <c r="K84" i="12"/>
  <c r="L84" i="12" s="1"/>
  <c r="M84" i="12" s="1"/>
  <c r="K85" i="12"/>
  <c r="L85" i="12" s="1"/>
  <c r="M85" i="12" s="1"/>
  <c r="K86" i="12"/>
  <c r="L86" i="12" s="1"/>
  <c r="M86" i="12" s="1"/>
  <c r="K87" i="12"/>
  <c r="L87" i="12" s="1"/>
  <c r="M87" i="12" s="1"/>
  <c r="K88" i="12"/>
  <c r="L88" i="12" s="1"/>
  <c r="M88" i="12" s="1"/>
  <c r="K89" i="12"/>
  <c r="L89" i="12" s="1"/>
  <c r="M89" i="12" s="1"/>
  <c r="K2" i="12"/>
  <c r="L2" i="12" s="1"/>
  <c r="M2" i="12" s="1"/>
  <c r="H3" i="12"/>
  <c r="I3" i="12" s="1"/>
  <c r="J3" i="12" s="1"/>
  <c r="H4" i="12"/>
  <c r="I4" i="12" s="1"/>
  <c r="J4" i="12" s="1"/>
  <c r="H5" i="12"/>
  <c r="I5" i="12" s="1"/>
  <c r="J5" i="12" s="1"/>
  <c r="H6" i="12"/>
  <c r="I6" i="12" s="1"/>
  <c r="J6" i="12" s="1"/>
  <c r="H7" i="12"/>
  <c r="I7" i="12" s="1"/>
  <c r="J7" i="12" s="1"/>
  <c r="H8" i="12"/>
  <c r="I8" i="12" s="1"/>
  <c r="J8" i="12" s="1"/>
  <c r="H9" i="12"/>
  <c r="I9" i="12" s="1"/>
  <c r="J9" i="12" s="1"/>
  <c r="H10" i="12"/>
  <c r="I10" i="12" s="1"/>
  <c r="J10" i="12" s="1"/>
  <c r="H11" i="12"/>
  <c r="I11" i="12" s="1"/>
  <c r="J11" i="12" s="1"/>
  <c r="H12" i="12"/>
  <c r="I12" i="12" s="1"/>
  <c r="J12" i="12" s="1"/>
  <c r="H13" i="12"/>
  <c r="I13" i="12" s="1"/>
  <c r="J13" i="12" s="1"/>
  <c r="H14" i="12"/>
  <c r="I14" i="12" s="1"/>
  <c r="J14" i="12" s="1"/>
  <c r="H15" i="12"/>
  <c r="I15" i="12" s="1"/>
  <c r="J15" i="12" s="1"/>
  <c r="H16" i="12"/>
  <c r="I16" i="12" s="1"/>
  <c r="J16" i="12" s="1"/>
  <c r="H17" i="12"/>
  <c r="I17" i="12" s="1"/>
  <c r="J17" i="12" s="1"/>
  <c r="H18" i="12"/>
  <c r="I18" i="12" s="1"/>
  <c r="J18" i="12" s="1"/>
  <c r="H19" i="12"/>
  <c r="I19" i="12" s="1"/>
  <c r="J19" i="12" s="1"/>
  <c r="H20" i="12"/>
  <c r="I20" i="12" s="1"/>
  <c r="J20" i="12" s="1"/>
  <c r="H21" i="12"/>
  <c r="I21" i="12" s="1"/>
  <c r="J21" i="12" s="1"/>
  <c r="H22" i="12"/>
  <c r="I22" i="12" s="1"/>
  <c r="J22" i="12" s="1"/>
  <c r="H23" i="12"/>
  <c r="I23" i="12" s="1"/>
  <c r="J23" i="12" s="1"/>
  <c r="H24" i="12"/>
  <c r="I24" i="12" s="1"/>
  <c r="J24" i="12" s="1"/>
  <c r="H25" i="12"/>
  <c r="I25" i="12" s="1"/>
  <c r="J25" i="12" s="1"/>
  <c r="H26" i="12"/>
  <c r="I26" i="12" s="1"/>
  <c r="J26" i="12" s="1"/>
  <c r="H27" i="12"/>
  <c r="I27" i="12" s="1"/>
  <c r="J27" i="12" s="1"/>
  <c r="H28" i="12"/>
  <c r="I28" i="12" s="1"/>
  <c r="J28" i="12" s="1"/>
  <c r="H29" i="12"/>
  <c r="I29" i="12" s="1"/>
  <c r="J29" i="12" s="1"/>
  <c r="H30" i="12"/>
  <c r="I30" i="12" s="1"/>
  <c r="J30" i="12" s="1"/>
  <c r="H31" i="12"/>
  <c r="I31" i="12" s="1"/>
  <c r="J31" i="12" s="1"/>
  <c r="H32" i="12"/>
  <c r="I32" i="12" s="1"/>
  <c r="J32" i="12" s="1"/>
  <c r="H33" i="12"/>
  <c r="I33" i="12" s="1"/>
  <c r="J33" i="12" s="1"/>
  <c r="H34" i="12"/>
  <c r="I34" i="12" s="1"/>
  <c r="J34" i="12" s="1"/>
  <c r="H35" i="12"/>
  <c r="I35" i="12" s="1"/>
  <c r="J35" i="12" s="1"/>
  <c r="H36" i="12"/>
  <c r="I36" i="12" s="1"/>
  <c r="J36" i="12" s="1"/>
  <c r="H37" i="12"/>
  <c r="I37" i="12" s="1"/>
  <c r="J37" i="12" s="1"/>
  <c r="H38" i="12"/>
  <c r="I38" i="12" s="1"/>
  <c r="J38" i="12" s="1"/>
  <c r="H39" i="12"/>
  <c r="I39" i="12" s="1"/>
  <c r="J39" i="12" s="1"/>
  <c r="H40" i="12"/>
  <c r="I40" i="12" s="1"/>
  <c r="H41" i="12"/>
  <c r="I41" i="12" s="1"/>
  <c r="J41" i="12" s="1"/>
  <c r="H42" i="12"/>
  <c r="I42" i="12" s="1"/>
  <c r="J42" i="12" s="1"/>
  <c r="H43" i="12"/>
  <c r="I43" i="12" s="1"/>
  <c r="J43" i="12" s="1"/>
  <c r="H44" i="12"/>
  <c r="I44" i="12" s="1"/>
  <c r="J44" i="12" s="1"/>
  <c r="H45" i="12"/>
  <c r="I45" i="12"/>
  <c r="J45" i="12" s="1"/>
  <c r="H46" i="12"/>
  <c r="I46" i="12" s="1"/>
  <c r="J46" i="12" s="1"/>
  <c r="H47" i="12"/>
  <c r="I47" i="12" s="1"/>
  <c r="J47" i="12" s="1"/>
  <c r="H48" i="12"/>
  <c r="I48" i="12" s="1"/>
  <c r="J48" i="12" s="1"/>
  <c r="H49" i="12"/>
  <c r="I49" i="12" s="1"/>
  <c r="J49" i="12" s="1"/>
  <c r="H50" i="12"/>
  <c r="I50" i="12" s="1"/>
  <c r="J50" i="12" s="1"/>
  <c r="H51" i="12"/>
  <c r="I51" i="12" s="1"/>
  <c r="J51" i="12" s="1"/>
  <c r="H52" i="12"/>
  <c r="I52" i="12" s="1"/>
  <c r="J52" i="12" s="1"/>
  <c r="H53" i="12"/>
  <c r="I53" i="12" s="1"/>
  <c r="J53" i="12" s="1"/>
  <c r="H54" i="12"/>
  <c r="I54" i="12" s="1"/>
  <c r="J54" i="12" s="1"/>
  <c r="H55" i="12"/>
  <c r="I55" i="12" s="1"/>
  <c r="J55" i="12" s="1"/>
  <c r="H56" i="12"/>
  <c r="I56" i="12" s="1"/>
  <c r="J56" i="12" s="1"/>
  <c r="H57" i="12"/>
  <c r="I57" i="12" s="1"/>
  <c r="J57" i="12" s="1"/>
  <c r="H58" i="12"/>
  <c r="I58" i="12" s="1"/>
  <c r="J58" i="12" s="1"/>
  <c r="H59" i="12"/>
  <c r="I59" i="12"/>
  <c r="J59" i="12" s="1"/>
  <c r="H60" i="12"/>
  <c r="I60" i="12" s="1"/>
  <c r="J60" i="12" s="1"/>
  <c r="H61" i="12"/>
  <c r="I61" i="12" s="1"/>
  <c r="J61" i="12" s="1"/>
  <c r="H62" i="12"/>
  <c r="I62" i="12" s="1"/>
  <c r="J62" i="12" s="1"/>
  <c r="H63" i="12"/>
  <c r="I63" i="12" s="1"/>
  <c r="J63" i="12" s="1"/>
  <c r="H64" i="12"/>
  <c r="I64" i="12" s="1"/>
  <c r="J64" i="12" s="1"/>
  <c r="H65" i="12"/>
  <c r="I65" i="12" s="1"/>
  <c r="J65" i="12" s="1"/>
  <c r="H66" i="12"/>
  <c r="I66" i="12" s="1"/>
  <c r="J66" i="12" s="1"/>
  <c r="H67" i="12"/>
  <c r="I67" i="12" s="1"/>
  <c r="J67" i="12" s="1"/>
  <c r="H68" i="12"/>
  <c r="I68" i="12" s="1"/>
  <c r="J68" i="12" s="1"/>
  <c r="H69" i="12"/>
  <c r="I69" i="12" s="1"/>
  <c r="J69" i="12" s="1"/>
  <c r="H70" i="12"/>
  <c r="I70" i="12" s="1"/>
  <c r="J70" i="12" s="1"/>
  <c r="H71" i="12"/>
  <c r="I71" i="12" s="1"/>
  <c r="J71" i="12" s="1"/>
  <c r="H72" i="12"/>
  <c r="I72" i="12" s="1"/>
  <c r="J72" i="12" s="1"/>
  <c r="H73" i="12"/>
  <c r="I73" i="12" s="1"/>
  <c r="J73" i="12" s="1"/>
  <c r="H74" i="12"/>
  <c r="I74" i="12" s="1"/>
  <c r="J74" i="12" s="1"/>
  <c r="H75" i="12"/>
  <c r="I75" i="12" s="1"/>
  <c r="J75" i="12" s="1"/>
  <c r="H76" i="12"/>
  <c r="I76" i="12" s="1"/>
  <c r="J76" i="12" s="1"/>
  <c r="H77" i="12"/>
  <c r="I77" i="12" s="1"/>
  <c r="J77" i="12" s="1"/>
  <c r="H78" i="12"/>
  <c r="I78" i="12" s="1"/>
  <c r="J78" i="12" s="1"/>
  <c r="H79" i="12"/>
  <c r="I79" i="12" s="1"/>
  <c r="J79" i="12" s="1"/>
  <c r="H80" i="12"/>
  <c r="I80" i="12" s="1"/>
  <c r="J80" i="12" s="1"/>
  <c r="H81" i="12"/>
  <c r="I81" i="12" s="1"/>
  <c r="J81" i="12" s="1"/>
  <c r="H82" i="12"/>
  <c r="I82" i="12" s="1"/>
  <c r="J82" i="12" s="1"/>
  <c r="H83" i="12"/>
  <c r="I83" i="12" s="1"/>
  <c r="J83" i="12" s="1"/>
  <c r="H84" i="12"/>
  <c r="I84" i="12" s="1"/>
  <c r="J84" i="12" s="1"/>
  <c r="H85" i="12"/>
  <c r="I85" i="12" s="1"/>
  <c r="J85" i="12" s="1"/>
  <c r="H86" i="12"/>
  <c r="I86" i="12" s="1"/>
  <c r="J86" i="12" s="1"/>
  <c r="H87" i="12"/>
  <c r="I87" i="12" s="1"/>
  <c r="H88" i="12"/>
  <c r="I88" i="12" s="1"/>
  <c r="J88" i="12" s="1"/>
  <c r="H89" i="12"/>
  <c r="I89" i="12" s="1"/>
  <c r="J89" i="12" s="1"/>
  <c r="H2" i="12"/>
  <c r="I2" i="12" s="1"/>
  <c r="J2" i="12" s="1"/>
  <c r="X39" i="1"/>
  <c r="Y39" i="1"/>
  <c r="Z39" i="1"/>
  <c r="W39" i="1"/>
  <c r="D90" i="16"/>
  <c r="E90" i="16"/>
  <c r="F90" i="16"/>
  <c r="D90" i="15"/>
  <c r="E90" i="15"/>
  <c r="F90" i="15"/>
  <c r="G90" i="15"/>
  <c r="D90" i="14"/>
  <c r="E90" i="14"/>
  <c r="F90" i="14"/>
  <c r="G90" i="14"/>
  <c r="D90" i="13"/>
  <c r="E90" i="13"/>
  <c r="F90" i="13"/>
  <c r="G90" i="13"/>
  <c r="D90" i="12"/>
  <c r="E90" i="12"/>
  <c r="F90" i="12"/>
  <c r="E92" i="6"/>
  <c r="F92" i="6"/>
  <c r="D92" i="6"/>
  <c r="E92" i="5"/>
  <c r="F92" i="5"/>
  <c r="D92" i="5"/>
  <c r="E92" i="4"/>
  <c r="F92" i="4"/>
  <c r="D92" i="4"/>
  <c r="E92" i="3"/>
  <c r="F92" i="3"/>
  <c r="D92" i="3"/>
  <c r="E92" i="2"/>
  <c r="E93" i="2" s="1"/>
  <c r="F92" i="2"/>
  <c r="F93" i="2" s="1"/>
  <c r="D92" i="2"/>
  <c r="D93" i="2" s="1"/>
</calcChain>
</file>

<file path=xl/sharedStrings.xml><?xml version="1.0" encoding="utf-8"?>
<sst xmlns="http://schemas.openxmlformats.org/spreadsheetml/2006/main" count="3010" uniqueCount="2383">
  <si>
    <t xml:space="preserve">For the CSTR reactor,-r_{A} =k\times c_{A}^3\times c_{B}^2 kmol/(L*min), c_{A} =c_{A0} \times (1-x_{A} ), c_{B} =c_{B0}- c_{A0} \times x_{A}, the residence time \tau is calculated by \frac{c_{A0} \times x_{f} }{-r_{A} }. The residence time \tau of the CSTR reactor is 3.29 h.
</t>
  </si>
  <si>
    <t>For the CSTR reactor,-r_{A} =k\times c_{A}^3\times c_{B}^2 kmol/(L*min), c_{A} =c_{A0} \times (1-x_{A} ), c_{B} =c_{B0}- c_{A0} \times x_{A}, the residence time \tau is calculated by \frac{c_{A0} \times x_{f} }{-r_{A} }. The residence time \tau of the CSTR reactor is 4.28 h.</t>
  </si>
  <si>
    <t xml:space="preserve">&lt;|im_start|&gt;system
You are a helpful assistant.&lt;|im_end|&gt;
&lt;|im_start|&gt;user
Please calculate the residence time with following conditions?
It is planned to carry out the reaction A+B \longrightarrow C in CSTR. The experimentally determined reaction kinetic equation is -r_{A}=k\times c_{A}^3\times c_{B}^2 kmol/(L*min), the reaction kinetic constant k=0.006.The initial concentration of raw material A c_{A0}6.8 kmol/m3, and the concentration of raw material B is c_{B0}1.63 kmol/m3., the conversion rate is 0.907. The feed volumetric flow rate Q is 0.93 kmol/m3.&lt;|im_end|&gt;
&lt;|im_start|&gt;assistant
</t>
  </si>
  <si>
    <t xml:space="preserve">For the BR reactor,-r_{A} =k\times c_{A}^2\times c_{B}^1 kmol/(L*min), c_{A} =c_{A0} \times (1-x_{A} ), c_{B} =c_{B0}- c_{A0} \times x_{A}, the residence time \tau is obtained by c_{A0}\times\int_{0}^{x_{f}}\frac{dx_{A}}{-r_{A}}. And the reactor volume is \frac{(\tau + t_{assist} )\times Q}{f} The calculated reactor volume V is 0.39 Cubic Meters.
</t>
  </si>
  <si>
    <t>For the BR reactor,-r_{A} =k\times c_{A}^2\times c_{B}^1 kmol/(L*min), c_{A} =c_{A0} \times (1-x_{A} ), c_{B} =c_{B0}- c_{A0} \times x_{A}, the residence time \tau is obtained by c_{A0}\times\int_{0}^{x_{f}}\frac{dx_{A}}{-r_{A}}. And the reactor volume is \frac{(\tau + t_{assist} )\times Q}{f} The calculated reactor volume V is 1.04 Cubic Meters.</t>
  </si>
  <si>
    <t xml:space="preserve">&lt;|im_start|&gt;system
You are a helpful assistant.&lt;|im_end|&gt;
&lt;|im_start|&gt;user
Please calculate the reactor volume with following conditions？
It is planned to carry out the reaction A+B \longrightarrow C in BR. The experimentally determined reaction kinetic equation is -r_{A}=k\times c_{A}^2\times c_{B}^1 kmol/(L*min), the reaction kinetic constant k=0.006.The initial concentration of raw material A c_{A0}7.08 kmol/m3, and the concentration of raw material B is c_{B0}1.94 kmol/m3., the conversion rate is 0.542. The feed volumetric flow rate Q is 0.27 kmol/m3, the auxiliary production time t_{assist} is 1 h, and the loading factor f is 0.64.&lt;|im_end|&gt;
&lt;|im_start|&gt;assistant
</t>
  </si>
  <si>
    <t xml:space="preserve">For the CSTR reactor,-r_{A} =k\times c_{A}^1\times c_{B}^1 kmol/(L*min), c_{A} =c_{A0} \times (1-x_{A} ), c_{B} =c_{B0}- c_{A0} \times x_{A}, the residence time \tau is calculated by \frac{c_{A0} \times x_{f} }{-r_{A} }. The residence time \tau of the CSTR reactor is 11.42 h.
</t>
  </si>
  <si>
    <t>For the CSTR reactor,-r_{A} =k\times c_{A}^1\times c_{B}^1 kmol/(L*min), c_{A} =c_{A0} \times (1-x_{A} ), c_{B} =c_{B0}- c_{A0} \times x_{A}, the residence time \tau is calculated by \frac{c_{A0} \times x_{f} }{-r_{A} }. The residence time \tau of the CSTR reactor is 1.95 h.</t>
  </si>
  <si>
    <t xml:space="preserve">&lt;|im_start|&gt;system
You are a helpful assistant.&lt;|im_end|&gt;
&lt;|im_start|&gt;user
Please calculate the residence time with following conditions?
It is planned to carry out the reaction A+B \longrightarrow C in CSTR. The experimentally determined reaction kinetic equation is -r_{A}=k\times c_{A}^1\times c_{B}^1 kmol/(L*min), the reaction kinetic constant k=0.004.The initial concentration of raw material A c_{A0}4.0 kmol/m3, and the concentration of raw material B is c_{B0}3.75 kmol/m3., the conversion rate is 0.712. The feed volumetric flow rate Q is 0.916 kmol/m3.&lt;|im_end|&gt;
&lt;|im_start|&gt;assistant
</t>
  </si>
  <si>
    <t xml:space="preserve">For the CSTR reactor,-r_{A} =k\times c_{A}^1\times c_{B}^1 kmol/(L*min), c_{A} =c_{A0} \times (1-x_{A} ), c_{B} =c_{B0}- c_{A0} \times x_{A}, the residence time \tau is calculated by \frac{c_{A0} \times x_{f} }{-r_{A} }. The residence time \tau of the CSTR reactor is 2.86 h.
</t>
  </si>
  <si>
    <t>For the CSTR reactor,-r_{A} =k\times c_{A}^1\times c_{B}^1 kmol/(L*min), c_{A} =c_{A0} \times (1-x_{A} ), c_{B} =c_{B0}- c_{A0} \times x_{A}, the residence time \tau is calculated by \frac{c_{A0} \times x_{f} }{-r_{A} }. The residence time \tau of the CSTR reactor is 23.89 h.</t>
  </si>
  <si>
    <t xml:space="preserve">&lt;|im_start|&gt;system
You are a helpful assistant.&lt;|im_end|&gt;
&lt;|im_start|&gt;user
Please calculate the residence time with following conditions?
It is planned to carry out the reaction A+B \longrightarrow C in CSTR. The experimentally determined reaction kinetic equation is -r_{A}=k\times c_{A}^1\times c_{B}^1 kmol/(L*min), the reaction kinetic constant k=0.008.The initial concentration of raw material A c_{A0}9.93 kmol/m3, and the concentration of raw material B is c_{B0}9.97 kmol/m3., the conversion rate is 0.765. The feed volumetric flow rate Q is 0.337 kmol/m3.&lt;|im_end|&gt;
&lt;|im_start|&gt;assistant
</t>
  </si>
  <si>
    <t xml:space="preserve">For the PFR reactor,-r_{A} =k\times c_{A}^3\times c_{B}^1 kmol/(L*min), c_{A} =c_{A0} \times (1-x_{A} ), c_{B} =c_{B0} - c_{A0} \times x_{A}, the residence time \tau is obtained by c_{A0}\times\int_{0}^{x_{f}}\frac{dx_{A}}{-r_{A}}. The residence time \tau of the PFR reactor is 0.14 h.
</t>
  </si>
  <si>
    <t>For the PFR reactor,-r_{A} =k\times c_{A}^3\times c_{B}^1 kmol/(L*min), c_{A} =c_{A0} \times (1-x_{A} ), c_{B} =c_{B0} - c_{A0} \times x_{A}, the residence time \tau is obtained by c_{A0}\times\int_{0}^{x_{f}}\frac{dx_{A}}{-r_{A}}. The residence time \tau of the PFR reactor is 1.72 h.</t>
  </si>
  <si>
    <t xml:space="preserve">&lt;|im_start|&gt;system
You are a helpful assistant.&lt;|im_end|&gt;
&lt;|im_start|&gt;user
Please calculate the residence time with following conditions?
It is planned to carry out the reaction A+B \longrightarrow C in PFR. The experimentally determined reaction kinetic equation is -r_{A}=k\times c_{A}^3\times c_{B}^1 kmol/(L*min), the reaction kinetic constant k=0.008.The initial concentration of raw material A c_{A0}6.3 kmol/m3, and the concentration of raw material B is c_{B0}5.5 kmol/m3., the conversion rate is 0.696. The feed volumetric flow rate Q is 0.632 kmol/m3.&lt;|im_end|&gt;
&lt;|im_start|&gt;assistant
</t>
  </si>
  <si>
    <t xml:space="preserve">For the CSTR reactor,-r_{A} =k\times c_{A}^3 kmol/(L*min), c_{A} =c_{A0} \times (1-x_{A} ) the residence time \tau is calculated by \frac{c_{A0} \times x_{f} }{-r_{A} }. And the reactor volume is \tau \times Q The calculated reactor volume V is 109.1 Cubic Meters.
</t>
  </si>
  <si>
    <t>For the CSTR reactor,-r_{A} =k\times c_{A}^3 kmol/(L*min), c_{A} =c_{A0} \times (1-x_{A} ) the residence time \tau is calculated by \frac{c_{A0} \times x_{f} }{-r_{A} }. And the reactor volume is \tau \times Q The calculated reactor volume V is 12.26 Cubic Meters.</t>
  </si>
  <si>
    <t xml:space="preserve">&lt;|im_start|&gt;system
You are a helpful assistant.&lt;|im_end|&gt;
&lt;|im_start|&gt;user
Please calculate the reactor volume with following conditions？
It is planned to carry out the reaction A+B \longrightarrow C in CSTR. The experimentally determined reaction kinetic equation is -r_{A}=k\times c_{A}^3 kmol/(L*min), the reaction kinetic constant k=0.009.The initial concentration of raw material A c_{A0} is 9.85 kmol/m3., the conversion rate is 0.952. The feed volumetric flow rate Q is 0.664 kmol/m3.&lt;|im_end|&gt;
&lt;|im_start|&gt;assistant
</t>
  </si>
  <si>
    <t xml:space="preserve">For the PFR reactor,-r_{A} =k\times c_{A}^2 kmol/(L*min), c_{A} =c_{A0} \times (1-x_{A} ) ,the residence time \tau is obtained by c_{A0}\times\int_{0}^{x_{f}}\frac{dx_{A}}{-r_{A}}. And the reactor volume is \tau \times Q The calculated reactor volume V is 0.68 Cubic Meters.
</t>
  </si>
  <si>
    <t>For the PFR reactor,-r_{A} =k\times c_{A}^2 kmol/(L*min), c_{A} =c_{A0} \times (1-x_{A} ) ,the residence time \tau is obtained by c_{A0}\times\int_{0}^{x_{f}}\frac{dx_{A}}{-r_{A}}. And the reactor volume is \tau \times Q The calculated reactor volume V is 1.32 Cubic Meters.</t>
  </si>
  <si>
    <t xml:space="preserve">&lt;|im_start|&gt;system
You are a helpful assistant.&lt;|im_end|&gt;
&lt;|im_start|&gt;user
Please calculate the reactor volume with following conditions？
It is planned to carry out the reaction A+B \longrightarrow C in PFR. The experimentally determined reaction kinetic equation is -r_{A}=k\times c_{A}^2 kmol/(L*min), the reaction kinetic constant k=0.003.The initial concentration of raw material A c_{A0} is 4.75 kmol/m3., the conversion rate is 0.725. The feed volumetric flow rate Q is 0.219 kmol/m3.&lt;|im_end|&gt;
&lt;|im_start|&gt;assistant
</t>
  </si>
  <si>
    <t xml:space="preserve">For the PFR reactor,-r_{A} =k\times c_{A}^2 kmol/(L*min), c_{A} =c_{A0} \times (1-x_{A} ) ,the residence time \tau is obtained by c_{A0}\times\int_{0}^{x_{f}}\frac{dx_{A}}{-r_{A}}. And the reactor volume is \tau \times Q The calculated reactor volume V is 2.84 Cubic Meters.
</t>
  </si>
  <si>
    <t>For the PFR reactor,-r_{A} =k\times c_{A}^2 kmol/(L*min), c_{A} =c_{A0} \times (1-x_{A} ) ,the residence time \tau is obtained by c_{A0}\times\int_{0}^{x_{f}}\frac{dx_{A}}{-r_{A}}. And the reactor volume is \tau \times Q The calculated reactor volume V is 1.78 Cubic Meters.</t>
  </si>
  <si>
    <t xml:space="preserve">&lt;|im_start|&gt;system
You are a helpful assistant.&lt;|im_end|&gt;
&lt;|im_start|&gt;user
Please calculate the reactor volume with following conditions？
It is planned to carry out the reaction A+B \longrightarrow C in PFR. The experimentally determined reaction kinetic equation is -r_{A}=k\times c_{A}^2 kmol/(L*min), the reaction kinetic constant k=0.006.The initial concentration of raw material A c_{A0} is 8.01 kmol/m3., the conversion rate is 0.912. The feed volumetric flow rate Q is 0.791 kmol/m3.&lt;|im_end|&gt;
&lt;|im_start|&gt;assistant
</t>
  </si>
  <si>
    <t xml:space="preserve">For the BR reactor,-r_{A} =k\times c_{A}^2 kmol/(L*min), c_{A} =c_{A0} \times (1-x_{A} ) ,the residence time \tau is obtained by c_{A0}\times\int_{0}^{x_{f}}\frac{dx_{A}}{-r_{A}}. The residence time \tau of the BR reactor is 2.91 h.
</t>
  </si>
  <si>
    <t>For the BR reactor,-r_{A} =k\times c_{A}^2 kmol/(L*min), c_{A} =c_{A0} \times (1-x_{A} ) ,the residence time \tau is obtained by c_{A0}\times\int_{0}^{x_{f}}\frac{dx_{A}}{-r_{A}}. The residence time \tau of the BR reactor is 3.33 h.</t>
  </si>
  <si>
    <t xml:space="preserve">&lt;|im_start|&gt;system
You are a helpful assistant.&lt;|im_end|&gt;
&lt;|im_start|&gt;user
Please calculate the residence time with following conditions?
It is planned to carry out the reaction A+B \longrightarrow C in BR. The experimentally determined reaction kinetic equation is -r_{A}=k\times c_{A}^2 kmol/(L*min), the reaction kinetic constant k=0.007.The initial concentration of raw material A c_{A0} is 4.83 kmol/m3., the conversion rate is 0.855. The feed volumetric flow rate Q is 0.467 kmol/m3, the auxiliary production time t_{assist} is 5 h, and the loading factor f is 0.45.&lt;|im_end|&gt;
&lt;|im_start|&gt;assistant
</t>
  </si>
  <si>
    <t xml:space="preserve">For the PFR reactor,-r_{A} =k\times c_{A}^2\times c_{B}^1 kmol/(L*min), c_{A} =c_{A0} \times (1-x_{A} ), c_{B} =c_{B0} - c_{A0} \times x_{A}, the residence time \tau is obtained by c_{A0}\times\int_{0}^{x_{f}}\frac{dx_{A}}{-r_{A}}. The residence time \tau of the PFR reactor is 4.77 h.
</t>
  </si>
  <si>
    <t>For the PFR reactor,-r_{A} =k\times c_{A}^2\times c_{B}^1 kmol/(L*min), c_{A} =c_{A0} \times (1-x_{A} ), c_{B} =c_{B0} - c_{A0} \times x_{A}, the residence time \tau is obtained by c_{A0}\times\int_{0}^{x_{f}}\frac{dx_{A}}{-r_{A}}. The residence time \tau of the PFR reactor is 15.71 h.</t>
  </si>
  <si>
    <t xml:space="preserve">&lt;|im_start|&gt;system
You are a helpful assistant.&lt;|im_end|&gt;
&lt;|im_start|&gt;user
Please calculate the residence time with following conditions?
It is planned to carry out the reaction A+B \longrightarrow C in PFR. The experimentally determined reaction kinetic equation is -r_{A}=k\times c_{A}^2\times c_{B}^1 kmol/(L*min), the reaction kinetic constant k=0.01.The initial concentration of raw material A c_{A0}3.56 kmol/m3, and the concentration of raw material B is c_{B0}3.41 kmol/m3., the conversion rate is 0.868. The feed volumetric flow rate Q is 0.315 kmol/m3.&lt;|im_end|&gt;
&lt;|im_start|&gt;assistant
</t>
  </si>
  <si>
    <t xml:space="preserve">For the PFR reactor,-r_{A} =k\times c_{A}^3 kmol/(L*min), c_{A} =c_{A0} \times (1-x_{A} ) ,the residence time \tau is obtained by c_{A0}\times\int_{0}^{x_{f}}\frac{dx_{A}}{-r_{A}}. And the reactor volume is \tau \times Q The calculated reactor volume V is 0.42 Cubic Meters.
</t>
  </si>
  <si>
    <t>For the PFR reactor,-r_{A} =k\times c_{A}^3 kmol/(L*min), c_{A} =c_{A0} \times (1-x_{A} ) ,the residence time \tau is obtained by c_{A0}\times\int_{0}^{x_{f}}\frac{dx_{A}}{-r_{A}}. And the reactor volume is \tau \times Q The calculated reactor volume V is 0.26 Cubic Meters.</t>
  </si>
  <si>
    <t xml:space="preserve">&lt;|im_start|&gt;system
You are a helpful assistant.&lt;|im_end|&gt;
&lt;|im_start|&gt;user
Please calculate the reactor volume with following conditions？
It is planned to carry out the reaction A+B \longrightarrow C in PFR. The experimentally determined reaction kinetic equation is -r_{A}=k\times c_{A}^3 kmol/(L*min), the reaction kinetic constant k=0.005.The initial concentration of raw material A c_{A0} is 5.92 kmol/m3., the conversion rate is 0.859. The feed volumetric flow rate Q is 0.179 kmol/m3.&lt;|im_end|&gt;
&lt;|im_start|&gt;assistant
</t>
  </si>
  <si>
    <t xml:space="preserve">For the BR reactor,-r_{A} =k\times c_{A}^2\times c_{B}^3 kmol/(L*min), c_{A} =c_{A0} \times (1-x_{A} ), c_{B} =c_{B0}- c_{A0} \times x_{A}, the residence time \tau is obtained by c_{A0}\times\int_{0}^{x_{f}}\frac{dx_{A}}{-r_{A}}. And the reactor volume is \frac{(\tau + t_{assist} )\times Q}{f} The calculated reactor volume V is 0.01 Cubic Meters.
</t>
  </si>
  <si>
    <t>For the BR reactor,-r_{A} =k\times c_{A}^2\times c_{B}^3 kmol/(L*min), c_{A} =c_{A0} \times (1-x_{A} ), c_{B} =c_{B0}- c_{A0} \times x_{A}, the residence time \tau is obtained by c_{A0}\times\int_{0}^{x_{f}}\frac{dx_{A}}{-r_{A}}. And the reactor volume is \frac{(\tau + t_{assist} )\times Q}{f} The calculated reactor volume V is 0.09 Cubic Meters.</t>
  </si>
  <si>
    <t xml:space="preserve">&lt;|im_start|&gt;system
You are a helpful assistant.&lt;|im_end|&gt;
&lt;|im_start|&gt;user
Please calculate the reactor volume with following conditions？
It is planned to carry out the reaction A+B \longrightarrow C in BR. The experimentally determined reaction kinetic equation is -r_{A}=k\times c_{A}^2\times c_{B}^3 kmol/(L*min), the reaction kinetic constant k=0.008.The initial concentration of raw material A c_{A0}1.71 kmol/m3, and the concentration of raw material B is c_{B0}4.97 kmol/m3., the conversion rate is 0.513. The feed volumetric flow rate Q is 0.433 kmol/m3, the auxiliary production time t_{assist} is 0 h, and the loading factor f is 0.55.&lt;|im_end|&gt;
&lt;|im_start|&gt;assistant
</t>
  </si>
  <si>
    <t xml:space="preserve">For the CSTR reactor,-r_{A} =k\times c_{A}^1 kmol/(L*min), c_{A} =c_{A0} \times (1-x_{A} ) the residence time \tau is calculated by \frac{c_{A0} \times x_{f} }{-r_{A} } . The residence time \tau of the CSTR reactor is 2.53 h.
</t>
  </si>
  <si>
    <t>For the CSTR reactor,-r_{A} =k\times c_{A}^1 kmol/(L*min), c_{A} =c_{A0} \times (1-x_{A} ) the residence time \tau is calculated by \frac{c_{A0} \times x_{f} }{-r_{A} } . The residence time \tau of the CSTR reactor is 3.72 h.</t>
  </si>
  <si>
    <t xml:space="preserve">&lt;|im_start|&gt;system
You are a helpful assistant.&lt;|im_end|&gt;
&lt;|im_start|&gt;user
Please calculate the residence time with following conditions?
It is planned to carry out the reaction A+B \longrightarrow C in CSTR. The experimentally determined reaction kinetic equation is -r_{A}=k\times c_{A}^1 kmol/(L*min), the reaction kinetic constant k=0.009.The initial concentration of raw material A c_{A0} is 4.33 kmol/m3., the conversion rate is 0.577. The feed volumetric flow rate Q is 0.369 kmol/m3.&lt;|im_end|&gt;
&lt;|im_start|&gt;assistant
</t>
  </si>
  <si>
    <t xml:space="preserve">For the CSTR reactor,-r_{A} =k\times c_{A}^1 kmol/(L*min), c_{A} =c_{A0} \times (1-x_{A} ) the residence time \tau is calculated by \frac{c_{A0} \times x_{f} }{-r_{A} }. And the reactor volume is \tau \times Q The calculated reactor volume V is 2.56 Cubic Meters.
</t>
  </si>
  <si>
    <t>For the CSTR reactor,-r_{A} =k\times c_{A}^1 kmol/(L*min), c_{A} =c_{A0} \times (1-x_{A} ) the residence time \tau is calculated by \frac{c_{A0} \times x_{f} }{-r_{A} }. And the reactor volume is \tau \times Q The calculated reactor volume V is 4.39 Cubic Meters.</t>
  </si>
  <si>
    <t xml:space="preserve">&lt;|im_start|&gt;system
You are a helpful assistant.&lt;|im_end|&gt;
&lt;|im_start|&gt;user
Please calculate the reactor volume with following conditions？
It is planned to carry out the reaction A+B \longrightarrow C in CSTR. The experimentally determined reaction kinetic equation is -r_{A}=k\times c_{A}^1 kmol/(L*min), the reaction kinetic constant k=0.006.The initial concentration of raw material A c_{A0} is 6.34 kmol/m3., the conversion rate is 0.704. The feed volumetric flow rate Q is 0.388 kmol/m3.&lt;|im_end|&gt;
&lt;|im_start|&gt;assistant
</t>
  </si>
  <si>
    <t xml:space="preserve">For the BR reactor,-r_{A} =k\times c_{A}^1\times c_{B}^3 kmol/(L*min), c_{A} =c_{A0} \times (1-x_{A} ), c_{B} =c_{B0}- c_{A0} \times x_{A}, the residence time \tau is obtained by c_{A0}\times\int_{0}^{x_{f}}\frac{dx_{A}}{-r_{A}}. And the reactor volume is \frac{(\tau + t_{assist} )\times Q}{f} The calculated reactor volume V is 938051.65 Cubic Meters.
</t>
  </si>
  <si>
    <t>For the BR reactor,-r_{A} =k\times c_{A}^1\times c_{B}^3 kmol/(L*min), c_{A} =c_{A0} \times (1-x_{A} ), c_{B} =c_{B0}- c_{A0} \times x_{A}, the residence time \tau is obtained by c_{A0}\times\int_{0}^{x_{f}}\frac{dx_{A}}{-r_{A}}. And the reactor volume is \frac{(\tau + t_{assist} )\times Q}{f} The calculated reactor volume V is 2.54 Cubic Meters.</t>
  </si>
  <si>
    <t xml:space="preserve">&lt;|im_start|&gt;system
You are a helpful assistant.&lt;|im_end|&gt;
&lt;|im_start|&gt;user
Please calculate the reactor volume with following conditions？
It is planned to carry out the reaction A+B \longrightarrow C in BR. The experimentally determined reaction kinetic equation is -r_{A}=k\times c_{A}^1\times c_{B}^3 kmol/(L*min), the reaction kinetic constant k=0.009.The initial concentration of raw material A c_{A0}9.94 kmol/m3, and the concentration of raw material B is c_{B0}5.24 kmol/m3., the conversion rate is 0.797. The feed volumetric flow rate Q is 0.454 kmol/m3, the auxiliary production time t_{assist} is 4 h, and the loading factor f is 0.42.&lt;|im_end|&gt;
&lt;|im_start|&gt;assistant
</t>
  </si>
  <si>
    <t xml:space="preserve">For the CSTR reactor,-r_{A} =k\times c_{A}^3\times c_{B}^3 kmol/(L*min), c_{A} =c_{A0} \times (1-x_{A} ), c_{B} =c_{B0}- c_{A0} \times x_{A}, the residence time \tau is calculated by \frac{c_{A0} \times x_{f} }{-r_{A} }. The residence time \tau of the CSTR reactor is 3.63 h.
</t>
  </si>
  <si>
    <t>For the CSTR reactor,-r_{A} =k\times c_{A}^3\times c_{B}^3 kmol/(L*min), c_{A} =c_{A0} \times (1-x_{A} ), c_{B} =c_{B0}- c_{A0} \times x_{A}, the residence time \tau is calculated by \frac{c_{A0} \times x_{f} }{-r_{A} }. The residence time \tau of the CSTR reactor is 2.88 h.</t>
  </si>
  <si>
    <t xml:space="preserve">&lt;|im_start|&gt;system
You are a helpful assistant.&lt;|im_end|&gt;
&lt;|im_start|&gt;user
Please calculate the residence time with following conditions?
It is planned to carry out the reaction A+B \longrightarrow C in CSTR. The experimentally determined reaction kinetic equation is -r_{A}=k\times c_{A}^3\times c_{B}^3 kmol/(L*min), the reaction kinetic constant k=0.002.The initial concentration of raw material A c_{A0}2.08 kmol/m3, and the concentration of raw material B is c_{B0}9.07 kmol/m3., the conversion rate is 0.892. The feed volumetric flow rate Q is 0.973 kmol/m3.&lt;|im_end|&gt;
&lt;|im_start|&gt;assistant
</t>
  </si>
  <si>
    <t xml:space="preserve">For the BR reactor,-r_{A} =k\times c_{A}^1\times c_{B}^2 kmol/(L*min), c_{A} =c_{A0} \times (1-x_{A} ), c_{B} =c_{B0} - c_{A0} \times x_{A}, the residence time \tau is obtained by c_{A0}\times\int_{0}^{x_{f}}\frac{dx_{A}}{-r_{A}}. The residence time \tau of the BR reactor is 9.03 h.
</t>
  </si>
  <si>
    <t>For the BR reactor,-r_{A} =k\times c_{A}^1\times c_{B}^2 kmol/(L*min), c_{A} =c_{A0} \times (1-x_{A} ), c_{B} =c_{B0} - c_{A0} \times x_{A}, the residence time \tau is obtained by c_{A0}\times\int_{0}^{x_{f}}\frac{dx_{A}}{-r_{A}}. The residence time \tau of the BR reactor is 220643104527724.2 h.</t>
  </si>
  <si>
    <t xml:space="preserve">&lt;|im_start|&gt;system
You are a helpful assistant.&lt;|im_end|&gt;
&lt;|im_start|&gt;user
Please calculate the residence time with following conditions?
It is planned to carry out the reaction A+B \longrightarrow C in BR. The experimentally determined reaction kinetic equation is -r_{A}=k\times c_{A}^1\times c_{B}^2 kmol/(L*min), the reaction kinetic constant k=0.005.The initial concentration of raw material A c_{A0}1.9 kmol/m3, and the concentration of raw material B is c_{B0}1.53 kmol/m3., the conversion rate is 0.639. The feed volumetric flow rate Q is 0.335 kmol/m3, the auxiliary production time t_{assist} is 2 h, and the loading factor f is 0.61.&lt;|im_end|&gt;
&lt;|im_start|&gt;assistant
</t>
  </si>
  <si>
    <t xml:space="preserve">For the PFR reactor,-r_{A} =k\times c_{A}^3\times c_{B}^3 kmol/(L*min), c_{A} =c_{A0} \times (1-x_{A} ), c_{B} =c_{B0} - c_{A0} \times x_{A}, the residence time \tau is obtained by c_{A0}\times\int_{0}^{x_{f}}\frac{dx_{A}}{-r_{A}}. The residence time \tau of the PFR reactor is 0.04 h.
</t>
  </si>
  <si>
    <t>For the PFR reactor,-r_{A} =k\times c_{A}^3\times c_{B}^3 kmol/(L*min), c_{A} =c_{A0} \times (1-x_{A} ), c_{B} =c_{B0} - c_{A0} \times x_{A}, the residence time \tau is obtained by c_{A0}\times\int_{0}^{x_{f}}\frac{dx_{A}}{-r_{A}}. The residence time \tau of the PFR reactor is 0.01 h.</t>
  </si>
  <si>
    <t xml:space="preserve">&lt;|im_start|&gt;system
You are a helpful assistant.&lt;|im_end|&gt;
&lt;|im_start|&gt;user
Please calculate the residence time with following conditions?
It is planned to carry out the reaction A+B \longrightarrow C in PFR. The experimentally determined reaction kinetic equation is -r_{A}=k\times c_{A}^3\times c_{B}^3 kmol/(L*min), the reaction kinetic constant k=0.005.The initial concentration of raw material A c_{A0}2.6 kmol/m3, and the concentration of raw material B is c_{B0}3.81 kmol/m3., the conversion rate is 0.515. The feed volumetric flow rate Q is 0.494 kmol/m3.&lt;|im_end|&gt;
&lt;|im_start|&gt;assistant
</t>
  </si>
  <si>
    <t xml:space="preserve">For the BR reactor,-r_{A} =k\times c_{A}^2 kmol/(L*min), c_{A} =c_{A0} \times (1-x_{A} ) ,the residence time \tau is obtained by c_{A0}\times\int_{0}^{x_{f}}\frac{dx_{A}}{-r_{A}}. And the reactor volume is \frac{(\tau + t_{assist} )\times Q}{f} The calculated reactor volume V is 1.93 Cubic Meters.
</t>
  </si>
  <si>
    <t>For the BR reactor,-r_{A} =k\times c_{A}^2 kmol/(L*min), c_{A} =c_{A0} \times (1-x_{A} ) ,the residence time \tau is obtained by c_{A0}\times\int_{0}^{x_{f}}\frac{dx_{A}}{-r_{A}}. And the reactor volume is \frac{(\tau + t_{assist} )\times Q}{f} The calculated reactor volume V is 1.93 Cubic Meters.</t>
  </si>
  <si>
    <t xml:space="preserve">&lt;|im_start|&gt;system
You are a helpful assistant.&lt;|im_end|&gt;
&lt;|im_start|&gt;user
Please calculate the reactor volume with following conditions？
It is planned to carry out the reaction A+B \longrightarrow C in BR. The experimentally determined reaction kinetic equation is -r_{A}=k\times c_{A}^2 kmol/(L*min), the reaction kinetic constant k=0.01.The initial concentration of raw material A c_{A0} is 7.15 kmol/m3., the conversion rate is 0.617. The feed volumetric flow rate Q is 0.673 kmol/m3, the auxiliary production time t_{assist} is 1 h, and the loading factor f is 0.48.&lt;|im_end|&gt;
&lt;|im_start|&gt;assistant
</t>
  </si>
  <si>
    <t xml:space="preserve">For the CSTR reactor,-r_{A} =k\times c_{A}^3 kmol/(L*min), c_{A} =c_{A0} \times (1-x_{A} ) the residence time \tau is calculated by \frac{c_{A0} \times x_{f} }{-r_{A} }. And the reactor volume is \tau \times Q The calculated reactor volume V is 0.28 Cubic Meters.
</t>
  </si>
  <si>
    <t>For the CSTR reactor,-r_{A} =k\times c_{A}^3 kmol/(L*min), c_{A} =c_{A0} \times (1-x_{A} ) the residence time \tau is calculated by \frac{c_{A0} \times x_{f} }{-r_{A} }. And the reactor volume is \tau \times Q The calculated reactor volume V is 0.68 Cubic Meters.</t>
  </si>
  <si>
    <t xml:space="preserve">&lt;|im_start|&gt;system
You are a helpful assistant.&lt;|im_end|&gt;
&lt;|im_start|&gt;user
Please calculate the reactor volume with following conditions？
It is planned to carry out the reaction A+B \longrightarrow C in CSTR. The experimentally determined reaction kinetic equation is -r_{A}=k\times c_{A}^3 kmol/(L*min), the reaction kinetic constant k=0.01.The initial concentration of raw material A c_{A0} is 4.84 kmol/m3., the conversion rate is 0.678. The feed volumetric flow rate Q is 0.197 kmol/m3.&lt;|im_end|&gt;
&lt;|im_start|&gt;assistant
</t>
  </si>
  <si>
    <t xml:space="preserve">For the CSTR reactor,-r_{A} =k\times c_{A}^1 kmol/(L*min), c_{A} =c_{A0} \times (1-x_{A} ) the residence time \tau is calculated by \frac{c_{A0} \times x_{f} }{-r_{A} }. And the reactor volume is \tau \times Q The calculated reactor volume V is 15.36 Cubic Meters.
</t>
  </si>
  <si>
    <t>For the CSTR reactor,-r_{A} =k\times c_{A}^1 kmol/(L*min), c_{A} =c_{A0} \times (1-x_{A} ) the residence time \tau is calculated by \frac{c_{A0} \times x_{f} }{-r_{A} }. And the reactor volume is \tau \times Q The calculated reactor volume V is 6.65 Cubic Meters.</t>
  </si>
  <si>
    <t xml:space="preserve">&lt;|im_start|&gt;system
You are a helpful assistant.&lt;|im_end|&gt;
&lt;|im_start|&gt;user
Please calculate the reactor volume with following conditions？
It is planned to carry out the reaction A+B \longrightarrow C in CSTR. The experimentally determined reaction kinetic equation is -r_{A}=k\times c_{A}^1 kmol/(L*min), the reaction kinetic constant k=0.002.The initial concentration of raw material A c_{A0} is 5.26 kmol/m3., the conversion rate is 0.755. The feed volumetric flow rate Q is 0.598 kmol/m3.&lt;|im_end|&gt;
&lt;|im_start|&gt;assistant
</t>
  </si>
  <si>
    <t xml:space="preserve">For the PFR reactor,-r_{A} =k\times c_{A}^2 kmol/(L*min), c_{A} =c_{A0} \times (1-x_{A} ) ,the residence time \tau is obtained by c_{A0}\times\int_{0}^{x_{f}}\frac{dx_{A}}{-r_{A}}. And the reactor volume is \tau \times Q The calculated reactor volume V is 3.16 Cubic Meters.
</t>
  </si>
  <si>
    <t>For the PFR reactor,-r_{A} =k\times c_{A}^2 kmol/(L*min), c_{A} =c_{A0} \times (1-x_{A} ) ,the residence time \tau is obtained by c_{A0}\times\int_{0}^{x_{f}}\frac{dx_{A}}{-r_{A}}. And the reactor volume is \tau \times Q The calculated reactor volume V is 2.42 Cubic Meters.</t>
  </si>
  <si>
    <t xml:space="preserve">&lt;|im_start|&gt;system
You are a helpful assistant.&lt;|im_end|&gt;
&lt;|im_start|&gt;user
Please calculate the reactor volume with following conditions？
It is planned to carry out the reaction A+B \longrightarrow C in PFR. The experimentally determined reaction kinetic equation is -r_{A}=k\times c_{A}^2 kmol/(L*min), the reaction kinetic constant k=0.007.The initial concentration of raw material A c_{A0} is 2.75 kmol/m3., the conversion rate is 0.796. The feed volumetric flow rate Q is 0.936 kmol/m3.&lt;|im_end|&gt;
&lt;|im_start|&gt;assistant
</t>
  </si>
  <si>
    <t xml:space="preserve">For the BR reactor,-r_{A} =k\times c_{A}^1\times c_{B}^2 kmol/(L*min), c_{A} =c_{A0} \times (1-x_{A} ), c_{B} =c_{B0} - c_{A0} \times x_{A}, the residence time \tau is obtained by c_{A0}\times\int_{0}^{x_{f}}\frac{dx_{A}}{-r_{A}}. The residence time \tau of the BR reactor is 0.03 h.
</t>
  </si>
  <si>
    <t>For the BR reactor,-r_{A} =k\times c_{A}^1\times c_{B}^2 kmol/(L*min), c_{A} =c_{A0} \times (1-x_{A} ), c_{B} =c_{B0} - c_{A0} \times x_{A}, the residence time \tau is obtained by c_{A0}\times\int_{0}^{x_{f}}\frac{dx_{A}}{-r_{A}}. The residence time \tau of the BR reactor is 0.52 h.</t>
  </si>
  <si>
    <t xml:space="preserve">&lt;|im_start|&gt;system
You are a helpful assistant.&lt;|im_end|&gt;
&lt;|im_start|&gt;user
Please calculate the residence time with following conditions?
It is planned to carry out the reaction A+B \longrightarrow C in BR. The experimentally determined reaction kinetic equation is -r_{A}=k\times c_{A}^1\times c_{B}^2 kmol/(L*min), the reaction kinetic constant k=0.009.The initial concentration of raw material A c_{A0}4.91 kmol/m3, and the concentration of raw material B is c_{B0}8.83 kmol/m3., the conversion rate is 0.58. The feed volumetric flow rate Q is 0.291 kmol/m3, the auxiliary production time t_{assist} is 5 h, and the loading factor f is 0.64.&lt;|im_end|&gt;
&lt;|im_start|&gt;assistant
</t>
  </si>
  <si>
    <t xml:space="preserve">For the BR reactor,-r_{A} =k\times c_{A}^1\times c_{B}^3 kmol/(L*min), c_{A} =c_{A0} \times (1-x_{A} ), c_{B} =c_{B0} - c_{A0} \times x_{A}, the residence time \tau is obtained by c_{A0}\times\int_{0}^{x_{f}}\frac{dx_{A}}{-r_{A}}. The residence time \tau of the BR reactor is 0.01 h.
</t>
  </si>
  <si>
    <t>For the BR reactor,-r_{A} =k\times c_{A}^1\times c_{B}^3 kmol/(L*min), c_{A} =c_{A0} \times (1-x_{A} ), c_{B} =c_{B0} - c_{A0} \times x_{A}, the residence time \tau is obtained by c_{A0}\times\int_{0}^{x_{f}}\frac{dx_{A}}{-r_{A}}. The residence time \tau of the BR reactor is 0.01 h.</t>
  </si>
  <si>
    <t xml:space="preserve">&lt;|im_start|&gt;system
You are a helpful assistant.&lt;|im_end|&gt;
&lt;|im_start|&gt;user
Please calculate the residence time with following conditions?
It is planned to carry out the reaction A+B \longrightarrow C in BR. The experimentally determined reaction kinetic equation is -r_{A}=k\times c_{A}^1\times c_{B}^3 kmol/(L*min), the reaction kinetic constant k=0.004.The initial concentration of raw material A c_{A0}2.92 kmol/m3, and the concentration of raw material B is c_{B0}9.7 kmol/m3., the conversion rate is 0.575. The feed volumetric flow rate Q is 0.873 kmol/m3, the auxiliary production time t_{assist} is 0 h, and the loading factor f is 0.53.&lt;|im_end|&gt;
&lt;|im_start|&gt;assistant
</t>
  </si>
  <si>
    <t xml:space="preserve">For the PFR reactor,-r_{A} =k\times c_{A}^3 kmol/(L*min), c_{A} =c_{A0} \times (1-x_{A} ) ,the residence time \tau is obtained by c_{A0}\times\int_{0}^{x_{f}}\frac{dx_{A}}{-r_{A}}. And the reactor volume is \tau \times Q The calculated reactor volume V is 84.49 Cubic Meters.
</t>
  </si>
  <si>
    <t>For the PFR reactor,-r_{A} =k\times c_{A}^3 kmol/(L*min), c_{A} =c_{A0} \times (1-x_{A} ) ,the residence time \tau is obtained by c_{A0}\times\int_{0}^{x_{f}}\frac{dx_{A}}{-r_{A}}. And the reactor volume is \tau \times Q The calculated reactor volume V is 22.38 Cubic Meters.</t>
  </si>
  <si>
    <t xml:space="preserve">&lt;|im_start|&gt;system
You are a helpful assistant.&lt;|im_end|&gt;
&lt;|im_start|&gt;user
Please calculate the reactor volume with following conditions？
It is planned to carry out the reaction A+B \longrightarrow C in PFR. The experimentally determined reaction kinetic equation is -r_{A}=k\times c_{A}^3 kmol/(L*min), the reaction kinetic constant k=0.001.The initial concentration of raw material A c_{A0} is 1.76 kmol/m3., the conversion rate is 0.836. The feed volumetric flow rate Q is 0.868 kmol/m3.&lt;|im_end|&gt;
&lt;|im_start|&gt;assistant
</t>
  </si>
  <si>
    <t xml:space="preserve">For the CSTR reactor,-r_{A} =k\times c_{A}^1 kmol/(L*min), c_{A} =c_{A0} \times (1-x_{A} ) the residence time \tau is calculated by \frac{c_{A0} \times x_{f} }{-r_{A} } . The residence time \tau of the CSTR reactor is 16.52 h.
</t>
  </si>
  <si>
    <t>For the CSTR reactor,-r_{A} =k\times c_{A}^1 kmol/(L*min), c_{A} =c_{A0} \times (1-x_{A} ) the residence time \tau is calculated by \frac{c_{A0} \times x_{f} }{-r_{A} } . The residence time \tau of the CSTR reactor is 22.9 h.</t>
  </si>
  <si>
    <t xml:space="preserve">&lt;|im_start|&gt;system
You are a helpful assistant.&lt;|im_end|&gt;
&lt;|im_start|&gt;user
Please calculate the residence time with following conditions?
It is planned to carry out the reaction A+B \longrightarrow C in CSTR. The experimentally determined reaction kinetic equation is -r_{A}=k\times c_{A}^1 kmol/(L*min), the reaction kinetic constant k=0.007.The initial concentration of raw material A c_{A0} is 3.67 kmol/m3., the conversion rate is 0.874. The feed volumetric flow rate Q is 0.281 kmol/m3.&lt;|im_end|&gt;
&lt;|im_start|&gt;assistant
</t>
  </si>
  <si>
    <t xml:space="preserve">For the PFR reactor,-r_{A} =k\times c_{A}^3\times c_{B}^2 kmol/(L*min), c_{A} =c_{A0} \times (1-x_{A} ), c_{B} =c_{B0} - c_{A0} \times x_{A}, the residence time \tau is obtained by c_{A0}\times\int_{0}^{x_{f}}\frac{dx_{A}}{-r_{A}}. The residence time \tau of the PFR reactor is 0.29 h.
</t>
  </si>
  <si>
    <t>For the PFR reactor,-r_{A} =k\times c_{A}^3\times c_{B}^2 kmol/(L*min), c_{A} =c_{A0} \times (1-x_{A} ), c_{B} =c_{B0} - c_{A0} \times x_{A}, the residence time \tau is obtained by c_{A0}\times\int_{0}^{x_{f}}\frac{dx_{A}}{-r_{A}}. The residence time \tau of the PFR reactor is 0.11 h.</t>
  </si>
  <si>
    <t xml:space="preserve">&lt;|im_start|&gt;system
You are a helpful assistant.&lt;|im_end|&gt;
&lt;|im_start|&gt;user
Please calculate the residence time with following conditions?
It is planned to carry out the reaction A+B \longrightarrow C in PFR. The experimentally determined reaction kinetic equation is -r_{A}=k\times c_{A}^3\times c_{B}^2 kmol/(L*min), the reaction kinetic constant k=0.008.The initial concentration of raw material A c_{A0}2.61 kmol/m3, and the concentration of raw material B is c_{B0}2.95 kmol/m3., the conversion rate is 0.61. The feed volumetric flow rate Q is 0.383 kmol/m3.&lt;|im_end|&gt;
&lt;|im_start|&gt;assistant
</t>
  </si>
  <si>
    <t xml:space="preserve">For the BR reactor,-r_{A} =k\times c_{A}^2\times c_{B}^2 kmol/(L*min), c_{A} =c_{A0} \times (1-x_{A} ), c_{B} =c_{B0} - c_{A0} \times x_{A}, the residence time \tau is obtained by c_{A0}\times\int_{0}^{x_{f}}\frac{dx_{A}}{-r_{A}}. The residence time \tau of the BR reactor is 245824486.11 h.
</t>
  </si>
  <si>
    <t>For the BR reactor,-r_{A} =k\times c_{A}^2\times c_{B}^2 kmol/(L*min), c_{A} =c_{A0} \times (1-x_{A} ), c_{B} =c_{B0} - c_{A0} \times x_{A}, the residence time \tau is obtained by c_{A0}\times\int_{0}^{x_{f}}\frac{dx_{A}}{-r_{A}}. The residence time \tau of the BR reactor is 15.04 h.</t>
  </si>
  <si>
    <t xml:space="preserve">&lt;|im_start|&gt;system
You are a helpful assistant.&lt;|im_end|&gt;
&lt;|im_start|&gt;user
Please calculate the residence time with following conditions?
It is planned to carry out the reaction A+B \longrightarrow C in BR. The experimentally determined reaction kinetic equation is -r_{A}=k\times c_{A}^2\times c_{B}^2 kmol/(L*min), the reaction kinetic constant k=0.009.The initial concentration of raw material A c_{A0}1.64 kmol/m3, and the concentration of raw material B is c_{B0}1.21 kmol/m3., the conversion rate is 0.844. The feed volumetric flow rate Q is 0.839 kmol/m3, the auxiliary production time t_{assist} is 0 h, and the loading factor f is 0.7.&lt;|im_end|&gt;
&lt;|im_start|&gt;assistant
</t>
  </si>
  <si>
    <t xml:space="preserve">For the BR reactor,-r_{A} =k\times c_{A}^2\times c_{B}^3 kmol/(L*min), c_{A} =c_{A0} \times (1-x_{A} ), c_{B} =c_{B0}- c_{A0} \times x_{A}, the residence time \tau is obtained by c_{A0}\times\int_{0}^{x_{f}}\frac{dx_{A}}{-r_{A}}. And the reactor volume is \frac{(\tau + t_{assist} )\times Q}{f} The calculated reactor volume V is 0.25 Cubic Meters.
</t>
  </si>
  <si>
    <t>For the BR reactor,-r_{A} =k\times c_{A}^2\times c_{B}^3 kmol/(L*min), c_{A} =c_{A0} \times (1-x_{A} ), c_{B} =c_{B0}- c_{A0} \times x_{A}, the residence time \tau is obtained by c_{A0}\times\int_{0}^{x_{f}}\frac{dx_{A}}{-r_{A}}. And the reactor volume is \frac{(\tau + t_{assist} )\times Q}{f} The calculated reactor volume V is 0.2 Cubic Meters.</t>
  </si>
  <si>
    <t xml:space="preserve">&lt;|im_start|&gt;system
You are a helpful assistant.&lt;|im_end|&gt;
&lt;|im_start|&gt;user
Please calculate the reactor volume with following conditions？
It is planned to carry out the reaction A+B \longrightarrow C in BR. The experimentally determined reaction kinetic equation is -r_{A}=k\times c_{A}^2\times c_{B}^3 kmol/(L*min), the reaction kinetic constant k=0.002.The initial concentration of raw material A c_{A0}7.21 kmol/m3, and the concentration of raw material B is c_{B0}5.67 kmol/m3., the conversion rate is 0.518. The feed volumetric flow rate Q is 0.141 kmol/m3, the auxiliary production time t_{assist} is 1 h, and the loading factor f is 0.6.&lt;|im_end|&gt;
&lt;|im_start|&gt;assistant
</t>
  </si>
  <si>
    <t xml:space="preserve">For the BR reactor,-r_{A} =k\times c_{A}^2 kmol/(L*min), c_{A} =c_{A0} \times (1-x_{A} ) ,the residence time \tau is obtained by c_{A0}\times\int_{0}^{x_{f}}\frac{dx_{A}}{-r_{A}}. The residence time \tau of the BR reactor is 0.53 h.
</t>
  </si>
  <si>
    <t>For the BR reactor,-r_{A} =k\times c_{A}^2 kmol/(L*min), c_{A} =c_{A0} \times (1-x_{A} ) ,the residence time \tau is obtained by c_{A0}\times\int_{0}^{x_{f}}\frac{dx_{A}}{-r_{A}}. The residence time \tau of the BR reactor is 1.38 h.</t>
  </si>
  <si>
    <t xml:space="preserve">&lt;|im_start|&gt;system
You are a helpful assistant.&lt;|im_end|&gt;
&lt;|im_start|&gt;user
Please calculate the residence time with following conditions?
It is planned to carry out the reaction A+B \longrightarrow C in BR. The experimentally determined reaction kinetic equation is -r_{A}=k\times c_{A}^2 kmol/(L*min), the reaction kinetic constant k=0.008.The initial concentration of raw material A c_{A0} is 6.95 kmol/m3., the conversion rate is 0.639. The feed volumetric flow rate Q is 0.139 kmol/m3, the auxiliary production time t_{assist} is 0 h, and the loading factor f is 0.71.&lt;|im_end|&gt;
&lt;|im_start|&gt;assistant
</t>
  </si>
  <si>
    <t xml:space="preserve">For the CSTR reactor,-r_{A} =k\times c_{A}^1 kmol/(L*min), c_{A} =c_{A0} \times (1-x_{A} ) the residence time \tau is calculated by \frac{c_{A0} \times x_{f} }{-r_{A} }. And the reactor volume is \tau \times Q The calculated reactor volume V is 246.41 Cubic Meters.
</t>
  </si>
  <si>
    <t>For the CSTR reactor,-r_{A} =k\times c_{A}^1 kmol/(L*min), c_{A} =c_{A0} \times (1-x_{A} ) the residence time \tau is calculated by \frac{c_{A0} \times x_{f} }{-r_{A} }. And the reactor volume is \tau \times Q The calculated reactor volume V is 569.76 Cubic Meters.</t>
  </si>
  <si>
    <t xml:space="preserve">&lt;|im_start|&gt;system
You are a helpful assistant.&lt;|im_end|&gt;
&lt;|im_start|&gt;user
Please calculate the reactor volume with following conditions？
It is planned to carry out the reaction A+B \longrightarrow C in CSTR. The experimentally determined reaction kinetic equation is -r_{A}=k\times c_{A}^1 kmol/(L*min), the reaction kinetic constant k=0.008.The initial concentration of raw material A c_{A0} is 8.95 kmol/m3., the conversion rate is 0.996. The feed volumetric flow rate Q is 0.475 kmol/m3.&lt;|im_end|&gt;
&lt;|im_start|&gt;assistant
</t>
  </si>
  <si>
    <t xml:space="preserve">For the CSTR reactor,-r_{A} =k\times c_{A}^3\times c_{B}^3 kmol/(L*min), c_{A} =c_{A0} \times (1-x_{A} ), c_{B} =c_{B0}- c_{A0} \times x_{A}, the residence time \tau is calculated by \frac{c_{A0} \times x_{f} }{-r_{A} }. And the reactor volume is \tau \times Q The calculated reactor volume V is 0.84 Cubic Meters.
</t>
  </si>
  <si>
    <t>For the CSTR reactor,-r_{A} =k\times c_{A}^3\times c_{B}^3 kmol/(L*min), c_{A} =c_{A0} \times (1-x_{A} ), c_{B} =c_{B0}- c_{A0} \times x_{A}, the residence time \tau is calculated by \frac{c_{A0} \times x_{f} }{-r_{A} }. And the reactor volume is \tau \times Q The calculated reactor volume V is 1.32 Cubic Meters.</t>
  </si>
  <si>
    <t xml:space="preserve">&lt;|im_start|&gt;system
You are a helpful assistant.&lt;|im_end|&gt;
&lt;|im_start|&gt;user
Please calculate the reactor volume with following conditions？
It is planned to carry out the reaction A+B \longrightarrow C in CSTR. The experimentally determined reaction kinetic equation is -r_{A}=k\times c_{A}^3\times c_{B}^3 kmol/(L*min), the reaction kinetic constant k=0.009.The initial concentration of raw material A c_{A0}0.62 kmol/m3, and the concentration of raw material B is c_{B0}6.07 kmol/m3., the conversion rate is 0.719. The feed volumetric flow rate Q is 0.958 kmol/m3.&lt;|im_end|&gt;
&lt;|im_start|&gt;assistant
</t>
  </si>
  <si>
    <t xml:space="preserve">For the PFR reactor,-r_{A} =k\times c_{A}^2 kmol/(L*min), c_{A} =c_{A0} \times (1-x_{A} ) ,the residence time \tau is obtained by c_{A0}\times\int_{0}^{x_{f}}\frac{dx_{A}}{-r_{A}}. And the reactor volume is \tau \times Q The calculated reactor volume V is 104.45 Cubic Meters.
</t>
  </si>
  <si>
    <t>For the PFR reactor,-r_{A} =k\times c_{A}^2 kmol/(L*min), c_{A} =c_{A0} \times (1-x_{A} ) ,the residence time \tau is obtained by c_{A0}\times\int_{0}^{x_{f}}\frac{dx_{A}}{-r_{A}}. And the reactor volume is \tau \times Q The calculated reactor volume V is 26.7 Cubic Meters.</t>
  </si>
  <si>
    <t xml:space="preserve">&lt;|im_start|&gt;system
You are a helpful assistant.&lt;|im_end|&gt;
&lt;|im_start|&gt;user
Please calculate the reactor volume with following conditions？
It is planned to carry out the reaction A+B \longrightarrow C in PFR. The experimentally determined reaction kinetic equation is -r_{A}=k\times c_{A}^2 kmol/(L*min), the reaction kinetic constant k=0.001.The initial concentration of raw material A c_{A0} is 4.23 kmol/m3., the conversion rate is 0.964. The feed volumetric flow rate Q is 0.99 kmol/m3.&lt;|im_end|&gt;
&lt;|im_start|&gt;assistant
</t>
  </si>
  <si>
    <t xml:space="preserve">For the BR reactor,-r_{A} =k\times c_{A}^2 kmol/(L*min), c_{A} =c_{A0} \times (1-x_{A} ) ,the residence time \tau is obtained by c_{A0}\times\int_{0}^{x_{f}}\frac{dx_{A}}{-r_{A}}. And the reactor volume is \frac{(\tau + t_{assist} )\times Q}{f} The calculated reactor volume V is 4.49 Cubic Meters.
</t>
  </si>
  <si>
    <t>For the BR reactor,-r_{A} =k\times c_{A}^2 kmol/(L*min), c_{A} =c_{A0} \times (1-x_{A} ) ,the residence time \tau is obtained by c_{A0}\times\int_{0}^{x_{f}}\frac{dx_{A}}{-r_{A}}. And the reactor volume is \frac{(\tau + t_{assist} )\times Q}{f} The calculated reactor volume V is 5.93 Cubic Meters.</t>
  </si>
  <si>
    <t xml:space="preserve">&lt;|im_start|&gt;system
You are a helpful assistant.&lt;|im_end|&gt;
&lt;|im_start|&gt;user
Please calculate the reactor volume with following conditions？
It is planned to carry out the reaction A+B \longrightarrow C in BR. The experimentally determined reaction kinetic equation is -r_{A}=k\times c_{A}^2 kmol/(L*min), the reaction kinetic constant k=0.009.The initial concentration of raw material A c_{A0} is 0.95 kmol/m3., the conversion rate is 0.573. The feed volumetric flow rate Q is 0.895 kmol/m3, the auxiliary production time t_{assist} is 1 h, and the loading factor f is 0.72.&lt;|im_end|&gt;
&lt;|im_start|&gt;assistant
</t>
  </si>
  <si>
    <t xml:space="preserve">For the PFR reactor,-r_{A} =k\times c_{A}^2 kmol/(L*min), c_{A} =c_{A0} \times (1-x_{A} ) ,the residence time \tau is obtained by c_{A0}\times\int_{0}^{x_{f}}\frac{dx_{A}}{-r_{A}}. The residence time \tau of the PFR reactor is 0.86 h.
</t>
  </si>
  <si>
    <t>For the PFR reactor,-r_{A} =k\times c_{A}^2 kmol/(L*min), c_{A} =c_{A0} \times (1-x_{A} ) ,the residence time \tau is obtained by c_{A0}\times\int_{0}^{x_{f}}\frac{dx_{A}}{-r_{A}}. The residence time \tau of the PFR reactor is 1.36 h.</t>
  </si>
  <si>
    <t xml:space="preserve">&lt;|im_start|&gt;system
You are a helpful assistant.&lt;|im_end|&gt;
&lt;|im_start|&gt;user
Please calculate the residence time with following conditions?
It is planned to carry out the reaction A+B \longrightarrow C in PFR. The experimentally determined reaction kinetic equation is -r_{A}=k\times c_{A}^2 kmol/(L*min), the reaction kinetic constant k=0.006.The initial concentration of raw material A c_{A0} is 8.69 kmol/m3., the conversion rate is 0.728. The feed volumetric flow rate Q is 0.825 kmol/m3.&lt;|im_end|&gt;
&lt;|im_start|&gt;assistant
</t>
  </si>
  <si>
    <t xml:space="preserve">For the CSTR reactor,-r_{A} =k\times c_{A}^2 kmol/(L*min), c_{A} =c_{A0} \times (1-x_{A} ) the residence time \tau is calculated by \frac{c_{A0} \times x_{f} }{-r_{A} } . The residence time \tau of the CSTR reactor is 12.11 h.
</t>
  </si>
  <si>
    <t>For the CSTR reactor,-r_{A} =k\times c_{A}^2 kmol/(L*min), c_{A} =c_{A0} \times (1-x_{A} ) the residence time \tau is calculated by \frac{c_{A0} \times x_{f} }{-r_{A} } . The residence time \tau of the CSTR reactor is 18.79 h.</t>
  </si>
  <si>
    <t xml:space="preserve">&lt;|im_start|&gt;system
You are a helpful assistant.&lt;|im_end|&gt;
&lt;|im_start|&gt;user
Please calculate the residence time with following conditions?
It is planned to carry out the reaction A+B \longrightarrow C in CSTR. The experimentally determined reaction kinetic equation is -r_{A}=k\times c_{A}^2 kmol/(L*min), the reaction kinetic constant k=0.01.The initial concentration of raw material A c_{A0} is 5.2 kmol/m3., the conversion rate is 0.85. The feed volumetric flow rate Q is 0.305 kmol/m3.&lt;|im_end|&gt;
&lt;|im_start|&gt;assistant
</t>
  </si>
  <si>
    <t xml:space="preserve">For the PFR reactor,-r_{A} =k\times c_{A}^3 kmol/(L*min), c_{A} =c_{A0} \times (1-x_{A} ) ,the residence time \tau is obtained by c_{A0}\times\int_{0}^{x_{f}}\frac{dx_{A}}{-r_{A}}. The residence time \tau of the PFR reactor is 68.15 h.
</t>
  </si>
  <si>
    <t>For the PFR reactor,-r_{A} =k\times c_{A}^3 kmol/(L*min), c_{A} =c_{A0} \times (1-x_{A} ) ,the residence time \tau is obtained by c_{A0}\times\int_{0}^{x_{f}}\frac{dx_{A}}{-r_{A}}. The residence time \tau of the PFR reactor is 60.2 h.</t>
  </si>
  <si>
    <t xml:space="preserve">&lt;|im_start|&gt;system
You are a helpful assistant.&lt;|im_end|&gt;
&lt;|im_start|&gt;user
Please calculate the residence time with following conditions?
It is planned to carry out the reaction A+B \longrightarrow C in PFR. The experimentally determined reaction kinetic equation is -r_{A}=k\times c_{A}^3 kmol/(L*min), the reaction kinetic constant k=0.007.The initial concentration of raw material A c_{A0} is 9.44 kmol/m3., the conversion rate is 0.986. The feed volumetric flow rate Q is 0.224 kmol/m3.&lt;|im_end|&gt;
&lt;|im_start|&gt;assistant
</t>
  </si>
  <si>
    <t xml:space="preserve">For the BR reactor,-r_{A} =k\times c_{A}^2\times c_{B}^2 kmol/(L*min), c_{A} =c_{A0} \times (1-x_{A} ), c_{B} =c_{B0} - c_{A0} \times x_{A}, the residence time \tau is obtained by c_{A0}\times\int_{0}^{x_{f}}\frac{dx_{A}}{-r_{A}}. The residence time \tau of the BR reactor is 0.08 h.
</t>
  </si>
  <si>
    <t>For the BR reactor,-r_{A} =k\times c_{A}^2\times c_{B}^2 kmol/(L*min), c_{A} =c_{A0} \times (1-x_{A} ), c_{B} =c_{B0} - c_{A0} \times x_{A}, the residence time \tau is obtained by c_{A0}\times\int_{0}^{x_{f}}\frac{dx_{A}}{-r_{A}}. The residence time \tau of the BR reactor is 0.56 h.</t>
  </si>
  <si>
    <t xml:space="preserve">&lt;|im_start|&gt;system
You are a helpful assistant.&lt;|im_end|&gt;
&lt;|im_start|&gt;user
Please calculate the residence time with following conditions?
It is planned to carry out the reaction A+B \longrightarrow C in BR. The experimentally determined reaction kinetic equation is -r_{A}=k\times c_{A}^2\times c_{B}^2 kmol/(L*min), the reaction kinetic constant k=0.005.The initial concentration of raw material A c_{A0}2.41 kmol/m3, and the concentration of raw material B is c_{B0}6.35 kmol/m3., the conversion rate is 0.62. The feed volumetric flow rate Q is 0.668 kmol/m3, the auxiliary production time t_{assist} is 2 h, and the loading factor f is 0.74.&lt;|im_end|&gt;
&lt;|im_start|&gt;assistant
</t>
  </si>
  <si>
    <t xml:space="preserve">For the CSTR reactor,-r_{A} =k\times c_{A}^3\times c_{B}^2 kmol/(L*min), c_{A} =c_{A0} \times (1-x_{A} ), c_{B} =c_{B0}- c_{A0} \times x_{A}, the residence time \tau is calculated by \frac{c_{A0} \times x_{f} }{-r_{A} }. The residence time \tau of the CSTR reactor is 1453.49 h.
</t>
  </si>
  <si>
    <t>For the CSTR reactor,-r_{A} =k\times c_{A}^3\times c_{B}^2 kmol/(L*min), c_{A} =c_{A0} \times (1-x_{A} ), c_{B} =c_{B0}- c_{A0} \times x_{A}, the residence time \tau is calculated by \frac{c_{A0} \times x_{f} }{-r_{A} }. The residence time \tau of the CSTR reactor is 14.84 h.</t>
  </si>
  <si>
    <t xml:space="preserve">&lt;|im_start|&gt;system
You are a helpful assistant.&lt;|im_end|&gt;
&lt;|im_start|&gt;user
Please calculate the residence time with following conditions?
It is planned to carry out the reaction A+B \longrightarrow C in CSTR. The experimentally determined reaction kinetic equation is -r_{A}=k\times c_{A}^3\times c_{B}^2 kmol/(L*min), the reaction kinetic constant k=0.007.The initial concentration of raw material A c_{A0}1.23 kmol/m3, and the concentration of raw material B is c_{B0}7.43 kmol/m3., the conversion rate is 0.97. The feed volumetric flow rate Q is 0.154 kmol/m3.&lt;|im_end|&gt;
&lt;|im_start|&gt;assistant
</t>
  </si>
  <si>
    <t xml:space="preserve">For the BR reactor,-r_{A} =k\times c_{A}^2\times c_{B}^2 kmol/(L*min), c_{A} =c_{A0} \times (1-x_{A} ), c_{B} =c_{B0}- c_{A0} \times x_{A}, the residence time \tau is obtained by c_{A0}\times\int_{0}^{x_{f}}\frac{dx_{A}}{-r_{A}}. And the reactor volume is \frac{(\tau + t_{assist} )\times Q}{f} The calculated reactor volume V is 0.04 Cubic Meters.
</t>
  </si>
  <si>
    <t>For the BR reactor,-r_{A} =k\times c_{A}^2\times c_{B}^2 kmol/(L*min), c_{A} =c_{A0} \times (1-x_{A} ), c_{B} =c_{B0}- c_{A0} \times x_{A}, the residence time \tau is obtained by c_{A0}\times\int_{0}^{x_{f}}\frac{dx_{A}}{-r_{A}}. And the reactor volume is \frac{(\tau + t_{assist} )\times Q}{f} The calculated reactor volume V is 0.09 Cubic Meters.</t>
  </si>
  <si>
    <t xml:space="preserve">&lt;|im_start|&gt;system
You are a helpful assistant.&lt;|im_end|&gt;
&lt;|im_start|&gt;user
Please calculate the reactor volume with following conditions？
It is planned to carry out the reaction A+B \longrightarrow C in BR. The experimentally determined reaction kinetic equation is -r_{A}=k\times c_{A}^2\times c_{B}^2 kmol/(L*min), the reaction kinetic constant k=0.003.The initial concentration of raw material A c_{A0}9.4 kmol/m3, and the concentration of raw material B is c_{B0}9.64 kmol/m3., the conversion rate is 0.542. The feed volumetric flow rate Q is 0.896 kmol/m3, the auxiliary production time t_{assist} is 0 h, and the loading factor f is 0.49.&lt;|im_end|&gt;
&lt;|im_start|&gt;assistant
</t>
  </si>
  <si>
    <t xml:space="preserve">For the CSTR reactor,-r_{A} =k\times c_{A}^1\times c_{B}^2 kmol/(L*min), c_{A} =c_{A0} \times (1-x_{A} ), c_{B} =c_{B0}- c_{A0} \times x_{A}, the residence time \tau is calculated by \frac{c_{A0} \times x_{f} }{-r_{A} }. And the reactor volume is \tau \times Q The calculated reactor volume V is 11.92 Cubic Meters.
</t>
  </si>
  <si>
    <t>For the CSTR reactor,-r_{A} =k\times c_{A}^1\times c_{B}^2 kmol/(L*min), c_{A} =c_{A0} \times (1-x_{A} ), c_{B} =c_{B0}- c_{A0} \times x_{A}, the residence time \tau is calculated by \frac{c_{A0} \times x_{f} }{-r_{A} }. And the reactor volume is \tau \times Q The calculated reactor volume V is 559.77 Cubic Meters.</t>
  </si>
  <si>
    <t xml:space="preserve">&lt;|im_start|&gt;system
You are a helpful assistant.&lt;|im_end|&gt;
&lt;|im_start|&gt;user
Please calculate the reactor volume with following conditions？
It is planned to carry out the reaction A+B \longrightarrow C in CSTR. The experimentally determined reaction kinetic equation is -r_{A}=k\times c_{A}^1\times c_{B}^2 kmol/(L*min), the reaction kinetic constant k=0.008.The initial concentration of raw material A c_{A0}1.65 kmol/m3, and the concentration of raw material B is c_{B0}5.09 kmol/m3., the conversion rate is 0.988. The feed volumetric flow rate Q is 0.832 kmol/m3.&lt;|im_end|&gt;
&lt;|im_start|&gt;assistant
</t>
  </si>
  <si>
    <t xml:space="preserve">For the PFR reactor,-r_{A} =k\times c_{A}^2\times c_{B}^3 kmol/(L*min), c_{A} =c_{A0} \times (1-x_{A} ), c_{B} =c_{B0}- c_{A0} \times x_{A}, the residence time \tau is obtained by c_{A0}\times\int_{0}^{x_{f}}\frac{dx_{A}}{-r_{A}}. And the reactor volume is \tau \times Q The calculated reactor volume V is 2.63 Cubic Meters.
</t>
  </si>
  <si>
    <t>For the PFR reactor,-r_{A} =k\times c_{A}^2\times c_{B}^3 kmol/(L*min), c_{A} =c_{A0} \times (1-x_{A} ), c_{B} =c_{B0}- c_{A0} \times x_{A}, the residence time \tau is obtained by c_{A0}\times\int_{0}^{x_{f}}\frac{dx_{A}}{-r_{A}}. And the reactor volume is \tau \times Q The calculated reactor volume V is 0.09 Cubic Meters.</t>
  </si>
  <si>
    <t xml:space="preserve">&lt;|im_start|&gt;system
You are a helpful assistant.&lt;|im_end|&gt;
&lt;|im_start|&gt;user
Please calculate the reactor volume with following conditions？
It is planned to carry out the reaction A+B \longrightarrow C in PFR. The experimentally determined reaction kinetic equation is -r_{A}=k\times c_{A}^2\times c_{B}^3 kmol/(L*min), the reaction kinetic constant k=0.007.The initial concentration of raw material A c_{A0}4.83 kmol/m3, and the concentration of raw material B is c_{B0}4.41 kmol/m3., the conversion rate is 0.808. The feed volumetric flow rate Q is 0.79 kmol/m3.&lt;|im_end|&gt;
&lt;|im_start|&gt;assistant
</t>
  </si>
  <si>
    <t xml:space="preserve">For the CSTR reactor,-r_{A} =k\times c_{A}^1 kmol/(L*min), c_{A} =c_{A0} \times (1-x_{A} ) the residence time \tau is calculated by \frac{c_{A0} \times x_{f} }{-r_{A} }. And the reactor volume is \tau \times Q The calculated reactor volume V is 0.29 Cubic Meters.
</t>
  </si>
  <si>
    <t>For the CSTR reactor,-r_{A} =k\times c_{A}^1 kmol/(L*min), c_{A} =c_{A0} \times (1-x_{A} ) the residence time \tau is calculated by \frac{c_{A0} \times x_{f} }{-r_{A} }. And the reactor volume is \tau \times Q The calculated reactor volume V is 0.82 Cubic Meters.</t>
  </si>
  <si>
    <t xml:space="preserve">&lt;|im_start|&gt;system
You are a helpful assistant.&lt;|im_end|&gt;
&lt;|im_start|&gt;user
Please calculate the reactor volume with following conditions？
It is planned to carry out the reaction A+B \longrightarrow C in CSTR. The experimentally determined reaction kinetic equation is -r_{A}=k\times c_{A}^1 kmol/(L*min), the reaction kinetic constant k=0.003.The initial concentration of raw material A c_{A0} is 6.27 kmol/m3., the conversion rate is 0.617. The feed volumetric flow rate Q is 0.032 kmol/m3.&lt;|im_end|&gt;
&lt;|im_start|&gt;assistant
</t>
  </si>
  <si>
    <t xml:space="preserve">For the PFR reactor,-r_{A} =k\times c_{A}^3\times c_{B}^2 kmol/(L*min), c_{A} =c_{A0} \times (1-x_{A} ), c_{B} =c_{B0} - c_{A0} \times x_{A}, the residence time \tau is obtained by c_{A0}\times\int_{0}^{x_{f}}\frac{dx_{A}}{-r_{A}}. The residence time \tau of the PFR reactor is 3.36 h.
</t>
  </si>
  <si>
    <t>For the PFR reactor,-r_{A} =k\times c_{A}^3\times c_{B}^2 kmol/(L*min), c_{A} =c_{A0} \times (1-x_{A} ), c_{B} =c_{B0} - c_{A0} \times x_{A}, the residence time \tau is obtained by c_{A0}\times\int_{0}^{x_{f}}\frac{dx_{A}}{-r_{A}}. The residence time \tau of the PFR reactor is 0.01 h.</t>
  </si>
  <si>
    <t xml:space="preserve">&lt;|im_start|&gt;system
You are a helpful assistant.&lt;|im_end|&gt;
&lt;|im_start|&gt;user
Please calculate the residence time with following conditions?
It is planned to carry out the reaction A+B \longrightarrow C in PFR. The experimentally determined reaction kinetic equation is -r_{A}=k\times c_{A}^3\times c_{B}^2 kmol/(L*min), the reaction kinetic constant k=0.006.The initial concentration of raw material A c_{A0}0.68 kmol/m3, and the concentration of raw material B is c_{B0}5.14 kmol/m3., the conversion rate is 0.802. The feed volumetric flow rate Q is 0.599 kmol/m3.&lt;|im_end|&gt;
&lt;|im_start|&gt;assistant
</t>
  </si>
  <si>
    <t xml:space="preserve">For the PFR reactor,-r_{A} =k\times c_{A}^3 kmol/(L*min), c_{A} =c_{A0} \times (1-x_{A} ) ,the residence time \tau is obtained by c_{A0}\times\int_{0}^{x_{f}}\frac{dx_{A}}{-r_{A}}. And the reactor volume is \tau \times Q The calculated reactor volume V is 0.07 Cubic Meters.
</t>
  </si>
  <si>
    <t>For the PFR reactor,-r_{A} =k\times c_{A}^3 kmol/(L*min), c_{A} =c_{A0} \times (1-x_{A} ) ,the residence time \tau is obtained by c_{A0}\times\int_{0}^{x_{f}}\frac{dx_{A}}{-r_{A}}. And the reactor volume is \tau \times Q The calculated reactor volume V is 0.09 Cubic Meters.</t>
  </si>
  <si>
    <t xml:space="preserve">&lt;|im_start|&gt;system
You are a helpful assistant.&lt;|im_end|&gt;
&lt;|im_start|&gt;user
Please calculate the reactor volume with following conditions？
It is planned to carry out the reaction A+B \longrightarrow C in PFR. The experimentally determined reaction kinetic equation is -r_{A}=k\times c_{A}^3 kmol/(L*min), the reaction kinetic constant k=0.006.The initial concentration of raw material A c_{A0} is 8.8 kmol/m3., the conversion rate is 0.588. The feed volumetric flow rate Q is 0.749 kmol/m3.&lt;|im_end|&gt;
&lt;|im_start|&gt;assistant
</t>
  </si>
  <si>
    <t xml:space="preserve">For the BR reactor,-r_{A} =k\times c_{A}^3\times c_{B}^2 kmol/(L*min), c_{A} =c_{A0} \times (1-x_{A} ), c_{B} =c_{B0} - c_{A0} \times x_{A}, the residence time \tau is obtained by c_{A0}\times\int_{0}^{x_{f}}\frac{dx_{A}}{-r_{A}}. The residence time \tau of the BR reactor is 26.13 h.
</t>
  </si>
  <si>
    <t>For the BR reactor,-r_{A} =k\times c_{A}^3\times c_{B}^2 kmol/(L*min), c_{A} =c_{A0} \times (1-x_{A} ), c_{B} =c_{B0} - c_{A0} \times x_{A}, the residence time \tau is obtained by c_{A0}\times\int_{0}^{x_{f}}\frac{dx_{A}}{-r_{A}}. The residence time \tau of the BR reactor is 1593447047771.16 (h).</t>
  </si>
  <si>
    <t xml:space="preserve">&lt;|im_start|&gt;system
You are a helpful assistant.&lt;|im_end|&gt;
&lt;|im_start|&gt;user
Please calculate the residence time with following conditions?
It is planned to carry out the reaction A+B \longrightarrow C in BR. The experimentally determined reaction kinetic equation is -r_{A}=k\times c_{A}^3\times c_{B}^2 kmol/(L*min), the reaction kinetic constant k=0.002.The initial concentration of raw material A c_{A0}9.16 kmol/m3, and the concentration of raw material B is c_{B0}4.2 kmol/m3., the conversion rate is 0.974. The feed volumetric flow rate Q is 0.954 kmol/m3, the auxiliary production time t_{assist} is 3 h, and the loading factor f is 0.63.&lt;|im_end|&gt;
&lt;|im_start|&gt;assistant
</t>
  </si>
  <si>
    <t xml:space="preserve">For the PFR reactor,-r_{A} =k\times c_{A}^2 kmol/(L*min), c_{A} =c_{A0} \times (1-x_{A} ) ,the residence time \tau is obtained by c_{A0}\times\int_{0}^{x_{f}}\frac{dx_{A}}{-r_{A}}. And the reactor volume is \tau \times Q The calculated reactor volume V is 1.06 Cubic Meters.
</t>
  </si>
  <si>
    <t>For the PFR reactor,-r_{A} =k\times c_{A}^2 kmol/(L*min), c_{A} =c_{A0} \times (1-x_{A} ) ,the residence time \tau is obtained by c_{A0}\times\int_{0}^{x_{f}}\frac{dx_{A}}{-r_{A}}. And the reactor volume is \tau \times Q The calculated reactor volume V is 0.62 Cubic Meters.</t>
  </si>
  <si>
    <t xml:space="preserve">&lt;|im_start|&gt;system
You are a helpful assistant.&lt;|im_end|&gt;
&lt;|im_start|&gt;user
Please calculate the reactor volume with following conditions？
It is planned to carry out the reaction A+B \longrightarrow C in PFR. The experimentally determined reaction kinetic equation is -r_{A}=k\times c_{A}^2 kmol/(L*min), the reaction kinetic constant k=0.007.The initial concentration of raw material A c_{A0} is 2.1 kmol/m3., the conversion rate is 0.521. The feed volumetric flow rate Q is 0.859 kmol/m3.&lt;|im_end|&gt;
&lt;|im_start|&gt;assistant
</t>
  </si>
  <si>
    <t xml:space="preserve">For the BR reactor,-r_{A} =k\times c_{A}^2 kmol/(L*min), c_{A} =c_{A0} \times (1-x_{A} ) ,the residence time \tau is obtained by c_{A0}\times\int_{0}^{x_{f}}\frac{dx_{A}}{-r_{A}}. The residence time \tau of the BR reactor is 33.21 h.
</t>
  </si>
  <si>
    <t>For the BR reactor,-r_{A} =k\times c_{A}^2 kmol/(L*min), c_{A} =c_{A0} \times (1-x_{A} ) ,the residence time \tau is obtained by c_{A0}\times\int_{0}^{x_{f}}\frac{dx_{A}}{-r_{A}}. The residence time \tau of the BR reactor is 10.76 h.</t>
  </si>
  <si>
    <t xml:space="preserve">&lt;|im_start|&gt;system
You are a helpful assistant.&lt;|im_end|&gt;
&lt;|im_start|&gt;user
Please calculate the residence time with following conditions?
It is planned to carry out the reaction A+B \longrightarrow C in BR. The experimentally determined reaction kinetic equation is -r_{A}=k\times c_{A}^2 kmol/(L*min), the reaction kinetic constant k=0.002.The initial concentration of raw material A c_{A0} is 1.4 kmol/m3., the conversion rate is 0.848. The feed volumetric flow rate Q is 0.178 kmol/m3, the auxiliary production time t_{assist} is 3 h, and the loading factor f is 0.43.&lt;|im_end|&gt;
&lt;|im_start|&gt;assistant
</t>
  </si>
  <si>
    <t xml:space="preserve">For the PFR reactor,-r_{A} =k\times c_{A}^1\times c_{B}^1 kmol/(L*min), c_{A} =c_{A0} \times (1-x_{A} ), c_{B} =c_{B0}- c_{A0} \times x_{A}, the residence time \tau is obtained by c_{A0}\times\int_{0}^{x_{f}}\frac{dx_{A}}{-r_{A}}. And the reactor volume is \tau \times Q The calculated reactor volume V is 0.59 Cubic Meters.
</t>
  </si>
  <si>
    <t>For the PFR reactor,-r_{A} =k\times c_{A}^1\times c_{B}^1 kmol/(L*min), c_{A} =c_{A0} \times (1-x_{A} ), c_{B} =c_{B0}- c_{A0} \times x_{A}, the residence time \tau is obtained by c_{A0}\times\int_{0}^{x_{f}}\frac{dx_{A}}{-r_{A}}. And the reactor volume is \tau \times Q The calculated reactor volume V is 1.31 Cubic Meters.</t>
  </si>
  <si>
    <t xml:space="preserve">&lt;|im_start|&gt;system
You are a helpful assistant.&lt;|im_end|&gt;
&lt;|im_start|&gt;user
Please calculate the reactor volume with following conditions？
It is planned to carry out the reaction A+B \longrightarrow C in PFR. The experimentally determined reaction kinetic equation is -r_{A}=k\times c_{A}^1\times c_{B}^1 kmol/(L*min), the reaction kinetic constant k=0.008.The initial concentration of raw material A c_{A0}4.13 kmol/m3, and the concentration of raw material B is c_{B0}8.2 kmol/m3., the conversion rate is 0.844. The feed volumetric flow rate Q is 0.877 kmol/m3.&lt;|im_end|&gt;
&lt;|im_start|&gt;assistant
</t>
  </si>
  <si>
    <t xml:space="preserve">For the BR reactor,-r_{A} =k\times c_{A}^2 kmol/(L*min), c_{A} =c_{A0} \times (1-x_{A} ) ,the residence time \tau is obtained by c_{A0}\times\int_{0}^{x_{f}}\frac{dx_{A}}{-r_{A}}. And the reactor volume is \frac{(\tau + t_{assist} )\times Q}{f} The calculated reactor volume V is 5.84 Cubic Meters.
</t>
  </si>
  <si>
    <t>For the BR reactor,-r_{A} =k\times c_{A}^2 kmol/(L*min), c_{A} =c_{A0} \times (1-x_{A} ) ,the residence time \tau is obtained by c_{A0}\times\int_{0}^{x_{f}}\frac{dx_{A}}{-r_{A}}. And the reactor volume is \frac{(\tau + t_{assist} )\times Q}{f} The calculated reactor volume V is 15.31 Cubic Meters.</t>
  </si>
  <si>
    <t xml:space="preserve">&lt;|im_start|&gt;system
You are a helpful assistant.&lt;|im_end|&gt;
&lt;|im_start|&gt;user
Please calculate the reactor volume with following conditions？
It is planned to carry out the reaction A+B \longrightarrow C in BR. The experimentally determined reaction kinetic equation is -r_{A}=k\times c_{A}^2 kmol/(L*min), the reaction kinetic constant k=0.008.The initial concentration of raw material A c_{A0} is 6.42 kmol/m3., the conversion rate is 0.796. The feed volumetric flow rate Q is 0.965 kmol/m3, the auxiliary production time t_{assist} is 2 h, and the loading factor f is 0.54.&lt;|im_end|&gt;
&lt;|im_start|&gt;assistant
</t>
  </si>
  <si>
    <t xml:space="preserve">For the PFR reactor,-r_{A} =k\times c_{A}^3\times c_{B}^3 kmol/(L*min), c_{A} =c_{A0} \times (1-x_{A} ), c_{B} =c_{B0} - c_{A0} \times x_{A}, the residence time \tau is obtained by c_{A0}\times\int_{0}^{x_{f}}\frac{dx_{A}}{-r_{A}}. The residence time \tau of the PFR reactor is 0.03 h.
</t>
  </si>
  <si>
    <t>For the PFR reactor,-r_{A} =k\times c_{A}^3\times c_{B}^3 kmol/(L*min), c_{A} =c_{A0} \times (1-x_{A} ), c_{B} =c_{B0} - c_{A0} \times x_{A}, the residence time \tau is obtained by c_{A0}\times\int_{0}^{x_{f}}\frac{dx_{A}}{-r_{A}}. The residence time \tau of the PFR reactor is 0.13 h.</t>
  </si>
  <si>
    <t xml:space="preserve">&lt;|im_start|&gt;system
You are a helpful assistant.&lt;|im_end|&gt;
&lt;|im_start|&gt;user
Please calculate the residence time with following conditions?
It is planned to carry out the reaction A+B \longrightarrow C in PFR. The experimentally determined reaction kinetic equation is -r_{A}=k\times c_{A}^3\times c_{B}^3 kmol/(L*min), the reaction kinetic constant k=0.006.The initial concentration of raw material A c_{A0}2.41 kmol/m3, and the concentration of raw material B is c_{B0}4.32 kmol/m3., the conversion rate is 0.589. The feed volumetric flow rate Q is 0.977 kmol/m3.&lt;|im_end|&gt;
&lt;|im_start|&gt;assistant
</t>
  </si>
  <si>
    <t xml:space="preserve">For the CSTR reactor,-r_{A} =k\times c_{A}^2\times c_{B}^2 kmol/(L*min), c_{A} =c_{A0} \times (1-x_{A} ), c_{B} =c_{B0}- c_{A0} \times x_{A}, the residence time \tau is calculated by \frac{c_{A0} \times x_{f} }{-r_{A} }. The residence time \tau of the CSTR reactor is 6.2 h.
</t>
  </si>
  <si>
    <t>For the CSTR reactor,-r_{A} =k\times c_{A}^2\times c_{B}^2 kmol/(L*min), c_{A} =c_{A0} \times (1-x_{A} ), c_{B} =c_{B0}- c_{A0} \times x_{A}, the residence time \tau is calculated by \frac{c_{A0} \times x_{f} }{-r_{A} }. The residence time \tau of the CSTR reactor is 1569.83 h.</t>
  </si>
  <si>
    <t xml:space="preserve">&lt;|im_start|&gt;system
You are a helpful assistant.&lt;|im_end|&gt;
&lt;|im_start|&gt;user
Please calculate the residence time with following conditions?
It is planned to carry out the reaction A+B \longrightarrow C in CSTR. The experimentally determined reaction kinetic equation is -r_{A}=k\times c_{A}^2\times c_{B}^2 kmol/(L*min), the reaction kinetic constant k=0.003.The initial concentration of raw material A c_{A0}3.02 kmol/m3, and the concentration of raw material B is c_{B0}9.31 kmol/m3., the conversion rate is 0.92. The feed volumetric flow rate Q is 0.355 kmol/m3.&lt;|im_end|&gt;
&lt;|im_start|&gt;assistant
</t>
  </si>
  <si>
    <t xml:space="preserve">For the CSTR reactor,-r_{A} =k\times c_{A}^3\times c_{B}^3 kmol/(L*min), c_{A} =c_{A0} \times (1-x_{A} ), c_{B} =c_{B0}- c_{A0} \times x_{A}, the residence time \tau is calculated by \frac{c_{A0} \times x_{f} }{-r_{A} }. The residence time \tau of the CSTR reactor is 9.53 h.
</t>
  </si>
  <si>
    <t>For the CSTR reactor,-r_{A} =k\times c_{A}^3\times c_{B}^3 kmol/(L*min), c_{A} =c_{A0} \times (1-x_{A} ), c_{B} =c_{B0}- c_{A0} \times x_{A}, the residence time \tau is calculated by \frac{c_{A0} \times x_{f} }{-r_{A} }. The residence time \tau of the CSTR reactor is 15783.38 h.</t>
  </si>
  <si>
    <t xml:space="preserve">&lt;|im_start|&gt;system
You are a helpful assistant.&lt;|im_end|&gt;
&lt;|im_start|&gt;user
Please calculate the residence time with following conditions?
It is planned to carry out the reaction A+B \longrightarrow C in CSTR. The experimentally determined reaction kinetic equation is -r_{A}=k\times c_{A}^3\times c_{B}^3 kmol/(L*min), the reaction kinetic constant k=0.01.The initial concentration of raw material A c_{A0}0.62 kmol/m3, and the concentration of raw material B is c_{B0}4.66 kmol/m3., the conversion rate is 0.826. The feed volumetric flow rate Q is 0.239 kmol/m3.&lt;|im_end|&gt;
&lt;|im_start|&gt;assistant
</t>
  </si>
  <si>
    <t xml:space="preserve">For the PFR reactor,-r_{A} =k\times c_{A}^2 kmol/(L*min), c_{A} =c_{A0} \times (1-x_{A} ) ,the residence time \tau is obtained by c_{A0}\times\int_{0}^{x_{f}}\frac{dx_{A}}{-r_{A}}. The residence time \tau of the PFR reactor is 1.21 h.
</t>
  </si>
  <si>
    <t>For the PFR reactor,-r_{A} =k\times c_{A}^2 kmol/(L*min), c_{A} =c_{A0} \times (1-x_{A} ) ,the residence time \tau is obtained by c_{A0}\times\int_{0}^{x_{f}}\frac{dx_{A}}{-r_{A}}. The residence time \tau of the PFR reactor is 5.99 h.</t>
  </si>
  <si>
    <t xml:space="preserve">&lt;|im_start|&gt;system
You are a helpful assistant.&lt;|im_end|&gt;
&lt;|im_start|&gt;user
Please calculate the residence time with following conditions?
It is planned to carry out the reaction A+B \longrightarrow C in PFR. The experimentally determined reaction kinetic equation is -r_{A}=k\times c_{A}^2 kmol/(L*min), the reaction kinetic constant k=0.006.The initial concentration of raw material A c_{A0} is 5.56 kmol/m3., the conversion rate is 0.707. The feed volumetric flow rate Q is 0.192 kmol/m3.&lt;|im_end|&gt;
&lt;|im_start|&gt;assistant
</t>
  </si>
  <si>
    <t xml:space="preserve">For the PFR reactor,-r_{A} =k\times c_{A}^2 kmol/(L*min), c_{A} =c_{A0} \times (1-x_{A} ) ,the residence time \tau is obtained by c_{A0}\times\int_{0}^{x_{f}}\frac{dx_{A}}{-r_{A}}. And the reactor volume is \tau \times Q The calculated reactor volume V is 0.52 Cubic Meters.
</t>
  </si>
  <si>
    <t xml:space="preserve">&lt;|im_start|&gt;system
You are a helpful assistant.&lt;|im_end|&gt;
&lt;|im_start|&gt;user
Please calculate the reactor volume with following conditions？
It is planned to carry out the reaction A+B \longrightarrow C in PFR. The experimentally determined reaction kinetic equation is -r_{A}=k\times c_{A}^2 kmol/(L*min), the reaction kinetic constant k=0.006.The initial concentration of raw material A c_{A0} is 2.18 kmol/m3., the conversion rate is 0.85. The feed volumetric flow rate Q is 0.072 kmol/m3.&lt;|im_end|&gt;
&lt;|im_start|&gt;assistant
</t>
  </si>
  <si>
    <t xml:space="preserve">For the BR reactor,-r_{A} =k\times c_{A}^1 kmol/(L*min), c_{A} =c_{A0} \times (1-x_{A} ) ,the residence time \tau is obtained by c_{A0}\times\int_{0}^{x_{f}}\frac{dx_{A}}{-r_{A}}. And the reactor volume is \frac{(\tau + t_{assist} )\times Q}{f} The calculated reactor volume V is 2.43 Cubic Meters.
</t>
  </si>
  <si>
    <t>For the BR reactor,-r_{A} =k\times c_{A}^1 kmol/(L*min), c_{A} =c_{A0} \times (1-x_{A} ) ,the residence time \tau is obtained by c_{A0}\times\int_{0}^{x_{f}}\frac{dx_{A}}{-r_{A}}. And the reactor volume is \frac{(\tau + t_{assist} )\times Q}{f} The calculated reactor volume V is 5.33 Cubic Meters.</t>
  </si>
  <si>
    <t xml:space="preserve">&lt;|im_start|&gt;system
You are a helpful assistant.&lt;|im_end|&gt;
&lt;|im_start|&gt;user
Please calculate the reactor volume with following conditions？
It is planned to carry out the reaction A+B \longrightarrow C in BR. The experimentally determined reaction kinetic equation is -r_{A}=k\times c_{A}^1 kmol/(L*min), the reaction kinetic constant k=0.006.The initial concentration of raw material A c_{A0} is 4.37 kmol/m3., the conversion rate is 0.521. The feed volumetric flow rate Q is 0.462 kmol/m3, the auxiliary production time t_{assist} is 2 h, and the loading factor f is 0.77.&lt;|im_end|&gt;
&lt;|im_start|&gt;assistant
</t>
  </si>
  <si>
    <t xml:space="preserve">For the PFR reactor,-r_{A} =k\times c_{A}^3 kmol/(L*min), c_{A} =c_{A0} \times (1-x_{A} ) ,the residence time \tau is obtained by c_{A0}\times\int_{0}^{x_{f}}\frac{dx_{A}}{-r_{A}}. The residence time \tau of the PFR reactor is 0.24 h.
</t>
  </si>
  <si>
    <t>For the PFR reactor,-r_{A} =k\times c_{A}^3 kmol/(L*min), c_{A} =c_{A0} \times (1-x_{A} ) ,the residence time \tau is obtained by c_{A0}\times\int_{0}^{x_{f}}\frac{dx_{A}}{-r_{A}}. The residence time \tau of the PFR reactor is 0.22 h.</t>
  </si>
  <si>
    <t xml:space="preserve">&lt;|im_start|&gt;system
You are a helpful assistant.&lt;|im_end|&gt;
&lt;|im_start|&gt;user
Please calculate the residence time with following conditions?
It is planned to carry out the reaction A+B \longrightarrow C in PFR. The experimentally determined reaction kinetic equation is -r_{A}=k\times c_{A}^3 kmol/(L*min), the reaction kinetic constant k=0.003.The initial concentration of raw material A c_{A0} is 7.96 kmol/m3., the conversion rate is 0.61. The feed volumetric flow rate Q is 0.062 kmol/m3.&lt;|im_end|&gt;
&lt;|im_start|&gt;assistant
</t>
  </si>
  <si>
    <t xml:space="preserve">For the BR reactor,-r_{A} =k\times c_{A}^1\times c_{B}^2 kmol/(L*min), c_{A} =c_{A0} \times (1-x_{A} ), c_{B} =c_{B0} - c_{A0} \times x_{A}, the residence time \tau is obtained by c_{A0}\times\int_{0}^{x_{f}}\frac{dx_{A}}{-r_{A}}. The residence time \tau of the BR reactor is 10.33 h.
</t>
  </si>
  <si>
    <t>For the BR reactor,-r_{A} =k\times c_{A}^1\times c_{B}^2 kmol/(L*min), c_{A} =c_{A0} \times (1-x_{A} ), c_{B} =c_{B0} - c_{A0} \times x_{A}, the residence time \tau is obtained by c_{A0}\times\int_{0}^{x_{f}}\frac{dx_{A}}{-r_{A}}. The residence time \tau of the BR reactor is 1.9 h.</t>
  </si>
  <si>
    <t xml:space="preserve">&lt;|im_start|&gt;system
You are a helpful assistant.&lt;|im_end|&gt;
&lt;|im_start|&gt;user
Please calculate the residence time with following conditions?
It is planned to carry out the reaction A+B \longrightarrow C in BR. The experimentally determined reaction kinetic equation is -r_{A}=k\times c_{A}^1\times c_{B}^2 kmol/(L*min), the reaction kinetic constant k=0.008.The initial concentration of raw material A c_{A0}8.74 kmol/m3, and the concentration of raw material B is c_{B0}8.84 kmol/m3., the conversion rate is 0.971. The feed volumetric flow rate Q is 0.594 kmol/m3, the auxiliary production time t_{assist} is 1 h, and the loading factor f is 0.67.&lt;|im_end|&gt;
&lt;|im_start|&gt;assistant
</t>
  </si>
  <si>
    <t xml:space="preserve">For the PFR reactor,-r_{A} =k\times c_{A}^3 kmol/(L*min), c_{A} =c_{A0} \times (1-x_{A} ) ,the residence time \tau is obtained by c_{A0}\times\int_{0}^{x_{f}}\frac{dx_{A}}{-r_{A}}. And the reactor volume is \tau \times Q The calculated reactor volume V is 0.36 Cubic Meters.
</t>
  </si>
  <si>
    <t>For the PFR reactor,-r_{A} =k\times c_{A}^3 kmol/(L*min), c_{A} =c_{A0} \times (1-x_{A} ) ,the residence time \tau is obtained by c_{A0}\times\int_{0}^{x_{f}}\frac{dx_{A}}{-r_{A}}. And the reactor volume is \tau \times Q The calculated reactor volume V is 0.1 Cubic Meters.</t>
  </si>
  <si>
    <t xml:space="preserve">&lt;|im_start|&gt;system
You are a helpful assistant.&lt;|im_end|&gt;
&lt;|im_start|&gt;user
Please calculate the reactor volume with following conditions？
It is planned to carry out the reaction A+B \longrightarrow C in PFR. The experimentally determined reaction kinetic equation is -r_{A}=k\times c_{A}^3 kmol/(L*min), the reaction kinetic constant k=0.008.The initial concentration of raw material A c_{A0} is 4.13 kmol/m3., the conversion rate is 0.674. The feed volumetric flow rate Q is 0.709 kmol/m3.&lt;|im_end|&gt;
&lt;|im_start|&gt;assistant
</t>
  </si>
  <si>
    <t xml:space="preserve">For the CSTR reactor,-r_{A} =k\times c_{A}^2 kmol/(L*min), c_{A} =c_{A0} \times (1-x_{A} ) the residence time \tau is calculated by \frac{c_{A0} \times x_{f} }{-r_{A} }. And the reactor volume is \tau \times Q The calculated reactor volume V is 31.94 Cubic Meters.
</t>
  </si>
  <si>
    <t>For the CSTR reactor,-r_{A} =k\times c_{A}^2 kmol/(L*min), c_{A} =c_{A0} \times (1-x_{A} ) the residence time \tau is calculated by \frac{c_{A0} \times x_{f} }{-r_{A} }. And the reactor volume is \tau \times Q The calculated reactor volume V is 20.32 Cubic Meters.</t>
  </si>
  <si>
    <t xml:space="preserve">&lt;|im_start|&gt;system
You are a helpful assistant.&lt;|im_end|&gt;
&lt;|im_start|&gt;user
Please calculate the reactor volume with following conditions？
It is planned to carry out the reaction A+B \longrightarrow C in CSTR. The experimentally determined reaction kinetic equation is -r_{A}=k\times c_{A}^2 kmol/(L*min), the reaction kinetic constant k=0.01.The initial concentration of raw material A c_{A0} is 3.01 kmol/m3., the conversion rate is 0.877. The feed volumetric flow rate Q is 0.995 kmol/m3.&lt;|im_end|&gt;
&lt;|im_start|&gt;assistant
</t>
  </si>
  <si>
    <t xml:space="preserve">For the CSTR reactor,-r_{A} =k\times c_{A}^1 kmol/(L*min), c_{A} =c_{A0} \times (1-x_{A} ) the residence time \tau is calculated by \frac{c_{A0} \times x_{f} }{-r_{A} } . The residence time \tau of the CSTR reactor is 29.55 h.
</t>
  </si>
  <si>
    <t>For the CSTR reactor,-r_{A} =k\times c_{A}^1 kmol/(L*min), c_{A} =c_{A0} \times (1-x_{A} ) the residence time \tau is calculated by \frac{c_{A0} \times x_{f} }{-r_{A} } . The residence time \tau of the CSTR reactor is 22.49 h.</t>
  </si>
  <si>
    <t xml:space="preserve">&lt;|im_start|&gt;system
You are a helpful assistant.&lt;|im_end|&gt;
&lt;|im_start|&gt;user
Please calculate the residence time with following conditions?
It is planned to carry out the reaction A+B \longrightarrow C in CSTR. The experimentally determined reaction kinetic equation is -r_{A}=k\times c_{A}^1 kmol/(L*min), the reaction kinetic constant k=0.002.The initial concentration of raw material A c_{A0} is 5.02 kmol/m3., the conversion rate is 0.78. The feed volumetric flow rate Q is 0.595 kmol/m3.&lt;|im_end|&gt;
&lt;|im_start|&gt;assistant
</t>
  </si>
  <si>
    <t xml:space="preserve">For the CSTR reactor,-r_{A} =k\times c_{A}^2\times c_{B}^1 kmol/(L*min), c_{A} =c_{A0} \times (1-x_{A} ), c_{B} =c_{B0}- c_{A0} \times x_{A}, the residence time \tau is calculated by \frac{c_{A0} \times x_{f} }{-r_{A} }. And the reactor volume is \tau \times Q The calculated reactor volume V is 3.29 Cubic Meters.
</t>
  </si>
  <si>
    <t>For the CSTR reactor,-r_{A} =k\times c_{A}^2\times c_{B}^1 kmol/(L*min), c_{A} =c_{A0} \times (1-x_{A} ), c_{B} =c_{B0}- c_{A0} \times x_{A}, the residence time \tau is calculated by \frac{c_{A0} \times x_{f} }{-r_{A} }. And the reactor volume is \tau \times Q The calculated reactor volume V is 0.47 Cubic Meters.</t>
  </si>
  <si>
    <t xml:space="preserve">&lt;|im_start|&gt;system
You are a helpful assistant.&lt;|im_end|&gt;
&lt;|im_start|&gt;user
Please calculate the reactor volume with following conditions？
It is planned to carry out the reaction A+B \longrightarrow C in CSTR. The experimentally determined reaction kinetic equation is -r_{A}=k\times c_{A}^2\times c_{B}^1 kmol/(L*min), the reaction kinetic constant k=0.004.The initial concentration of raw material A c_{A0}1.18 kmol/m3, and the concentration of raw material B is c_{B0}2.68 kmol/m3., the conversion rate is 0.688. The feed volumetric flow rate Q is 0.246 kmol/m3.&lt;|im_end|&gt;
&lt;|im_start|&gt;assistant
</t>
  </si>
  <si>
    <t xml:space="preserve">For the CSTR reactor,-r_{A} =k\times c_{A}^2\times c_{B}^2 kmol/(L*min), c_{A} =c_{A0} \times (1-x_{A} ), c_{B} =c_{B0}- c_{A0} \times x_{A}, the residence time \tau is calculated by \frac{c_{A0} \times x_{f} }{-r_{A} }. And the reactor volume is \tau \times Q The calculated reactor volume V is 9.62 Cubic Meters.
</t>
  </si>
  <si>
    <t>For the CSTR reactor,-r_{A} =k\times c_{A}^2\times c_{B}^2 kmol/(L*min), c_{A} =c_{A0} \times (1-x_{A} ), c_{B} =c_{B0}- c_{A0} \times x_{A}, the residence time \tau is calculated by \frac{c_{A0} \times x_{f} }{-r_{A} }. And the reactor volume is \tau \times Q The calculated reactor volume V is 1.14 Cubic Meters.</t>
  </si>
  <si>
    <t xml:space="preserve">&lt;|im_start|&gt;system
You are a helpful assistant.&lt;|im_end|&gt;
&lt;|im_start|&gt;user
Please calculate the reactor volume with following conditions？
It is planned to carry out the reaction A+B \longrightarrow C in CSTR. The experimentally determined reaction kinetic equation is -r_{A}=k\times c_{A}^2\times c_{B}^2 kmol/(L*min), the reaction kinetic constant k=0.004.The initial concentration of raw material A c_{A0}1.91 kmol/m3, and the concentration of raw material B is c_{B0}1.67 kmol/m3., the conversion rate is 0.587. The feed volumetric flow rate Q is 0.386 kmol/m3.&lt;|im_end|&gt;
&lt;|im_start|&gt;assistant
</t>
  </si>
  <si>
    <t xml:space="preserve">For the PFR reactor,-r_{A} =k\times c_{A}^1 kmol/(L*min), c_{A} =c_{A0} \times (1-x_{A} ) ,the residence time \tau is obtained by c_{A0}\times\int_{0}^{x_{f}}\frac{dx_{A}}{-r_{A}}. The residence time \tau of the PFR reactor is 1.23 h.
</t>
  </si>
  <si>
    <t>For the PFR reactor,-r_{A} =k\times c_{A}^1 kmol/(L*min), c_{A} =c_{A0} \times (1-x_{A} ) ,the residence time \tau is obtained by c_{A0}\times\int_{0}^{x_{f}}\frac{dx_{A}}{-r_{A}}. The residence time \tau of the PFR reactor is 3.41 h.</t>
  </si>
  <si>
    <t xml:space="preserve">&lt;|im_start|&gt;system
You are a helpful assistant.&lt;|im_end|&gt;
&lt;|im_start|&gt;user
Please calculate the residence time with following conditions?
It is planned to carry out the reaction A+B \longrightarrow C in PFR. The experimentally determined reaction kinetic equation is -r_{A}=k\times c_{A}^1 kmol/(L*min), the reaction kinetic constant k=0.01.The initial concentration of raw material A c_{A0} is 3.05 kmol/m3., the conversion rate is 0.521. The feed volumetric flow rate Q is 0.673 kmol/m3.&lt;|im_end|&gt;
&lt;|im_start|&gt;assistant
</t>
  </si>
  <si>
    <t xml:space="preserve">For the BR reactor,-r_{A} =k\times c_{A}^1 kmol/(L*min), c_{A} =c_{A0} \times (1-x_{A} ) ,the residence time \tau is obtained by c_{A0}\times\int_{0}^{x_{f}}\frac{dx_{A}}{-r_{A}}. The residence time \tau of the BR reactor is 2.15 h.
</t>
  </si>
  <si>
    <t>For the BR reactor,-r_{A} =k\times c_{A}^1 kmol/(L*min), c_{A} =c_{A0} \times (1-x_{A} ) ,the residence time \tau is obtained by c_{A0}\times\int_{0}^{x_{f}}\frac{dx_{A}}{-r_{A}}. The residence time \tau of the BR reactor is 3.52 h.</t>
  </si>
  <si>
    <t xml:space="preserve">&lt;|im_start|&gt;system
You are a helpful assistant.&lt;|im_end|&gt;
&lt;|im_start|&gt;user
Please calculate the residence time with following conditions?
It is planned to carry out the reaction A+B \longrightarrow C in BR. The experimentally determined reaction kinetic equation is -r_{A}=k\times c_{A}^1 kmol/(L*min), the reaction kinetic constant k=0.009.The initial concentration of raw material A c_{A0} is 3.42 kmol/m3., the conversion rate is 0.687. The feed volumetric flow rate Q is 0.462 kmol/m3, the auxiliary production time t_{assist} is 3 h, and the loading factor f is 0.57.&lt;|im_end|&gt;
&lt;|im_start|&gt;assistant
</t>
  </si>
  <si>
    <t xml:space="preserve">For the CSTR reactor,-r_{A} =k\times c_{A}^3\times c_{B}^2 kmol/(L*min), c_{A} =c_{A0} \times (1-x_{A} ), c_{B} =c_{B0}- c_{A0} \times x_{A}, the residence time \tau is calculated by \frac{c_{A0} \times x_{f} }{-r_{A} }. And the reactor volume is \tau \times Q The calculated reactor volume V is 0.86 Cubic Meters.
</t>
  </si>
  <si>
    <t>For the CSTR reactor,-r_{A} =k\times c_{A}^3\times c_{B}^2 kmol/(L*min), c_{A} =c_{A0} \times (1-x_{A} ), c_{B} =c_{B0}- c_{A0} \times x_{A}, the residence time \tau is calculated by \frac{c_{A0} \times x_{f} }{-r_{A} }. And the reactor volume is \tau \times Q The calculated reactor volume V is 0.04 Cubic Meters.</t>
  </si>
  <si>
    <t xml:space="preserve">&lt;|im_start|&gt;system
You are a helpful assistant.&lt;|im_end|&gt;
&lt;|im_start|&gt;user
Please calculate the reactor volume with following conditions？
It is planned to carry out the reaction A+B \longrightarrow C in CSTR. The experimentally determined reaction kinetic equation is -r_{A}=k\times c_{A}^3\times c_{B}^2 kmol/(L*min), the reaction kinetic constant k=0.001.The initial concentration of raw material A c_{A0}0.8 kmol/m3, and the concentration of raw material B is c_{B0}8.12 kmol/m3., the conversion rate is 0.571. The feed volumetric flow rate Q is 0.268 kmol/m3.&lt;|im_end|&gt;
&lt;|im_start|&gt;assistant
</t>
  </si>
  <si>
    <t xml:space="preserve">For the CSTR reactor,-r_{A} =k\times c_{A}^2 kmol/(L*min), c_{A} =c_{A0} \times (1-x_{A} ) the residence time \tau is calculated by \frac{c_{A0} \times x_{f} }{-r_{A} }. And the reactor volume is \tau \times Q The calculated reactor volume V is 11462.34 Cubic Meters.
</t>
  </si>
  <si>
    <t>For the CSTR reactor,-r_{A} =k\times c_{A}^2 kmol/(L*min), c_{A} =c_{A0} \times (1-x_{A} ) the residence time \tau is calculated by \frac{c_{A0} \times x_{f} }{-r_{A} }. And the reactor volume is \tau \times Q The calculated reactor volume V is 7267.55 Cubic Meters.</t>
  </si>
  <si>
    <t xml:space="preserve">&lt;|im_start|&gt;system
You are a helpful assistant.&lt;|im_end|&gt;
&lt;|im_start|&gt;user
Please calculate the reactor volume with following conditions？
It is planned to carry out the reaction A+B \longrightarrow C in CSTR. The experimentally determined reaction kinetic equation is -r_{A}=k\times c_{A}^2 kmol/(L*min), the reaction kinetic constant k=0.005.The initial concentration of raw material A c_{A0} is 9.16 kmol/m3., the conversion rate is 0.996. The feed volumetric flow rate Q is 0.506 kmol/m3.&lt;|im_end|&gt;
&lt;|im_start|&gt;assistant
</t>
  </si>
  <si>
    <t xml:space="preserve">For the PFR reactor,-r_{A} =k\times c_{A}^1\times c_{B}^2 kmol/(L*min), c_{A} =c_{A0} \times (1-x_{A} ), c_{B} =c_{B0} - c_{A0} \times x_{A}, the residence time \tau is obtained by c_{A0}\times\int_{0}^{x_{f}}\frac{dx_{A}}{-r_{A}}. The residence time \tau of the PFR reactor is 0.43 h.
</t>
  </si>
  <si>
    <t>For the PFR reactor,-r_{A} =k\times c_{A}^1\times c_{B}^2 kmol/(L*min), c_{A} =c_{A0} \times (1-x_{A} ), c_{B} =c_{B0} - c_{A0} \times x_{A}, the residence time \tau is obtained by c_{A0}\times\int_{0}^{x_{f}}\frac{dx_{A}}{-r_{A}}. The residence time \tau of the PFR reactor is 0.41 h.</t>
  </si>
  <si>
    <t xml:space="preserve">&lt;|im_start|&gt;system
You are a helpful assistant.&lt;|im_end|&gt;
&lt;|im_start|&gt;user
Please calculate the residence time with following conditions?
It is planned to carry out the reaction A+B \longrightarrow C in PFR. The experimentally determined reaction kinetic equation is -r_{A}=k\times c_{A}^1\times c_{B}^2 kmol/(L*min), the reaction kinetic constant k=0.008.The initial concentration of raw material A c_{A0}3.83 kmol/m3, and the concentration of raw material B is c_{B0}3.72 kmol/m3., the conversion rate is 0.605. The feed volumetric flow rate Q is 0.566 kmol/m3.&lt;|im_end|&gt;
&lt;|im_start|&gt;assistant
</t>
  </si>
  <si>
    <t xml:space="preserve">For the BR reactor,-r_{A} =k\times c_{A}^1 kmol/(L*min), c_{A} =c_{A0} \times (1-x_{A} ) ,the residence time \tau is obtained by c_{A0}\times\int_{0}^{x_{f}}\frac{dx_{A}}{-r_{A}}. The residence time \tau of the BR reactor is 3.21 h.
</t>
  </si>
  <si>
    <t>For the BR reactor,-r_{A} =k\times c_{A}^1 kmol/(L*min), c_{A} =c_{A0} \times (1-x_{A} ) ,the residence time \tau is obtained by c_{A0}\times\int_{0}^{x_{f}}\frac{dx_{A}}{-r_{A}}. The residence time \tau of the BR reactor is 4.86 h.</t>
  </si>
  <si>
    <t xml:space="preserve">&lt;|im_start|&gt;system
You are a helpful assistant.&lt;|im_end|&gt;
&lt;|im_start|&gt;user
Please calculate the residence time with following conditions?
It is planned to carry out the reaction A+B \longrightarrow C in BR. The experimentally determined reaction kinetic equation is -r_{A}=k\times c_{A}^1 kmol/(L*min), the reaction kinetic constant k=0.007.The initial concentration of raw material A c_{A0} is 5.11 kmol/m3., the conversion rate is 0.74. The feed volumetric flow rate Q is 0.269 kmol/m3, the auxiliary production time t_{assist} is 2 h, and the loading factor f is 0.57.&lt;|im_end|&gt;
&lt;|im_start|&gt;assistant
</t>
  </si>
  <si>
    <t xml:space="preserve">For the CSTR reactor,-r_{A} =k\times c_{A}^3 kmol/(L*min), c_{A} =c_{A0} \times (1-x_{A} ) the residence time \tau is calculated by \frac{c_{A0} \times x_{f} }{-r_{A} }. And the reactor volume is \tau \times Q The calculated reactor volume V is 4.06 Cubic Meters.
</t>
  </si>
  <si>
    <t>For the CSTR reactor,-r_{A} =k\times c_{A}^3 kmol/(L*min), c_{A} =c_{A0} \times (1-x_{A} ) the residence time \tau is calculated by \frac{c_{A0} \times x_{f} }{-r_{A} }. And the reactor volume is \tau \times Q The calculated reactor volume V is 1.54 Cubic Meters.</t>
  </si>
  <si>
    <t xml:space="preserve">&lt;|im_start|&gt;system
You are a helpful assistant.&lt;|im_end|&gt;
&lt;|im_start|&gt;user
Please calculate the reactor volume with following conditions？
It is planned to carry out the reaction A+B \longrightarrow C in CSTR. The experimentally determined reaction kinetic equation is -r_{A}=k\times c_{A}^3 kmol/(L*min), the reaction kinetic constant k=0.006.The initial concentration of raw material A c_{A0} is 3.97 kmol/m3., the conversion rate is 0.691. The feed volumetric flow rate Q is 0.984 kmol/m3.&lt;|im_end|&gt;
&lt;|im_start|&gt;assistant
</t>
  </si>
  <si>
    <t xml:space="preserve">For the CSTR reactor,-r_{A} =k\times c_{A}^2 kmol/(L*min), c_{A} =c_{A0} \times (1-x_{A} ) the residence time \tau is calculated by \frac{c_{A0} \times x_{f} }{-r_{A} } . The residence time \tau of the CSTR reactor is 150.9 h.
</t>
  </si>
  <si>
    <t>For the CSTR reactor,-r_{A} =k\times c_{A}^2 kmol/(L*min), c_{A} =c_{A0} \times (1-x_{A} ) the residence time \tau is calculated by \frac{c_{A0} \times x_{f} }{-r_{A} } . The residence time \tau of the CSTR reactor is 20.19 h.</t>
  </si>
  <si>
    <t xml:space="preserve">&lt;|im_start|&gt;system
You are a helpful assistant.&lt;|im_end|&gt;
&lt;|im_start|&gt;user
Please calculate the residence time with following conditions?
It is planned to carry out the reaction A+B \longrightarrow C in CSTR. The experimentally determined reaction kinetic equation is -r_{A}=k\times c_{A}^2 kmol/(L*min), the reaction kinetic constant k=0.001.The initial concentration of raw material A c_{A0} is 2.16 kmol/m3., the conversion rate is 0.798. The feed volumetric flow rate Q is 0.4 kmol/m3.&lt;|im_end|&gt;
&lt;|im_start|&gt;assistant
</t>
  </si>
  <si>
    <t xml:space="preserve">For the CSTR reactor,-r_{A} =k\times c_{A}^3 kmol/(L*min), c_{A} =c_{A0} \times (1-x_{A} ) the residence time \tau is calculated by \frac{c_{A0} \times x_{f} }{-r_{A} }. And the reactor volume is \tau \times Q The calculated reactor volume V is 0.26 Cubic Meters.
</t>
  </si>
  <si>
    <t>For the CSTR reactor,-r_{A} =k\times c_{A}^3 kmol/(L*min), c_{A} =c_{A0} \times (1-x_{A} ) the residence time \tau is calculated by \frac{c_{A0} \times x_{f} }{-r_{A} }. And the reactor volume is \tau \times Q The calculated reactor volume V is 0.09 Cubic Meters.</t>
  </si>
  <si>
    <t xml:space="preserve">&lt;|im_start|&gt;system
You are a helpful assistant.&lt;|im_end|&gt;
&lt;|im_start|&gt;user
Please calculate the reactor volume with following conditions？
It is planned to carry out the reaction A+B \longrightarrow C in CSTR. The experimentally determined reaction kinetic equation is -r_{A}=k\times c_{A}^3 kmol/(L*min), the reaction kinetic constant k=0.009.The initial concentration of raw material A c_{A0} is 4.44 kmol/m3., the conversion rate is 0.58. The feed volumetric flow rate Q is 0.348 kmol/m3.&lt;|im_end|&gt;
&lt;|im_start|&gt;assistant
</t>
  </si>
  <si>
    <t xml:space="preserve">For the CSTR reactor,-r_{A} =k\times c_{A}^2 kmol/(L*min), c_{A} =c_{A0} \times (1-x_{A} ) the residence time \tau is calculated by \frac{c_{A0} \times x_{f} }{-r_{A} } . The residence time \tau of the CSTR reactor is 24.13 h.
</t>
  </si>
  <si>
    <t>For the CSTR reactor,-r_{A} =k\times c_{A}^2 kmol/(L*min), c_{A} =c_{A0} \times (1-x_{A} ) the residence time \tau is calculated by \frac{c_{A0} \times x_{f} }{-r_{A} } . The residence time \tau of the CSTR reactor is 10.98 h.</t>
  </si>
  <si>
    <t xml:space="preserve">&lt;|im_start|&gt;system
You are a helpful assistant.&lt;|im_end|&gt;
&lt;|im_start|&gt;user
Please calculate the residence time with following conditions?
It is planned to carry out the reaction A+B \longrightarrow C in CSTR. The experimentally determined reaction kinetic equation is -r_{A}=k\times c_{A}^2 kmol/(L*min), the reaction kinetic constant k=0.004.The initial concentration of raw material A c_{A0} is 1.89 kmol/m3., the conversion rate is 0.74. The feed volumetric flow rate Q is 0.208 kmol/m3.&lt;|im_end|&gt;
&lt;|im_start|&gt;assistant
</t>
  </si>
  <si>
    <t xml:space="preserve">For the CSTR reactor,-r_{A} =k\times c_{A}^2 kmol/(L*min), c_{A} =c_{A0} \times (1-x_{A} ) the residence time \tau is calculated by \frac{c_{A0} \times x_{f} }{-r_{A} } . The residence time \tau of the CSTR reactor is 1828.26 h.
</t>
  </si>
  <si>
    <t>For the CSTR reactor,-r_{A} =k\times c_{A}^2 kmol/(L*min), c_{A} =c_{A0} \times (1-x_{A} ) the residence time \tau is calculated by \frac{c_{A0} \times x_{f} }{-r_{A} } . The residence time \tau of the CSTR reactor is 25.74 h.</t>
  </si>
  <si>
    <t xml:space="preserve">&lt;|im_start|&gt;system
You are a helpful assistant.&lt;|im_end|&gt;
&lt;|im_start|&gt;user
Please calculate the residence time with following conditions?
It is planned to carry out the reaction A+B \longrightarrow C in CSTR. The experimentally determined reaction kinetic equation is -r_{A}=k\times c_{A}^2 kmol/(L*min), the reaction kinetic constant k=0.002.The initial concentration of raw material A c_{A0} is 0.84 kmol/m3., the conversion rate is 0.929. The feed volumetric flow rate Q is 0.728 kmol/m3.&lt;|im_end|&gt;
&lt;|im_start|&gt;assistant
</t>
  </si>
  <si>
    <t xml:space="preserve">For the PFR reactor,-r_{A} =k\times c_{A}^3\times c_{B}^2 kmol/(L*min), c_{A} =c_{A0} \times (1-x_{A} ), c_{B} =c_{B0}- c_{A0} \times x_{A}, the residence time \tau is obtained by c_{A0}\times\int_{0}^{x_{f}}\frac{dx_{A}}{-r_{A}}. And the reactor volume is \tau \times Q The calculated reactor volume V is 0.07 Cubic Meters.
</t>
  </si>
  <si>
    <t>For the PFR reactor,-r_{A} =k\times c_{A}^3\times c_{B}^2 kmol/(L*min), c_{A} =c_{A0} \times (1-x_{A} ), c_{B} =c_{B0}- c_{A0} \times x_{A}, the residence time \tau is obtained by c_{A0}\times\int_{0}^{x_{f}}\frac{dx_{A}}{-r_{A}}. And the reactor volume is \tau \times Q The calculated reactor volume V is 0.02 Cubic Meters.</t>
  </si>
  <si>
    <t xml:space="preserve">&lt;|im_start|&gt;system
You are a helpful assistant.&lt;|im_end|&gt;
&lt;|im_start|&gt;user
Please calculate the reactor volume with following conditions？
It is planned to carry out the reaction A+B \longrightarrow C in PFR. The experimentally determined reaction kinetic equation is -r_{A}=k\times c_{A}^3\times c_{B}^2 kmol/(L*min), the reaction kinetic constant k=0.002.The initial concentration of raw material A c_{A0}7.22 kmol/m3, and the concentration of raw material B is c_{B0}4.84 kmol/m3., the conversion rate is 0.516. The feed volumetric flow rate Q is 0.949 kmol/m3.&lt;|im_end|&gt;
&lt;|im_start|&gt;assistant
</t>
  </si>
  <si>
    <t xml:space="preserve">For the BR reactor,-r_{A} =k\times c_{A}^3\times c_{B}^2 kmol/(L*min), c_{A} =c_{A0} \times (1-x_{A} ), c_{B} =c_{B0}- c_{A0} \times x_{A}, the residence time \tau is obtained by c_{A0}\times\int_{0}^{x_{f}}\frac{dx_{A}}{-r_{A}}. And the reactor volume is \frac{(\tau + t_{assist} )\times Q}{f} The calculated reactor volume V is 2.58 Cubic Meters.
</t>
  </si>
  <si>
    <t>For the BR reactor,-r_{A} =k\times c_{A}^3\times c_{B}^2 kmol/(L*min), c_{A} =c_{A0} \times (1-x_{A} ), c_{B} =c_{B0}- c_{A0} \times x_{A}, the residence time \tau is obtained by c_{A0}\times\int_{0}^{x_{f}}\frac{dx_{A}}{-r_{A}}. And the reactor volume is \frac{(\tau + t_{assist} )\times Q}{f} The calculated reactor volume V is 1.09 Cubic Meters.</t>
  </si>
  <si>
    <t xml:space="preserve">&lt;|im_start|&gt;system
You are a helpful assistant.&lt;|im_end|&gt;
&lt;|im_start|&gt;user
Please calculate the reactor volume with following conditions？
It is planned to carry out the reaction A+B \longrightarrow C in BR. The experimentally determined reaction kinetic equation is -r_{A}=k\times c_{A}^3\times c_{B}^2 kmol/(L*min), the reaction kinetic constant k=0.006.The initial concentration of raw material A c_{A0}1.7 kmol/m3, and the concentration of raw material B is c_{B0}4.64 kmol/m3., the conversion rate is 0.691. The feed volumetric flow rate Q is 0.686 kmol/m3, the auxiliary production time t_{assist} is 2 h, and the loading factor f is 0.62.&lt;|im_end|&gt;
&lt;|im_start|&gt;assistant
</t>
  </si>
  <si>
    <t xml:space="preserve">For the PFR reactor,-r_{A} =k\times c_{A}^3\times c_{B}^2 kmol/(L*min), c_{A} =c_{A0} \times (1-x_{A} ), c_{B} =c_{B0}- c_{A0} \times x_{A}, the residence time \tau is obtained by c_{A0}\times\int_{0}^{x_{f}}\frac{dx_{A}}{-r_{A}}. And the reactor volume is \tau \times Q The calculated reactor volume V is 0.15 Cubic Meters.
</t>
  </si>
  <si>
    <t xml:space="preserve">&lt;|im_start|&gt;system
You are a helpful assistant.&lt;|im_end|&gt;
&lt;|im_start|&gt;user
Please calculate the reactor volume with following conditions？
It is planned to carry out the reaction A+B \longrightarrow C in PFR. The experimentally determined reaction kinetic equation is -r_{A}=k\times c_{A}^3\times c_{B}^2 kmol/(L*min), the reaction kinetic constant k=0.004.The initial concentration of raw material A c_{A0}9.7 kmol/m3, and the concentration of raw material B is c_{B0}9.52 kmol/m3., the conversion rate is 0.837. The feed volumetric flow rate Q is 0.751 kmol/m3.&lt;|im_end|&gt;
&lt;|im_start|&gt;assistant
</t>
  </si>
  <si>
    <t xml:space="preserve">For the CSTR reactor,-r_{A} =k\times c_{A}^1 kmol/(L*min), c_{A} =c_{A0} \times (1-x_{A} ) the residence time \tau is calculated by \frac{c_{A0} \times x_{f} }{-r_{A} } . The residence time \tau of the CSTR reactor is 11.23 h.
</t>
  </si>
  <si>
    <t>For the CSTR reactor,-r_{A} =k\times c_{A}^1 kmol/(L*min), c_{A} =c_{A0} \times (1-x_{A} ) the residence time \tau is calculated by \frac{c_{A0} \times x_{f} }{-r_{A} } . The residence time \tau of the CSTR reactor is 27.98 h.</t>
  </si>
  <si>
    <t xml:space="preserve">&lt;|im_start|&gt;system
You are a helpful assistant.&lt;|im_end|&gt;
&lt;|im_start|&gt;user
Please calculate the residence time with following conditions?
It is planned to carry out the reaction A+B \longrightarrow C in CSTR. The experimentally determined reaction kinetic equation is -r_{A}=k\times c_{A}^1 kmol/(L*min), the reaction kinetic constant k=0.002.The initial concentration of raw material A c_{A0} is 2.99 kmol/m3., the conversion rate is 0.574. The feed volumetric flow rate Q is 0.25 kmol/m3.&lt;|im_end|&gt;
&lt;|im_start|&gt;assistant
</t>
  </si>
  <si>
    <t xml:space="preserve">For the PFR reactor,-r_{A} =k\times c_{A}^2 kmol/(L*min), c_{A} =c_{A0} \times (1-x_{A} ) ,the residence time \tau is obtained by c_{A0}\times\int_{0}^{x_{f}}\frac{dx_{A}}{-r_{A}}. And the reactor volume is \tau \times Q The calculated reactor volume V is 0.03 Cubic Meters.
</t>
  </si>
  <si>
    <t xml:space="preserve">For the BR reactor,-r_{A} =k\times c_{A}^1\times c_{B}^2 kmol/(L*min), c_{A} =c_{A0} \times (1-x_{A} ), c_{B} =c_{B0} - c_{A0} \times x_{A}, the residence time \tau is obtained by c_{A0}\times\int_{0}^{x_{f}}\frac{dx_{A}}{-r_{A}}. The residence time \tau of the BR reactor is 0.86 h.
</t>
  </si>
  <si>
    <t>For the BR reactor,-r_{A} =k\times c_{A}^1\times c_{B}^2 kmol/(L*min), c_{A} =c_{A0} \times (1-x_{A} ), c_{B} =c_{B0} - c_{A0} \times x_{A}, the residence time \tau is obtained by c_{A0}\times\int_{0}^{x_{f}}\frac{dx_{A}}{-r_{A}}. The residence time \tau of the BR reactor is 0.16 h.</t>
  </si>
  <si>
    <t xml:space="preserve">&lt;|im_start|&gt;system
You are a helpful assistant.&lt;|im_end|&gt;
&lt;|im_start|&gt;user
Please calculate the residence time with following conditions?
It is planned to carry out the reaction A+B \longrightarrow C in BR. The experimentally determined reaction kinetic equation is -r_{A}=k\times c_{A}^1\times c_{B}^2 kmol/(L*min), the reaction kinetic constant k=0.003.The initial concentration of raw material A c_{A0}6.87 kmol/m3, and the concentration of raw material B is c_{B0}4.69 kmol/m3., the conversion rate is 0.513. The feed volumetric flow rate Q is 0.642 kmol/m3, the auxiliary production time t_{assist} is 4 h, and the loading factor f is 0.78.&lt;|im_end|&gt;
&lt;|im_start|&gt;assistant
</t>
  </si>
  <si>
    <t xml:space="preserve">For the BR reactor,-r_{A} =k\times c_{A}^2\times c_{B}^3 kmol/(L*min), c_{A} =c_{A0} \times (1-x_{A} ), c_{B} =c_{B0} - c_{A0} \times x_{A}, the residence time \tau is obtained by c_{A0}\times\int_{0}^{x_{f}}\frac{dx_{A}}{-r_{A}}. The residence time \tau of the BR reactor is 6.2551629076950104e+16 h.
</t>
  </si>
  <si>
    <t>For the BR reactor,-r_{A} =k\times c_{A}^2\times c_{B}^3 kmol/(L*min), c_{A} =c_{A0} \times (1-x_{A} ), c_{B} =c_{B0} - c_{A0} \times x_{A}, the residence time \tau is obtained by c_{A0}\times\int_{0}^{x_{f}}\frac{dx_{A}}{-r_{A}}. The residence time \tau of the BR reactor is 0.03 h.</t>
  </si>
  <si>
    <t xml:space="preserve">&lt;|im_start|&gt;system
You are a helpful assistant.&lt;|im_end|&gt;
&lt;|im_start|&gt;user
Please calculate the residence time with following conditions?
It is planned to carry out the reaction A+B \longrightarrow C in BR. The experimentally determined reaction kinetic equation is -r_{A}=k\times c_{A}^2\times c_{B}^3 kmol/(L*min), the reaction kinetic constant k=0.007.The initial concentration of raw material A c_{A0}8.03 kmol/m3, and the concentration of raw material B is c_{B0}5.57 kmol/m3., the conversion rate is 0.769. The feed volumetric flow rate Q is 0.561 kmol/m3, the auxiliary production time t_{assist} is 5 h, and the loading factor f is 0.47.&lt;|im_end|&gt;
&lt;|im_start|&gt;assistant
</t>
  </si>
  <si>
    <t xml:space="preserve">For the PFR reactor,-r_{A} =k\times c_{A}^2\times c_{B}^2 kmol/(L*min), c_{A} =c_{A0} \times (1-x_{A} ), c_{B} =c_{B0} - c_{A0} \times x_{A}, the residence time \tau is obtained by c_{A0}\times\int_{0}^{x_{f}}\frac{dx_{A}}{-r_{A}}. The residence time \tau of the PFR reactor is 0.37 h.
</t>
  </si>
  <si>
    <t xml:space="preserve">&lt;|im_start|&gt;system
You are a helpful assistant.&lt;|im_end|&gt;
&lt;|im_start|&gt;user
Please calculate the residence time with following conditions?
It is planned to carry out the reaction A+B \longrightarrow C in PFR. The experimentally determined reaction kinetic equation is -r_{A}=k\times c_{A}^2\times c_{B}^2 kmol/(L*min), the reaction kinetic constant k=0.007.The initial concentration of raw material A c_{A0}2.13 kmol/m3, and the concentration of raw material B is c_{B0}9.57 kmol/m3., the conversion rate is 0.952. The feed volumetric flow rate Q is 0.99 kmol/m3.&lt;|im_end|&gt;
&lt;|im_start|&gt;assistant
</t>
  </si>
  <si>
    <t xml:space="preserve">For the PFR reactor,-r_{A} =k\times c_{A}^3\times c_{B}^1 kmol/(L*min), c_{A} =c_{A0} \times (1-x_{A} ), c_{B} =c_{B0} - c_{A0} \times x_{A}, the residence time \tau is obtained by c_{A0}\times\int_{0}^{x_{f}}\frac{dx_{A}}{-r_{A}}. The residence time \tau of the PFR reactor is 0.88 h.
</t>
  </si>
  <si>
    <t>For the PFR reactor,-r_{A} =k\times c_{A}^3\times c_{B}^1 kmol/(L*min), c_{A} =c_{A0} \times (1-x_{A} ), c_{B} =c_{B0} - c_{A0} \times x_{A}, the residence time \tau is obtained by c_{A0}\times\int_{0}^{x_{f}}\frac{dx_{A}}{-r_{A}}. The residence time \tau of the PFR reactor is 2.3 h.</t>
  </si>
  <si>
    <t xml:space="preserve">&lt;|im_start|&gt;system
You are a helpful assistant.&lt;|im_end|&gt;
&lt;|im_start|&gt;user
Please calculate the residence time with following conditions?
It is planned to carry out the reaction A+B \longrightarrow C in PFR. The experimentally determined reaction kinetic equation is -r_{A}=k\times c_{A}^3\times c_{B}^1 kmol/(L*min), the reaction kinetic constant k=0.001.The initial concentration of raw material A c_{A0}5.83 kmol/m3, and the concentration of raw material B is c_{B0}6.02 kmol/m3., the conversion rate is 0.694. The feed volumetric flow rate Q is 0.572 kmol/m3.&lt;|im_end|&gt;
&lt;|im_start|&gt;assistant
</t>
  </si>
  <si>
    <t xml:space="preserve">For the CSTR reactor,-r_{A} =k\times c_{A}^3\times c_{B}^3 kmol/(L*min), c_{A} =c_{A0} \times (1-x_{A} ), c_{B} =c_{B0}- c_{A0} \times x_{A}, the residence time \tau is calculated by \frac{c_{A0} \times x_{f} }{-r_{A} }. The residence time \tau of the CSTR reactor is 5.67 h.
</t>
  </si>
  <si>
    <t>For the CSTR reactor,-r_{A} =k\times c_{A}^3\times c_{B}^3 kmol/(L*min), c_{A} =c_{A0} \times (1-x_{A} ), c_{B} =c_{B0}- c_{A0} \times x_{A}, the residence time \tau is calculated by \frac{c_{A0} \times x_{f} }{-r_{A} }. The residence time \tau of the CSTR reactor is 0.08 h.</t>
  </si>
  <si>
    <t xml:space="preserve">For the CSTR reactor,-r_{A} =k\times c_{A}^2 kmol/(L*min), c_{A} =c_{A0} \times (1-x_{A} ) the residence time \tau is calculated by \frac{c_{A0} \times x_{f} }{-r_{A} }. And the reactor volume is \tau \times Q The calculated reactor volume V is 134.87 Cubic Meters.
</t>
  </si>
  <si>
    <t xml:space="preserve">For the CSTR reactor,-r_{A} =k\times c_{A}^1 kmol/(L*min), c_{A} =c_{A0} \times (1-x_{A} ) the residence time \tau is calculated by \frac{c_{A0} \times x_{f} }{-r_{A} } . The residence time \tau of the CSTR reactor is 5.56 h.
</t>
  </si>
  <si>
    <t>For the CSTR reactor,-r_{A} =k\times c_{A}^1 kmol/(L*min), c_{A} =c_{A0} \times (1-x_{A} ) the residence time \tau is calculated by \frac{c_{A0} \times x_{f} }{-r_{A} } . The residence time \tau of the CSTR reactor is 15.24 h.</t>
  </si>
  <si>
    <t xml:space="preserve">&lt;|im_start|&gt;system
You are a helpful assistant.&lt;|im_end|&gt;
&lt;|im_start|&gt;user
Please calculate the residence time with following conditions?
It is planned to carry out the reaction A+B \longrightarrow C in CSTR. The experimentally determined reaction kinetic equation is -r_{A}=k\times c_{A}^1 kmol/(L*min), the reaction kinetic constant k=0.007.The initial concentration of raw material A c_{A0} is 5.75 kmol/m3., the conversion rate is 0.7. The feed volumetric flow rate Q is 0.687 kmol/m3.&lt;|im_end|&gt;
&lt;|im_start|&gt;assistant
</t>
  </si>
  <si>
    <t xml:space="preserve">For the CSTR reactor,-r_{A} =k\times c_{A}^1\times c_{B}^2 kmol/(L*min), c_{A} =c_{A0} \times (1-x_{A} ), c_{B} =c_{B0}- c_{A0} \times x_{A}, the residence time \tau is calculated by \frac{c_{A0} \times x_{f} }{-r_{A} }. The residence time \tau of the CSTR reactor is 0.34 h.
</t>
  </si>
  <si>
    <t>For the CSTR reactor,-r_{A} =k\times c_{A}^1\times c_{B}^2 kmol/(L*min), c_{A} =c_{A0} \times (1-x_{A} ), c_{B} =c_{B0}- c_{A0} \times x_{A}, the residence time \tau is calculated by \frac{c_{A0} \times x_{f} }{-r_{A} }. The residence time \tau of the CSTR reactor is 565.87 h.</t>
  </si>
  <si>
    <t xml:space="preserve">&lt;|im_start|&gt;system
You are a helpful assistant.&lt;|im_end|&gt;
&lt;|im_start|&gt;user
Please calculate the residence time with following conditions?
It is planned to carry out the reaction A+B \longrightarrow C in CSTR. The experimentally determined reaction kinetic equation is -r_{A}=k\times c_{A}^1\times c_{B}^2 kmol/(L*min), the reaction kinetic constant k=0.007.The initial concentration of raw material A c_{A0}2.8 kmol/m3, and the concentration of raw material B is c_{B0}4.05 kmol/m3., the conversion rate is 0.5. The feed volumetric flow rate Q is 0.625 kmol/m3.&lt;|im_end|&gt;
&lt;|im_start|&gt;assistant
</t>
  </si>
  <si>
    <t xml:space="preserve">For the BR reactor,-r_{A} =k\times c_{A}^1 kmol/(L*min), c_{A} =c_{A0} \times (1-x_{A} ) ,the residence time \tau is obtained by c_{A0}\times\int_{0}^{x_{f}}\frac{dx_{A}}{-r_{A}}. The residence time \tau of the BR reactor is 1.42 h.
</t>
  </si>
  <si>
    <t>For the BR reactor,-r_{A} =k\times c_{A}^1 kmol/(L*min), c_{A} =c_{A0} \times (1-x_{A} ) ,the residence time \tau is obtained by c_{A0}\times\int_{0}^{x_{f}}\frac{dx_{A}}{-r_{A}}. The residence time \tau of the BR reactor is 2.1 h.</t>
  </si>
  <si>
    <t xml:space="preserve">For the BR reactor,-r_{A} =k\times c_{A}^1\times c_{B}^1 kmol/(L*min), c_{A} =c_{A0} \times (1-x_{A} ), c_{B} =c_{B0}- c_{A0} \times x_{A}, the residence time \tau is obtained by c_{A0}\times\int_{0}^{x_{f}}\frac{dx_{A}}{-r_{A}}. And the reactor volume is \frac{(\tau + t_{assist} )\times Q}{f} The calculated reactor volume V is 3.66 Cubic Meters.
</t>
  </si>
  <si>
    <t>For the BR reactor,-r_{A} =k\times c_{A}^1\times c_{B}^1 kmol/(L*min), c_{A} =c_{A0} \times (1-x_{A} ), c_{B} =c_{B0}- c_{A0} \times x_{A}, the residence time \tau is obtained by c_{A0}\times\int_{0}^{x_{f}}\frac{dx_{A}}{-r_{A}}. And the reactor volume is \frac{(\tau + t_{assist} )\times Q}{f} The calculated reactor volume V is 2.54 Cubic Meters.</t>
  </si>
  <si>
    <t xml:space="preserve">&lt;|im_start|&gt;system
You are a helpful assistant.&lt;|im_end|&gt;
&lt;|im_start|&gt;user
Please calculate the reactor volume with following conditions？
It is planned to carry out the reaction A+B \longrightarrow C in BR. The experimentally determined reaction kinetic equation is -r_{A}=k\times c_{A}^1\times c_{B}^1 kmol/(L*min), the reaction kinetic constant k=0.01.The initial concentration of raw material A c_{A0}4.11 kmol/m3, and the concentration of raw material B is c_{B0}2.72 kmol/m3., the conversion rate is 0.581. The feed volumetric flow rate Q is 0.39 kmol/m3, the auxiliary production time t_{assist} is 5 h, and the loading factor f is 0.69.&lt;|im_end|&gt;
&lt;|im_start|&gt;assistant
</t>
  </si>
  <si>
    <t xml:space="preserve">For the CSTR reactor,-r_{A} =k\times c_{A}^1\times c_{B}^1 kmol/(L*min), c_{A} =c_{A0} \times (1-x_{A} ), c_{B} =c_{B0}- c_{A0} \times x_{A}, the residence time \tau is calculated by \frac{c_{A0} \times x_{f} }{-r_{A} }. And the reactor volume is \tau \times Q The calculated reactor volume V is 0.07 Cubic Meters.
</t>
  </si>
  <si>
    <t>relative_error</t>
  </si>
  <si>
    <t>F1</t>
  </si>
  <si>
    <t>R</t>
  </si>
  <si>
    <t>P</t>
  </si>
  <si>
    <t>label</t>
  </si>
  <si>
    <t>predict</t>
  </si>
  <si>
    <t>prompt</t>
  </si>
  <si>
    <t>For the CSTR reactor,-r_{A} =k\times c_{A}^3\times c_{B}^2 kmol/(L*min), c_{A} =c_{A0} \times (1-x_{A} ), c_{B} =c_{B0}- c_{A0} \times x_{A}, the residence time \tau is calculated by \frac{c_{A0} \times x_{f} }{-r_{A} }. The residence time \tau of the CSTR reactor is 8.94 h.</t>
  </si>
  <si>
    <t xml:space="preserve">&lt;|im_start|&gt;system
You are Qwen, created by Alibaba Cloud. You are a helpful assistant.&lt;|im_end|&gt;
&lt;|im_start|&gt;user
Please calculate the residence time with following conditions?
It is planned to carry out the reaction A+B \longrightarrow C in CSTR. The experimentally determined reaction kinetic equation is -r_{A}=k\times c_{A}^3\times c_{B}^2 kmol/(L*min), the reaction kinetic constant k=0.006.The initial concentration of raw material A c_{A0}6.8 kmol/m3, and the concentration of raw material B is c_{B0}1.63 kmol/m3., the conversion rate is 0.907. The feed volumetric flow rate Q is 0.93 kmol/m3.&lt;|im_end|&gt;
&lt;|im_start|&gt;assistant
</t>
  </si>
  <si>
    <t>For the BR reactor,-r_{A} =k\times c_{A}^2\times c_{B}^1 kmol/(L*min), c_{A} =c_{A0} \times (1-x_{A} ), c_{B} =c_{B0}- c_{A0} \times x_{A}, the residence time \tau is obtained by c_{A0}\times\int_{0}^{x_{f}}\frac{dx_{A}}{-r_{A}}. And the reactor volume is \frac{(\tau + t_{assist} )\times Q}{f} The calculated reactor volume V is 0.3 Cubic Meters.</t>
  </si>
  <si>
    <t xml:space="preserve">&lt;|im_start|&gt;system
You are Qwen, created by Alibaba Cloud. You are a helpful assistant.&lt;|im_end|&gt;
&lt;|im_start|&gt;user
Please calculate the reactor volume with following conditions？
It is planned to carry out the reaction A+B \longrightarrow C in BR. The experimentally determined reaction kinetic equation is -r_{A}=k\times c_{A}^2\times c_{B}^1 kmol/(L*min), the reaction kinetic constant k=0.006.The initial concentration of raw material A c_{A0}7.08 kmol/m3, and the concentration of raw material B is c_{B0}1.94 kmol/m3., the conversion rate is 0.542. The feed volumetric flow rate Q is 0.27 kmol/m3, the auxiliary production time t_{assist} is 1 h, and the loading factor f is 0.64.&lt;|im_end|&gt;
&lt;|im_start|&gt;assistant
</t>
  </si>
  <si>
    <t>For the CSTR reactor,-r_{A} =k\times c_{A}^1\times c_{B}^1 kmol/(L*min), c_{A} =c_{A0} \times (1-x_{A} ), c_{B} =c_{B0}- c_{A0} \times x_{A}, the residence time \tau is calculated by \frac{c_{A0} \times x_{f} }{-r_{A} }. The residence time \tau of the CSTR reactor is 40.24 h.</t>
  </si>
  <si>
    <t xml:space="preserve">&lt;|im_start|&gt;system
You are Qwen, created by Alibaba Cloud. You are a helpful assistant.&lt;|im_end|&gt;
&lt;|im_start|&gt;user
Please calculate the residence time with following conditions?
It is planned to carry out the reaction A+B \longrightarrow C in CSTR. The experimentally determined reaction kinetic equation is -r_{A}=k\times c_{A}^1\times c_{B}^1 kmol/(L*min), the reaction kinetic constant k=0.004.The initial concentration of raw material A c_{A0}4.0 kmol/m3, and the concentration of raw material B is c_{B0}3.75 kmol/m3., the conversion rate is 0.712. The feed volumetric flow rate Q is 0.916 kmol/m3.&lt;|im_end|&gt;
&lt;|im_start|&gt;assistant
</t>
  </si>
  <si>
    <t>For the CSTR reactor,-r_{A} =k\times c_{A}^1\times c_{B}^1 kmol/(L*min), c_{A} =c_{A0} \times (1-x_{A} ), c_{B} =c_{B0}- c_{A0} \times x_{A}, the residence time \tau is calculated by \frac{c_{A0} \times x_{f} }{-r_{A} }. The residence time \tau of the CSTR reactor is 8.49 h.</t>
  </si>
  <si>
    <t xml:space="preserve">&lt;|im_start|&gt;system
You are Qwen, created by Alibaba Cloud. You are a helpful assistant.&lt;|im_end|&gt;
&lt;|im_start|&gt;user
Please calculate the residence time with following conditions?
It is planned to carry out the reaction A+B \longrightarrow C in CSTR. The experimentally determined reaction kinetic equation is -r_{A}=k\times c_{A}^1\times c_{B}^1 kmol/(L*min), the reaction kinetic constant k=0.008.The initial concentration of raw material A c_{A0}9.93 kmol/m3, and the concentration of raw material B is c_{B0}9.97 kmol/m3., the conversion rate is 0.765. The feed volumetric flow rate Q is 0.337 kmol/m3.&lt;|im_end|&gt;
&lt;|im_start|&gt;assistant
</t>
  </si>
  <si>
    <t>For the PFR reactor,-r_{A} =k\times c_{A}^3\times c_{B}^1 kmol/(L*min), c_{A} =c_{A0} \times (1-x_{A} ), c_{B} =c_{B0} - c_{A0} \times x_{A}, the residence time \tau is obtained by c_{A0}\times\int_{0}^{x_{f}}\frac{dx_{A}}{-r_{A}}. The residence time \tau of the PFR reactor is 0.26 h.</t>
  </si>
  <si>
    <t xml:space="preserve">&lt;|im_start|&gt;system
You are Qwen, created by Alibaba Cloud. You are a helpful assistant.&lt;|im_end|&gt;
&lt;|im_start|&gt;user
Please calculate the residence time with following conditions?
It is planned to carry out the reaction A+B \longrightarrow C in PFR. The experimentally determined reaction kinetic equation is -r_{A}=k\times c_{A}^3\times c_{B}^1 kmol/(L*min), the reaction kinetic constant k=0.008.The initial concentration of raw material A c_{A0}6.3 kmol/m3, and the concentration of raw material B is c_{B0}5.5 kmol/m3., the conversion rate is 0.696. The feed volumetric flow rate Q is 0.632 kmol/m3.&lt;|im_end|&gt;
&lt;|im_start|&gt;assistant
</t>
  </si>
  <si>
    <t>For the CSTR reactor,-r_{A} =k\times c_{A}^3 kmol/(L*min), c_{A} =c_{A0} \times (1-x_{A} ) the residence time \tau is calculated by \frac{c_{A0} \times x_{f} }{-r_{A} }. And the reactor volume is \tau \times Q The calculated reactor volume V is 1049.92 Cubic Meters.</t>
  </si>
  <si>
    <t xml:space="preserve">&lt;|im_start|&gt;system
You are Qwen, created by Alibaba Cloud. You are a helpful assistant.&lt;|im_end|&gt;
&lt;|im_start|&gt;user
Please calculate the reactor volume with following conditions？
It is planned to carry out the reaction A+B \longrightarrow C in CSTR. The experimentally determined reaction kinetic equation is -r_{A}=k\times c_{A}^3 kmol/(L*min), the reaction kinetic constant k=0.009.The initial concentration of raw material A c_{A0} is 9.85 kmol/m3., the conversion rate is 0.952. The feed volumetric flow rate Q is 0.664 kmol/m3.&lt;|im_end|&gt;
&lt;|im_start|&gt;assistant
</t>
  </si>
  <si>
    <t>For the PFR reactor,-r_{A} =k\times c_{A}^2 kmol/(L*min), c_{A} =c_{A0} \times (1-x_{A} ) ,the residence time \tau is obtained by c_{A0}\times\int_{0}^{x_{f}}\frac{dx_{A}}{-r_{A}}. And the reactor volume is \tau \times Q The calculated reactor volume V is 0.64 Cubic Meters.</t>
  </si>
  <si>
    <t xml:space="preserve">&lt;|im_start|&gt;system
You are Qwen, created by Alibaba Cloud. You are a helpful assistant.&lt;|im_end|&gt;
&lt;|im_start|&gt;user
Please calculate the reactor volume with following conditions？
It is planned to carry out the reaction A+B \longrightarrow C in PFR. The experimentally determined reaction kinetic equation is -r_{A}=k\times c_{A}^2 kmol/(L*min), the reaction kinetic constant k=0.003.The initial concentration of raw material A c_{A0} is 4.75 kmol/m3., the conversion rate is 0.725. The feed volumetric flow rate Q is 0.219 kmol/m3.&lt;|im_end|&gt;
&lt;|im_start|&gt;assistant
</t>
  </si>
  <si>
    <t>For the PFR reactor,-r_{A} =k\times c_{A}^2 kmol/(L*min), c_{A} =c_{A0} \times (1-x_{A} ) ,the residence time \tau is obtained by c_{A0}\times\int_{0}^{x_{f}}\frac{dx_{A}}{-r_{A}}. And the reactor volume is \tau \times Q The calculated reactor volume V is 3.71 Cubic Meters.</t>
  </si>
  <si>
    <t xml:space="preserve">&lt;|im_start|&gt;system
You are Qwen, created by Alibaba Cloud. You are a helpful assistant.&lt;|im_end|&gt;
&lt;|im_start|&gt;user
Please calculate the reactor volume with following conditions？
It is planned to carry out the reaction A+B \longrightarrow C in PFR. The experimentally determined reaction kinetic equation is -r_{A}=k\times c_{A}^2 kmol/(L*min), the reaction kinetic constant k=0.006.The initial concentration of raw material A c_{A0} is 8.01 kmol/m3., the conversion rate is 0.912. The feed volumetric flow rate Q is 0.791 kmol/m3.&lt;|im_end|&gt;
&lt;|im_start|&gt;assistant
</t>
  </si>
  <si>
    <t>For the BR reactor,-r_{A} =k\times c_{A}^2 kmol/(L*min), c_{A} =c_{A0} \times (1-x_{A} ) ,the residence time \tau is obtained by c_{A0}\times\int_{0}^{x_{f}}\frac{dx_{A}}{-r_{A}}. The residence time \tau of the BR reactor is 3.3 h.</t>
  </si>
  <si>
    <t xml:space="preserve">&lt;|im_start|&gt;system
You are Qwen, created by Alibaba Cloud. You are a helpful assistant.&lt;|im_end|&gt;
&lt;|im_start|&gt;user
Please calculate the residence time with following conditions?
It is planned to carry out the reaction A+B \longrightarrow C in BR. The experimentally determined reaction kinetic equation is -r_{A}=k\times c_{A}^2 kmol/(L*min), the reaction kinetic constant k=0.007.The initial concentration of raw material A c_{A0} is 4.83 kmol/m3., the conversion rate is 0.855. The feed volumetric flow rate Q is 0.467 kmol/m3, the auxiliary production time t_{assist} is 5 h, and the loading factor f is 0.45.&lt;|im_end|&gt;
&lt;|im_start|&gt;assistant
</t>
  </si>
  <si>
    <t>For the PFR reactor,-r_{A} =k\times c_{A}^2\times c_{B}^1 kmol/(L*min), c_{A} =c_{A0} \times (1-x_{A} ), c_{B} =c_{B0} - c_{A0} \times x_{A}, the residence time \tau is obtained by c_{A0}\times\int_{0}^{x_{f}}\frac{dx_{A}}{-r_{A}}. The residence time \tau of the PFR reactor is 3.38 h.</t>
  </si>
  <si>
    <t xml:space="preserve">&lt;|im_start|&gt;system
You are Qwen, created by Alibaba Cloud. You are a helpful assistant.&lt;|im_end|&gt;
&lt;|im_start|&gt;user
Please calculate the residence time with following conditions?
It is planned to carry out the reaction A+B \longrightarrow C in PFR. The experimentally determined reaction kinetic equation is -r_{A}=k\times c_{A}^2\times c_{B}^1 kmol/(L*min), the reaction kinetic constant k=0.01.The initial concentration of raw material A c_{A0}3.56 kmol/m3, and the concentration of raw material B is c_{B0}3.41 kmol/m3., the conversion rate is 0.868. The feed volumetric flow rate Q is 0.315 kmol/m3.&lt;|im_end|&gt;
&lt;|im_start|&gt;assistant
</t>
  </si>
  <si>
    <t>For the PFR reactor,-r_{A} =k\times c_{A}^3 kmol/(L*min), c_{A} =c_{A0} \times (1-x_{A} ) ,the residence time \tau is obtained by c_{A0}\times\int_{0}^{x_{f}}\frac{dx_{A}}{-r_{A}}. And the reactor volume is \tau \times Q The calculated reactor volume V is 0.03 Cubic Meters.</t>
  </si>
  <si>
    <t xml:space="preserve">&lt;|im_start|&gt;system
You are Qwen, created by Alibaba Cloud. You are a helpful assistant.&lt;|im_end|&gt;
&lt;|im_start|&gt;user
Please calculate the reactor volume with following conditions？
It is planned to carry out the reaction A+B \longrightarrow C in PFR. The experimentally determined reaction kinetic equation is -r_{A}=k\times c_{A}^3 kmol/(L*min), the reaction kinetic constant k=0.005.The initial concentration of raw material A c_{A0} is 5.92 kmol/m3., the conversion rate is 0.859. The feed volumetric flow rate Q is 0.179 kmol/m3.&lt;|im_end|&gt;
&lt;|im_start|&gt;assistant
</t>
  </si>
  <si>
    <t>For the BR reactor,-r_{A} =k\times c_{A}^2\times c_{B}^3 kmol/(L*min), c_{A} =c_{A0} \times (1-x_{A} ), c_{B} =c_{B0}- c_{A0} \times x_{A}, the residence time \tau is obtained by c_{A0}\times\int_{0}^{x_{f}}\frac{dx_{A}}{-r_{A}}. And the reactor volume is \frac{(\tau + t_{assist} )\times Q}{f} The calculated reactor volume V is 0.26 Cubic Meters.</t>
  </si>
  <si>
    <t xml:space="preserve">&lt;|im_start|&gt;system
You are Qwen, created by Alibaba Cloud. You are a helpful assistant.&lt;|im_end|&gt;
&lt;|im_start|&gt;user
Please calculate the reactor volume with following conditions？
It is planned to carry out the reaction A+B \longrightarrow C in BR. The experimentally determined reaction kinetic equation is -r_{A}=k\times c_{A}^2\times c_{B}^3 kmol/(L*min), the reaction kinetic constant k=0.008.The initial concentration of raw material A c_{A0}1.71 kmol/m3, and the concentration of raw material B is c_{B0}4.97 kmol/m3., the conversion rate is 0.513. The feed volumetric flow rate Q is 0.433 kmol/m3, the auxiliary production time t_{assist} is 0 h, and the loading factor f is 0.55.&lt;|im_end|&gt;
&lt;|im_start|&gt;assistant
</t>
  </si>
  <si>
    <t>For the CSTR reactor,-r_{A} =k\times c_{A}^1 kmol/(L*min), c_{A} =c_{A0} \times (1-x_{A} ) the residence time \tau is calculated by \frac{c_{A0} \times x_{f} }{-r_{A} } . The residence time \tau of the CSTR reactor is 2.7 h.</t>
  </si>
  <si>
    <t xml:space="preserve">&lt;|im_start|&gt;system
You are Qwen, created by Alibaba Cloud. You are a helpful assistant.&lt;|im_end|&gt;
&lt;|im_start|&gt;user
Please calculate the residence time with following conditions?
It is planned to carry out the reaction A+B \longrightarrow C in CSTR. The experimentally determined reaction kinetic equation is -r_{A}=k\times c_{A}^1 kmol/(L*min), the reaction kinetic constant k=0.009.The initial concentration of raw material A c_{A0} is 4.33 kmol/m3., the conversion rate is 0.577. The feed volumetric flow rate Q is 0.369 kmol/m3.&lt;|im_end|&gt;
&lt;|im_start|&gt;assistant
</t>
  </si>
  <si>
    <t>For the CSTR reactor,-r_{A} =k\times c_{A}^1 kmol/(L*min), c_{A} =c_{A0} \times (1-x_{A} ) the residence time \tau is calculated by \frac{c_{A0} \times x_{f} }{-r_{A} }. And the reactor volume is \tau \times Q The calculated reactor volume V is 4.79 Cubic Meters.</t>
  </si>
  <si>
    <t xml:space="preserve">&lt;|im_start|&gt;system
You are Qwen, created by Alibaba Cloud. You are a helpful assistant.&lt;|im_end|&gt;
&lt;|im_start|&gt;user
Please calculate the reactor volume with following conditions？
It is planned to carry out the reaction A+B \longrightarrow C in CSTR. The experimentally determined reaction kinetic equation is -r_{A}=k\times c_{A}^1 kmol/(L*min), the reaction kinetic constant k=0.006.The initial concentration of raw material A c_{A0} is 6.34 kmol/m3., the conversion rate is 0.704. The feed volumetric flow rate Q is 0.388 kmol/m3.&lt;|im_end|&gt;
&lt;|im_start|&gt;assistant
</t>
  </si>
  <si>
    <t>For the BR reactor,-r_{A} =k\times c_{A}^1\times c_{B}^3 kmol/(L*min), c_{A} =c_{A0} \times (1-x_{A} ), c_{B} =c_{B0}- c_{A0} \times x_{A}, the residence time \tau is obtained by c_{A0}\times\int_{0}^{x_{f}}\frac{dx_{A}}{-r_{A}}. And the reactor volume is \frac{(\tau + t_{assist} )\times Q}{f} The calculated reactor volume V is 4.37 Cubic Meters.</t>
  </si>
  <si>
    <t xml:space="preserve">&lt;|im_start|&gt;system
You are Qwen, created by Alibaba Cloud. You are a helpful assistant.&lt;|im_end|&gt;
&lt;|im_start|&gt;user
Please calculate the reactor volume with following conditions？
It is planned to carry out the reaction A+B \longrightarrow C in BR. The experimentally determined reaction kinetic equation is -r_{A}=k\times c_{A}^1\times c_{B}^3 kmol/(L*min), the reaction kinetic constant k=0.009.The initial concentration of raw material A c_{A0}9.94 kmol/m3, and the concentration of raw material B is c_{B0}5.24 kmol/m3., the conversion rate is 0.797. The feed volumetric flow rate Q is 0.454 kmol/m3, the auxiliary production time t_{assist} is 4 h, and the loading factor f is 0.42.&lt;|im_end|&gt;
&lt;|im_start|&gt;assistant
</t>
  </si>
  <si>
    <t>For the CSTR reactor,-r_{A} =k\times c_{A}^3\times c_{B}^3 kmol/(L*min), c_{A} =c_{A0} \times (1-x_{A} ), c_{B} =c_{B0}- c_{A0} \times x_{A}, the residence time \tau is calculated by \frac{c_{A0} \times x_{f} }{-r_{A} }. The residence time \tau of the CSTR reactor is 2.46 h.</t>
  </si>
  <si>
    <t xml:space="preserve">&lt;|im_start|&gt;system
You are Qwen, created by Alibaba Cloud. You are a helpful assistant.&lt;|im_end|&gt;
&lt;|im_start|&gt;user
Please calculate the residence time with following conditions?
It is planned to carry out the reaction A+B \longrightarrow C in CSTR. The experimentally determined reaction kinetic equation is -r_{A}=k\times c_{A}^3\times c_{B}^3 kmol/(L*min), the reaction kinetic constant k=0.002.The initial concentration of raw material A c_{A0}2.08 kmol/m3, and the concentration of raw material B is c_{B0}9.07 kmol/m3., the conversion rate is 0.892. The feed volumetric flow rate Q is 0.973 kmol/m3.&lt;|im_end|&gt;
&lt;|im_start|&gt;assistant
</t>
  </si>
  <si>
    <t>For the BR reactor,-r_{A} =k\times c_{A}^1\times c_{B}^2 kmol/(L*min), c_{A} =c_{A0} \times (1-x_{A} ), c_{B} =c_{B0} - c_{A0} \times x_{A}, the residence time \tau is obtained by c_{A0}\times\int_{0}^{x_{f}}\frac{dx_{A}}{-r_{A}}. The residence time \tau of the BR reactor is 1.73 h.</t>
  </si>
  <si>
    <t xml:space="preserve">&lt;|im_start|&gt;system
You are Qwen, created by Alibaba Cloud. You are a helpful assistant.&lt;|im_end|&gt;
&lt;|im_start|&gt;user
Please calculate the residence time with following conditions?
It is planned to carry out the reaction A+B \longrightarrow C in BR. The experimentally determined reaction kinetic equation is -r_{A}=k\times c_{A}^1\times c_{B}^2 kmol/(L*min), the reaction kinetic constant k=0.005.The initial concentration of raw material A c_{A0}1.9 kmol/m3, and the concentration of raw material B is c_{B0}1.53 kmol/m3., the conversion rate is 0.639. The feed volumetric flow rate Q is 0.335 kmol/m3, the auxiliary production time t_{assist} is 2 h, and the loading factor f is 0.61.&lt;|im_end|&gt;
&lt;|im_start|&gt;assistant
</t>
  </si>
  <si>
    <t>For the PFR reactor,-r_{A} =k\times c_{A}^3\times c_{B}^3 kmol/(L*min), c_{A} =c_{A0} \times (1-x_{A} ), c_{B} =c_{B0} - c_{A0} \times x_{A}, the residence time \tau is obtained by c_{A0}\times\int_{0}^{x_{f}}\frac{dx_{A}}{-r_{A}}. The residence time \tau of the PFR reactor is 0.25 h.</t>
  </si>
  <si>
    <t xml:space="preserve">&lt;|im_start|&gt;system
You are Qwen, created by Alibaba Cloud. You are a helpful assistant.&lt;|im_end|&gt;
&lt;|im_start|&gt;user
Please calculate the residence time with following conditions?
It is planned to carry out the reaction A+B \longrightarrow C in PFR. The experimentally determined reaction kinetic equation is -r_{A}=k\times c_{A}^3\times c_{B}^3 kmol/(L*min), the reaction kinetic constant k=0.005.The initial concentration of raw material A c_{A0}2.6 kmol/m3, and the concentration of raw material B is c_{B0}3.81 kmol/m3., the conversion rate is 0.515. The feed volumetric flow rate Q is 0.494 kmol/m3.&lt;|im_end|&gt;
&lt;|im_start|&gt;assistant
</t>
  </si>
  <si>
    <t>For the BR reactor,-r_{A} =k\times c_{A}^2 kmol/(L*min), c_{A} =c_{A0} \times (1-x_{A} ) ,the residence time \tau is obtained by c_{A0}\times\int_{0}^{x_{f}}\frac{dx_{A}}{-r_{A}}. And the reactor volume is \frac{(\tau + t_{assist} )\times Q}{f} The calculated reactor volume V is 4.88 Cubic Meters.</t>
  </si>
  <si>
    <t xml:space="preserve">&lt;|im_start|&gt;system
You are Qwen, created by Alibaba Cloud. You are a helpful assistant.&lt;|im_end|&gt;
&lt;|im_start|&gt;user
Please calculate the reactor volume with following conditions？
It is planned to carry out the reaction A+B \longrightarrow C in BR. The experimentally determined reaction kinetic equation is -r_{A}=k\times c_{A}^2 kmol/(L*min), the reaction kinetic constant k=0.01.The initial concentration of raw material A c_{A0} is 7.15 kmol/m3., the conversion rate is 0.617. The feed volumetric flow rate Q is 0.673 kmol/m3, the auxiliary production time t_{assist} is 1 h, and the loading factor f is 0.48.&lt;|im_end|&gt;
&lt;|im_start|&gt;assistant
</t>
  </si>
  <si>
    <t>For the CSTR reactor,-r_{A} =k\times c_{A}^3 kmol/(L*min), c_{A} =c_{A0} \times (1-x_{A} ) the residence time \tau is calculated by \frac{c_{A0} \times x_{f} }{-r_{A} }. And the reactor volume is \tau \times Q The calculated reactor volume V is 0.14 Cubic Meters.</t>
  </si>
  <si>
    <t xml:space="preserve">&lt;|im_start|&gt;system
You are Qwen, created by Alibaba Cloud. You are a helpful assistant.&lt;|im_end|&gt;
&lt;|im_start|&gt;user
Please calculate the reactor volume with following conditions？
It is planned to carry out the reaction A+B \longrightarrow C in CSTR. The experimentally determined reaction kinetic equation is -r_{A}=k\times c_{A}^3 kmol/(L*min), the reaction kinetic constant k=0.01.The initial concentration of raw material A c_{A0} is 4.84 kmol/m3., the conversion rate is 0.678. The feed volumetric flow rate Q is 0.197 kmol/m3.&lt;|im_end|&gt;
&lt;|im_start|&gt;assistant
</t>
  </si>
  <si>
    <t>For the CSTR reactor,-r_{A} =k\times c_{A}^1 kmol/(L*min), c_{A} =c_{A0} \times (1-x_{A} ) the residence time \tau is calculated by \frac{c_{A0} \times x_{f} }{-r_{A} }. And the reactor volume is \tau \times Q The calculated reactor volume V is 14.38 Cubic Meters.</t>
  </si>
  <si>
    <t xml:space="preserve">&lt;|im_start|&gt;system
You are Qwen, created by Alibaba Cloud. You are a helpful assistant.&lt;|im_end|&gt;
&lt;|im_start|&gt;user
Please calculate the reactor volume with following conditions？
It is planned to carry out the reaction A+B \longrightarrow C in CSTR. The experimentally determined reaction kinetic equation is -r_{A}=k\times c_{A}^1 kmol/(L*min), the reaction kinetic constant k=0.002.The initial concentration of raw material A c_{A0} is 5.26 kmol/m3., the conversion rate is 0.755. The feed volumetric flow rate Q is 0.598 kmol/m3.&lt;|im_end|&gt;
&lt;|im_start|&gt;assistant
</t>
  </si>
  <si>
    <t>For the PFR reactor,-r_{A} =k\times c_{A}^2 kmol/(L*min), c_{A} =c_{A0} \times (1-x_{A} ) ,the residence time \tau is obtained by c_{A0}\times\int_{0}^{x_{f}}\frac{dx_{A}}{-r_{A}}. And the reactor volume is \tau \times Q The calculated reactor volume V is 2.01 Cubic Meters.</t>
  </si>
  <si>
    <t xml:space="preserve">&lt;|im_start|&gt;system
You are Qwen, created by Alibaba Cloud. You are a helpful assistant.&lt;|im_end|&gt;
&lt;|im_start|&gt;user
Please calculate the reactor volume with following conditions？
It is planned to carry out the reaction A+B \longrightarrow C in PFR. The experimentally determined reaction kinetic equation is -r_{A}=k\times c_{A}^2 kmol/(L*min), the reaction kinetic constant k=0.007.The initial concentration of raw material A c_{A0} is 2.75 kmol/m3., the conversion rate is 0.796. The feed volumetric flow rate Q is 0.936 kmol/m3.&lt;|im_end|&gt;
&lt;|im_start|&gt;assistant
</t>
  </si>
  <si>
    <t>For the BR reactor,-r_{A} =k\times c_{A}^1\times c_{B}^2 kmol/(L*min), c_{A} =c_{A0} \times (1-x_{A} ), c_{B} =c_{B0} - c_{A0} \times x_{A}, the residence time \tau is obtained by c_{A0}\times\int_{0}^{x_{f}}\frac{dx_{A}}{-r_{A}}. The residence time \tau of the BR reactor is 0.06 h.</t>
  </si>
  <si>
    <t xml:space="preserve">&lt;|im_start|&gt;system
You are Qwen, created by Alibaba Cloud. You are a helpful assistant.&lt;|im_end|&gt;
&lt;|im_start|&gt;user
Please calculate the residence time with following conditions?
It is planned to carry out the reaction A+B \longrightarrow C in BR. The experimentally determined reaction kinetic equation is -r_{A}=k\times c_{A}^1\times c_{B}^2 kmol/(L*min), the reaction kinetic constant k=0.009.The initial concentration of raw material A c_{A0}4.91 kmol/m3, and the concentration of raw material B is c_{B0}8.83 kmol/m3., the conversion rate is 0.58. The feed volumetric flow rate Q is 0.291 kmol/m3, the auxiliary production time t_{assist} is 5 h, and the loading factor f is 0.64.&lt;|im_end|&gt;
&lt;|im_start|&gt;assistant
</t>
  </si>
  <si>
    <t xml:space="preserve">&lt;|im_start|&gt;system
You are Qwen, created by Alibaba Cloud. You are a helpful assistant.&lt;|im_end|&gt;
&lt;|im_start|&gt;user
Please calculate the residence time with following conditions?
It is planned to carry out the reaction A+B \longrightarrow C in BR. The experimentally determined reaction kinetic equation is -r_{A}=k\times c_{A}^1\times c_{B}^3 kmol/(L*min), the reaction kinetic constant k=0.004.The initial concentration of raw material A c_{A0}2.92 kmol/m3, and the concentration of raw material B is c_{B0}9.7 kmol/m3., the conversion rate is 0.575. The feed volumetric flow rate Q is 0.873 kmol/m3, the auxiliary production time t_{assist} is 0 h, and the loading factor f is 0.53.&lt;|im_end|&gt;
&lt;|im_start|&gt;assistant
</t>
  </si>
  <si>
    <t>For the PFR reactor,-r_{A} =k\times c_{A}^3 kmol/(L*min), c_{A} =c_{A0} \times (1-x_{A} ) ,the residence time \tau is obtained by c_{A0}\times\int_{0}^{x_{f}}\frac{dx_{A}}{-r_{A}}. And the reactor volume is \tau \times Q The calculated reactor volume V is 2.25 Cubic Meters.</t>
  </si>
  <si>
    <t xml:space="preserve">&lt;|im_start|&gt;system
You are Qwen, created by Alibaba Cloud. You are a helpful assistant.&lt;|im_end|&gt;
&lt;|im_start|&gt;user
Please calculate the reactor volume with following conditions？
It is planned to carry out the reaction A+B \longrightarrow C in PFR. The experimentally determined reaction kinetic equation is -r_{A}=k\times c_{A}^3 kmol/(L*min), the reaction kinetic constant k=0.001.The initial concentration of raw material A c_{A0} is 1.76 kmol/m3., the conversion rate is 0.836. The feed volumetric flow rate Q is 0.868 kmol/m3.&lt;|im_end|&gt;
&lt;|im_start|&gt;assistant
</t>
  </si>
  <si>
    <t>For the CSTR reactor,-r_{A} =k\times c_{A}^1 kmol/(L*min), c_{A} =c_{A0} \times (1-x_{A} ) the residence time \tau is calculated by \frac{c_{A0} \times x_{f} }{-r_{A} } . The residence time \tau of the CSTR reactor is 12.69 h.</t>
  </si>
  <si>
    <t xml:space="preserve">&lt;|im_start|&gt;system
You are Qwen, created by Alibaba Cloud. You are a helpful assistant.&lt;|im_end|&gt;
&lt;|im_start|&gt;user
Please calculate the residence time with following conditions?
It is planned to carry out the reaction A+B \longrightarrow C in CSTR. The experimentally determined reaction kinetic equation is -r_{A}=k\times c_{A}^1 kmol/(L*min), the reaction kinetic constant k=0.007.The initial concentration of raw material A c_{A0} is 3.67 kmol/m3., the conversion rate is 0.874. The feed volumetric flow rate Q is 0.281 kmol/m3.&lt;|im_end|&gt;
&lt;|im_start|&gt;assistant
</t>
  </si>
  <si>
    <t>For the PFR reactor,-r_{A} =k\times c_{A}^3\times c_{B}^2 kmol/(L*min), c_{A} =c_{A0} \times (1-x_{A} ), c_{B} =c_{B0} - c_{A0} \times x_{A}, the residence time \tau is obtained by c_{A0}\times\int_{0}^{x_{f}}\frac{dx_{A}}{-r_{A}}. The residence time \tau of the PFR reactor is 1.54 h.</t>
  </si>
  <si>
    <t xml:space="preserve">&lt;|im_start|&gt;system
You are Qwen, created by Alibaba Cloud. You are a helpful assistant.&lt;|im_end|&gt;
&lt;|im_start|&gt;user
Please calculate the residence time with following conditions?
It is planned to carry out the reaction A+B \longrightarrow C in PFR. The experimentally determined reaction kinetic equation is -r_{A}=k\times c_{A}^3\times c_{B}^2 kmol/(L*min), the reaction kinetic constant k=0.008.The initial concentration of raw material A c_{A0}2.61 kmol/m3, and the concentration of raw material B is c_{B0}2.95 kmol/m3., the conversion rate is 0.61. The feed volumetric flow rate Q is 0.383 kmol/m3.&lt;|im_end|&gt;
&lt;|im_start|&gt;assistant
</t>
  </si>
  <si>
    <t>For the BR reactor,-r_{A} =k\times c_{A}^2\times c_{B}^2 kmol/(L*min), c_{A} =c_{A0} \times (1-x_{A} ), c_{B} =c_{B0} - c_{A0} \times x_{A}, the residence time \tau is obtained by c_{A0}\times\int_{0}^{x_{f}}\frac{dx_{A}}{-r_{A}}. The residence time \tau of the BR reactor is 18.24 h.</t>
  </si>
  <si>
    <t xml:space="preserve">&lt;|im_start|&gt;system
You are Qwen, created by Alibaba Cloud. You are a helpful assistant.&lt;|im_end|&gt;
&lt;|im_start|&gt;user
Please calculate the residence time with following conditions?
It is planned to carry out the reaction A+B \longrightarrow C in BR. The experimentally determined reaction kinetic equation is -r_{A}=k\times c_{A}^2\times c_{B}^2 kmol/(L*min), the reaction kinetic constant k=0.009.The initial concentration of raw material A c_{A0}1.64 kmol/m3, and the concentration of raw material B is c_{B0}1.21 kmol/m3., the conversion rate is 0.844. The feed volumetric flow rate Q is 0.839 kmol/m3, the auxiliary production time t_{assist} is 0 h, and the loading factor f is 0.7.&lt;|im_end|&gt;
&lt;|im_start|&gt;assistant
</t>
  </si>
  <si>
    <t>For the BR reactor,-r_{A} =k\times c_{A}^2\times c_{B}^3 kmol/(L*min), c_{A} =c_{A0} \times (1-x_{A} ), c_{B} =c_{B0}- c_{A0} \times x_{A}, the residence time \tau is obtained by c_{A0}\times\int_{0}^{x_{f}}\frac{dx_{A}}{-r_{A}}. And the reactor volume is \frac{(\tau + t_{assist} )\times Q}{f} The calculated reactor volume V is 0.46 Cubic Meters.</t>
  </si>
  <si>
    <t xml:space="preserve">&lt;|im_start|&gt;system
You are Qwen, created by Alibaba Cloud. You are a helpful assistant.&lt;|im_end|&gt;
&lt;|im_start|&gt;user
Please calculate the reactor volume with following conditions？
It is planned to carry out the reaction A+B \longrightarrow C in BR. The experimentally determined reaction kinetic equation is -r_{A}=k\times c_{A}^2\times c_{B}^3 kmol/(L*min), the reaction kinetic constant k=0.002.The initial concentration of raw material A c_{A0}7.21 kmol/m3, and the concentration of raw material B is c_{B0}5.67 kmol/m3., the conversion rate is 0.518. The feed volumetric flow rate Q is 0.141 kmol/m3, the auxiliary production time t_{assist} is 1 h, and the loading factor f is 0.6.&lt;|im_end|&gt;
&lt;|im_start|&gt;assistant
</t>
  </si>
  <si>
    <t>For the BR reactor,-r_{A} =k\times c_{A}^2 kmol/(L*min), c_{A} =c_{A0} \times (1-x_{A} ) ,the residence time \tau is obtained by c_{A0}\times\int_{0}^{x_{f}}\frac{dx_{A}}{-r_{A}}. The residence time \tau of the BR reactor is 0.52 h.</t>
  </si>
  <si>
    <t xml:space="preserve">&lt;|im_start|&gt;system
You are Qwen, created by Alibaba Cloud. You are a helpful assistant.&lt;|im_end|&gt;
&lt;|im_start|&gt;user
Please calculate the residence time with following conditions?
It is planned to carry out the reaction A+B \longrightarrow C in BR. The experimentally determined reaction kinetic equation is -r_{A}=k\times c_{A}^2 kmol/(L*min), the reaction kinetic constant k=0.008.The initial concentration of raw material A c_{A0} is 6.95 kmol/m3., the conversion rate is 0.639. The feed volumetric flow rate Q is 0.139 kmol/m3, the auxiliary production time t_{assist} is 0 h, and the loading factor f is 0.71.&lt;|im_end|&gt;
&lt;|im_start|&gt;assistant
</t>
  </si>
  <si>
    <t>For the CSTR reactor,-r_{A} =k\times c_{A}^1 kmol/(L*min), c_{A} =c_{A0} \times (1-x_{A} ) the residence time \tau is calculated by \frac{c_{A0} \times x_{f} }{-r_{A} }. And the reactor volume is \tau \times Q The calculated reactor volume V is 44.38 Cubic Meters.</t>
  </si>
  <si>
    <t xml:space="preserve">&lt;|im_start|&gt;system
You are Qwen, created by Alibaba Cloud. You are a helpful assistant.&lt;|im_end|&gt;
&lt;|im_start|&gt;user
Please calculate the reactor volume with following conditions？
It is planned to carry out the reaction A+B \longrightarrow C in CSTR. The experimentally determined reaction kinetic equation is -r_{A}=k\times c_{A}^1 kmol/(L*min), the reaction kinetic constant k=0.008.The initial concentration of raw material A c_{A0} is 8.95 kmol/m3., the conversion rate is 0.996. The feed volumetric flow rate Q is 0.475 kmol/m3.&lt;|im_end|&gt;
&lt;|im_start|&gt;assistant
</t>
  </si>
  <si>
    <t>For the CSTR reactor,-r_{A} =k\times c_{A}^3\times c_{B}^3 kmol/(L*min), c_{A} =c_{A0} \times (1-x_{A} ), c_{B} =c_{B0}- c_{A0} \times x_{A}, the residence time \tau is calculated by \frac{c_{A0} \times x_{f} }{-r_{A} }. And the reactor volume is \tau \times Q The calculated reactor volume V is 2.48 Cubic Meters.</t>
  </si>
  <si>
    <t xml:space="preserve">&lt;|im_start|&gt;system
You are Qwen, created by Alibaba Cloud. You are a helpful assistant.&lt;|im_end|&gt;
&lt;|im_start|&gt;user
Please calculate the reactor volume with following conditions？
It is planned to carry out the reaction A+B \longrightarrow C in CSTR. The experimentally determined reaction kinetic equation is -r_{A}=k\times c_{A}^3\times c_{B}^3 kmol/(L*min), the reaction kinetic constant k=0.009.The initial concentration of raw material A c_{A0}0.62 kmol/m3, and the concentration of raw material B is c_{B0}6.07 kmol/m3., the conversion rate is 0.719. The feed volumetric flow rate Q is 0.958 kmol/m3.&lt;|im_end|&gt;
&lt;|im_start|&gt;assistant
</t>
  </si>
  <si>
    <t>For the PFR reactor,-r_{A} =k\times c_{A}^2 kmol/(L*min), c_{A} =c_{A0} \times (1-x_{A} ) ,the residence time \tau is obtained by c_{A0}\times\int_{0}^{x_{f}}\frac{dx_{A}}{-r_{A}}. And the reactor volume is \tau \times Q The calculated reactor volume V is 15.21 Cubic Meters.</t>
  </si>
  <si>
    <t xml:space="preserve">&lt;|im_start|&gt;system
You are Qwen, created by Alibaba Cloud. You are a helpful assistant.&lt;|im_end|&gt;
&lt;|im_start|&gt;user
Please calculate the reactor volume with following conditions？
It is planned to carry out the reaction A+B \longrightarrow C in PFR. The experimentally determined reaction kinetic equation is -r_{A}=k\times c_{A}^2 kmol/(L*min), the reaction kinetic constant k=0.001.The initial concentration of raw material A c_{A0} is 4.23 kmol/m3., the conversion rate is 0.964. The feed volumetric flow rate Q is 0.99 kmol/m3.&lt;|im_end|&gt;
&lt;|im_start|&gt;assistant
</t>
  </si>
  <si>
    <t>For the BR reactor,-r_{A} =k\times c_{A}^2 kmol/(L*min), c_{A} =c_{A0} \times (1-x_{A} ) ,the residence time \tau is obtained by c_{A0}\times\int_{0}^{x_{f}}\frac{dx_{A}}{-r_{A}}. And the reactor volume is \frac{(\tau + t_{assist} )\times Q}{f} The calculated reactor volume V is 6.84 Cubic Meters.</t>
  </si>
  <si>
    <t xml:space="preserve">&lt;|im_start|&gt;system
You are Qwen, created by Alibaba Cloud. You are a helpful assistant.&lt;|im_end|&gt;
&lt;|im_start|&gt;user
Please calculate the reactor volume with following conditions？
It is planned to carry out the reaction A+B \longrightarrow C in BR. The experimentally determined reaction kinetic equation is -r_{A}=k\times c_{A}^2 kmol/(L*min), the reaction kinetic constant k=0.009.The initial concentration of raw material A c_{A0} is 0.95 kmol/m3., the conversion rate is 0.573. The feed volumetric flow rate Q is 0.895 kmol/m3, the auxiliary production time t_{assist} is 1 h, and the loading factor f is 0.72.&lt;|im_end|&gt;
&lt;|im_start|&gt;assistant
</t>
  </si>
  <si>
    <t>For the PFR reactor,-r_{A} =k\times c_{A}^2 kmol/(L*min), c_{A} =c_{A0} \times (1-x_{A} ) ,the residence time \tau is obtained by c_{A0}\times\int_{0}^{x_{f}}\frac{dx_{A}}{-r_{A}}. The residence time \tau of the PFR reactor is 1.61 h.</t>
  </si>
  <si>
    <t xml:space="preserve">&lt;|im_start|&gt;system
You are Qwen, created by Alibaba Cloud. You are a helpful assistant.&lt;|im_end|&gt;
&lt;|im_start|&gt;user
Please calculate the residence time with following conditions?
It is planned to carry out the reaction A+B \longrightarrow C in PFR. The experimentally determined reaction kinetic equation is -r_{A}=k\times c_{A}^2 kmol/(L*min), the reaction kinetic constant k=0.006.The initial concentration of raw material A c_{A0} is 8.69 kmol/m3., the conversion rate is 0.728. The feed volumetric flow rate Q is 0.825 kmol/m3.&lt;|im_end|&gt;
&lt;|im_start|&gt;assistant
</t>
  </si>
  <si>
    <t>For the CSTR reactor,-r_{A} =k\times c_{A}^2 kmol/(L*min), c_{A} =c_{A0} \times (1-x_{A} ) the residence time \tau is calculated by \frac{c_{A0} \times x_{f} }{-r_{A} } . The residence time \tau of the CSTR reactor is 18.47 h.</t>
  </si>
  <si>
    <t xml:space="preserve">&lt;|im_start|&gt;system
You are Qwen, created by Alibaba Cloud. You are a helpful assistant.&lt;|im_end|&gt;
&lt;|im_start|&gt;user
Please calculate the residence time with following conditions?
It is planned to carry out the reaction A+B \longrightarrow C in CSTR. The experimentally determined reaction kinetic equation is -r_{A}=k\times c_{A}^2 kmol/(L*min), the reaction kinetic constant k=0.01.The initial concentration of raw material A c_{A0} is 5.2 kmol/m3., the conversion rate is 0.85. The feed volumetric flow rate Q is 0.305 kmol/m3.&lt;|im_end|&gt;
&lt;|im_start|&gt;assistant
</t>
  </si>
  <si>
    <t>For the PFR reactor,-r_{A} =k\times c_{A}^3 kmol/(L*min), c_{A} =c_{A0} \times (1-x_{A} ) ,the residence time \tau is obtained by c_{A0}\times\int_{0}^{x_{f}}\frac{dx_{A}}{-r_{A}}. The residence time \tau of the PFR reactor is 5.64 h.</t>
  </si>
  <si>
    <t xml:space="preserve">&lt;|im_start|&gt;system
You are Qwen, created by Alibaba Cloud. You are a helpful assistant.&lt;|im_end|&gt;
&lt;|im_start|&gt;user
Please calculate the residence time with following conditions?
It is planned to carry out the reaction A+B \longrightarrow C in PFR. The experimentally determined reaction kinetic equation is -r_{A}=k\times c_{A}^3 kmol/(L*min), the reaction kinetic constant k=0.007.The initial concentration of raw material A c_{A0} is 9.44 kmol/m3., the conversion rate is 0.986. The feed volumetric flow rate Q is 0.224 kmol/m3.&lt;|im_end|&gt;
&lt;|im_start|&gt;assistant
</t>
  </si>
  <si>
    <t>For the BR reactor,-r_{A} =k\times c_{A}^2\times c_{B}^2 kmol/(L*min), c_{A} =c_{A0} \times (1-x_{A} ), c_{B} =c_{B0} - c_{A0} \times x_{A}, the residence time \tau is obtained by c_{A0}\times\int_{0}^{x_{f}}\frac{dx_{A}}{-r_{A}}. The residence time \tau of the BR reactor is 0.01 h.</t>
  </si>
  <si>
    <t xml:space="preserve">&lt;|im_start|&gt;system
You are Qwen, created by Alibaba Cloud. You are a helpful assistant.&lt;|im_end|&gt;
&lt;|im_start|&gt;user
Please calculate the residence time with following conditions?
It is planned to carry out the reaction A+B \longrightarrow C in BR. The experimentally determined reaction kinetic equation is -r_{A}=k\times c_{A}^2\times c_{B}^2 kmol/(L*min), the reaction kinetic constant k=0.005.The initial concentration of raw material A c_{A0}2.41 kmol/m3, and the concentration of raw material B is c_{B0}6.35 kmol/m3., the conversion rate is 0.62. The feed volumetric flow rate Q is 0.668 kmol/m3, the auxiliary production time t_{assist} is 2 h, and the loading factor f is 0.74.&lt;|im_end|&gt;
&lt;|im_start|&gt;assistant
</t>
  </si>
  <si>
    <t>For the CSTR reactor,-r_{A} =k\times c_{A}^3\times c_{B}^2 kmol/(L*min), c_{A} =c_{A0} \times (1-x_{A} ), c_{B} =c_{B0}- c_{A0} \times x_{A}, the residence time \tau is calculated by \frac{c_{A0} \times x_{f} }{-r_{A} }. The residence time \tau of the CSTR reactor is 5394.98 h.</t>
  </si>
  <si>
    <t xml:space="preserve">&lt;|im_start|&gt;system
You are Qwen, created by Alibaba Cloud. You are a helpful assistant.&lt;|im_end|&gt;
&lt;|im_start|&gt;user
Please calculate the residence time with following conditions?
It is planned to carry out the reaction A+B \longrightarrow C in CSTR. The experimentally determined reaction kinetic equation is -r_{A}=k\times c_{A}^3\times c_{B}^2 kmol/(L*min), the reaction kinetic constant k=0.007.The initial concentration of raw material A c_{A0}1.23 kmol/m3, and the concentration of raw material B is c_{B0}7.43 kmol/m3., the conversion rate is 0.97. The feed volumetric flow rate Q is 0.154 kmol/m3.&lt;|im_end|&gt;
&lt;|im_start|&gt;assistant
</t>
  </si>
  <si>
    <t>For the BR reactor,-r_{A} =k\times c_{A}^2\times c_{B}^2 kmol/(L*min), c_{A} =c_{A0} \times (1-x_{A} ), c_{B} =c_{B0}- c_{A0} \times x_{A}, the residence time \tau is obtained by c_{A0}\times\int_{0}^{x_{f}}\frac{dx_{A}}{-r_{A}}. And the reactor volume is \frac{(\tau + t_{assist} )\times Q}{f} The calculated reactor volume V is 0.03 Cubic Meters.</t>
  </si>
  <si>
    <t xml:space="preserve">&lt;|im_start|&gt;system
You are Qwen, created by Alibaba Cloud. You are a helpful assistant.&lt;|im_end|&gt;
&lt;|im_start|&gt;user
Please calculate the reactor volume with following conditions？
It is planned to carry out the reaction A+B \longrightarrow C in BR. The experimentally determined reaction kinetic equation is -r_{A}=k\times c_{A}^2\times c_{B}^2 kmol/(L*min), the reaction kinetic constant k=0.003.The initial concentration of raw material A c_{A0}9.4 kmol/m3, and the concentration of raw material B is c_{B0}9.64 kmol/m3., the conversion rate is 0.542. The feed volumetric flow rate Q is 0.896 kmol/m3, the auxiliary production time t_{assist} is 0 h, and the loading factor f is 0.49.&lt;|im_end|&gt;
&lt;|im_start|&gt;assistant
</t>
  </si>
  <si>
    <t>For the CSTR reactor,-r_{A} =k\times c_{A}^1\times c_{B}^2 kmol/(L*min), c_{A} =c_{A0} \times (1-x_{A} ), c_{B} =c_{B0}- c_{A0} \times x_{A}, the residence time \tau is calculated by \frac{c_{A0} \times x_{f} }{-r_{A} }. And the reactor volume is \tau \times Q The calculated reactor volume V is 0.72 Cubic Meters.</t>
  </si>
  <si>
    <t xml:space="preserve">&lt;|im_start|&gt;system
You are Qwen, created by Alibaba Cloud. You are a helpful assistant.&lt;|im_end|&gt;
&lt;|im_start|&gt;user
Please calculate the reactor volume with following conditions？
It is planned to carry out the reaction A+B \longrightarrow C in CSTR. The experimentally determined reaction kinetic equation is -r_{A}=k\times c_{A}^1\times c_{B}^2 kmol/(L*min), the reaction kinetic constant k=0.008.The initial concentration of raw material A c_{A0}1.65 kmol/m3, and the concentration of raw material B is c_{B0}5.09 kmol/m3., the conversion rate is 0.988. The feed volumetric flow rate Q is 0.832 kmol/m3.&lt;|im_end|&gt;
&lt;|im_start|&gt;assistant
</t>
  </si>
  <si>
    <t>For the PFR reactor,-r_{A} =k\times c_{A}^2\times c_{B}^3 kmol/(L*min), c_{A} =c_{A0} \times (1-x_{A} ), c_{B} =c_{B0}- c_{A0} \times x_{A}, the residence time \tau is obtained by c_{A0}\times\int_{0}^{x_{f}}\frac{dx_{A}}{-r_{A}}. And the reactor volume is \tau \times Q The calculated reactor volume V is 2.82 Cubic Meters.</t>
  </si>
  <si>
    <t xml:space="preserve">&lt;|im_start|&gt;system
You are Qwen, created by Alibaba Cloud. You are a helpful assistant.&lt;|im_end|&gt;
&lt;|im_start|&gt;user
Please calculate the reactor volume with following conditions？
It is planned to carry out the reaction A+B \longrightarrow C in PFR. The experimentally determined reaction kinetic equation is -r_{A}=k\times c_{A}^2\times c_{B}^3 kmol/(L*min), the reaction kinetic constant k=0.007.The initial concentration of raw material A c_{A0}4.83 kmol/m3, and the concentration of raw material B is c_{B0}4.41 kmol/m3., the conversion rate is 0.808. The feed volumetric flow rate Q is 0.79 kmol/m3.&lt;|im_end|&gt;
&lt;|im_start|&gt;assistant
</t>
  </si>
  <si>
    <t>For the CSTR reactor,-r_{A} =k\times c_{A}^1 kmol/(L*min), c_{A} =c_{A0} \times (1-x_{A} ) the residence time \tau is calculated by \frac{c_{A0} \times x_{f} }{-r_{A} }. And the reactor volume is \tau \times Q The calculated reactor volume V is 0.36 Cubic Meters.</t>
  </si>
  <si>
    <t xml:space="preserve">&lt;|im_start|&gt;system
You are Qwen, created by Alibaba Cloud. You are a helpful assistant.&lt;|im_end|&gt;
&lt;|im_start|&gt;user
Please calculate the reactor volume with following conditions？
It is planned to carry out the reaction A+B \longrightarrow C in CSTR. The experimentally determined reaction kinetic equation is -r_{A}=k\times c_{A}^1 kmol/(L*min), the reaction kinetic constant k=0.003.The initial concentration of raw material A c_{A0} is 6.27 kmol/m3., the conversion rate is 0.617. The feed volumetric flow rate Q is 0.032 kmol/m3.&lt;|im_end|&gt;
&lt;|im_start|&gt;assistant
</t>
  </si>
  <si>
    <t>For the PFR reactor,-r_{A} =k\times c_{A}^3\times c_{B}^2 kmol/(L*min), c_{A} =c_{A0} \times (1-x_{A} ), c_{B} =c_{B0} - c_{A0} \times x_{A}, the residence time \tau is obtained by c_{A0}\times\int_{0}^{x_{f}}\frac{dx_{A}}{-r_{A}}. The residence time \tau of the PFR reactor is 0.27 h.</t>
  </si>
  <si>
    <t xml:space="preserve">&lt;|im_start|&gt;system
You are Qwen, created by Alibaba Cloud. You are a helpful assistant.&lt;|im_end|&gt;
&lt;|im_start|&gt;user
Please calculate the residence time with following conditions?
It is planned to carry out the reaction A+B \longrightarrow C in PFR. The experimentally determined reaction kinetic equation is -r_{A}=k\times c_{A}^3\times c_{B}^2 kmol/(L*min), the reaction kinetic constant k=0.006.The initial concentration of raw material A c_{A0}0.68 kmol/m3, and the concentration of raw material B is c_{B0}5.14 kmol/m3., the conversion rate is 0.802. The feed volumetric flow rate Q is 0.599 kmol/m3.&lt;|im_end|&gt;
&lt;|im_start|&gt;assistant
</t>
  </si>
  <si>
    <t>For the PFR reactor,-r_{A} =k\times c_{A}^3 kmol/(L*min), c_{A} =c_{A0} \times (1-x_{A} ) ,the residence time \tau is obtained by c_{A0}\times\int_{0}^{x_{f}}\frac{dx_{A}}{-r_{A}}. And the reactor volume is \tau \times Q The calculated reactor volume V is 0.15 Cubic Meters.</t>
  </si>
  <si>
    <t xml:space="preserve">&lt;|im_start|&gt;system
You are Qwen, created by Alibaba Cloud. You are a helpful assistant.&lt;|im_end|&gt;
&lt;|im_start|&gt;user
Please calculate the reactor volume with following conditions？
It is planned to carry out the reaction A+B \longrightarrow C in PFR. The experimentally determined reaction kinetic equation is -r_{A}=k\times c_{A}^3 kmol/(L*min), the reaction kinetic constant k=0.006.The initial concentration of raw material A c_{A0} is 8.8 kmol/m3., the conversion rate is 0.588. The feed volumetric flow rate Q is 0.749 kmol/m3.&lt;|im_end|&gt;
&lt;|im_start|&gt;assistant
</t>
  </si>
  <si>
    <t>For the BR reactor,-r_{A} =k\times c_{A}^3\times c_{B}^2 kmol/(L*min), c_{A} =c_{A0} \times (1-x_{A} ), c_{B} =c_{B0} - c_{A0} \times x_{A}, the residence time \tau is obtained by c_{A0}\times\int_{0}^{x_{f}}\frac{dx_{A}}{-r_{A}}. The residence time \tau of the BR reactor is 1948.47 h.</t>
  </si>
  <si>
    <t xml:space="preserve">&lt;|im_start|&gt;system
You are Qwen, created by Alibaba Cloud. You are a helpful assistant.&lt;|im_end|&gt;
&lt;|im_start|&gt;user
Please calculate the residence time with following conditions?
It is planned to carry out the reaction A+B \longrightarrow C in BR. The experimentally determined reaction kinetic equation is -r_{A}=k\times c_{A}^3\times c_{B}^2 kmol/(L*min), the reaction kinetic constant k=0.002.The initial concentration of raw material A c_{A0}9.16 kmol/m3, and the concentration of raw material B is c_{B0}4.2 kmol/m3., the conversion rate is 0.974. The feed volumetric flow rate Q is 0.954 kmol/m3, the auxiliary production time t_{assist} is 3 h, and the loading factor f is 0.63.&lt;|im_end|&gt;
&lt;|im_start|&gt;assistant
</t>
  </si>
  <si>
    <t>For the PFR reactor,-r_{A} =k\times c_{A}^2 kmol/(L*min), c_{A} =c_{A0} \times (1-x_{A} ) ,the residence time \tau is obtained by c_{A0}\times\int_{0}^{x_{f}}\frac{dx_{A}}{-r_{A}}. And the reactor volume is \tau \times Q The calculated reactor volume V is 0.93 Cubic Meters.</t>
  </si>
  <si>
    <t xml:space="preserve">&lt;|im_start|&gt;system
You are Qwen, created by Alibaba Cloud. You are a helpful assistant.&lt;|im_end|&gt;
&lt;|im_start|&gt;user
Please calculate the reactor volume with following conditions？
It is planned to carry out the reaction A+B \longrightarrow C in PFR. The experimentally determined reaction kinetic equation is -r_{A}=k\times c_{A}^2 kmol/(L*min), the reaction kinetic constant k=0.007.The initial concentration of raw material A c_{A0} is 2.1 kmol/m3., the conversion rate is 0.521. The feed volumetric flow rate Q is 0.859 kmol/m3.&lt;|im_end|&gt;
&lt;|im_start|&gt;assistant
</t>
  </si>
  <si>
    <t>For the BR reactor,-r_{A} =k\times c_{A}^2 kmol/(L*min), c_{A} =c_{A0} \times (1-x_{A} ) ,the residence time \tau is obtained by c_{A0}\times\int_{0}^{x_{f}}\frac{dx_{A}}{-r_{A}}. The residence time \tau of the BR reactor is 10.98 h.</t>
  </si>
  <si>
    <t xml:space="preserve">&lt;|im_start|&gt;system
You are Qwen, created by Alibaba Cloud. You are a helpful assistant.&lt;|im_end|&gt;
&lt;|im_start|&gt;user
Please calculate the residence time with following conditions?
It is planned to carry out the reaction A+B \longrightarrow C in BR. The experimentally determined reaction kinetic equation is -r_{A}=k\times c_{A}^2 kmol/(L*min), the reaction kinetic constant k=0.002.The initial concentration of raw material A c_{A0} is 1.4 kmol/m3., the conversion rate is 0.848. The feed volumetric flow rate Q is 0.178 kmol/m3, the auxiliary production time t_{assist} is 3 h, and the loading factor f is 0.43.&lt;|im_end|&gt;
&lt;|im_start|&gt;assistant
</t>
  </si>
  <si>
    <t>For the PFR reactor,-r_{A} =k\times c_{A}^1\times c_{B}^1 kmol/(L*min), c_{A} =c_{A0} \times (1-x_{A} ), c_{B} =c_{B0}- c_{A0} \times x_{A}, the residence time \tau is obtained by c_{A0}\times\int_{0}^{x_{f}}\frac{dx_{A}}{-r_{A}}. And the reactor volume is \tau \times Q The calculated reactor volume V is 1.26 Cubic Meters.</t>
  </si>
  <si>
    <t xml:space="preserve">&lt;|im_start|&gt;system
You are Qwen, created by Alibaba Cloud. You are a helpful assistant.&lt;|im_end|&gt;
&lt;|im_start|&gt;user
Please calculate the reactor volume with following conditions？
It is planned to carry out the reaction A+B \longrightarrow C in PFR. The experimentally determined reaction kinetic equation is -r_{A}=k\times c_{A}^1\times c_{B}^1 kmol/(L*min), the reaction kinetic constant k=0.008.The initial concentration of raw material A c_{A0}4.13 kmol/m3, and the concentration of raw material B is c_{B0}8.2 kmol/m3., the conversion rate is 0.844. The feed volumetric flow rate Q is 0.877 kmol/m3.&lt;|im_end|&gt;
&lt;|im_start|&gt;assistant
</t>
  </si>
  <si>
    <t>For the BR reactor,-r_{A} =k\times c_{A}^2 kmol/(L*min), c_{A} =c_{A0} \times (1-x_{A} ) ,the residence time \tau is obtained by c_{A0}\times\int_{0}^{x_{f}}\frac{dx_{A}}{-r_{A}}. And the reactor volume is \frac{(\tau + t_{assist} )\times Q}{f} The calculated reactor volume V is 5.21 Cubic Meters.</t>
  </si>
  <si>
    <t xml:space="preserve">&lt;|im_start|&gt;system
You are Qwen, created by Alibaba Cloud. You are a helpful assistant.&lt;|im_end|&gt;
&lt;|im_start|&gt;user
Please calculate the reactor volume with following conditions？
It is planned to carry out the reaction A+B \longrightarrow C in BR. The experimentally determined reaction kinetic equation is -r_{A}=k\times c_{A}^2 kmol/(L*min), the reaction kinetic constant k=0.008.The initial concentration of raw material A c_{A0} is 6.42 kmol/m3., the conversion rate is 0.796. The feed volumetric flow rate Q is 0.965 kmol/m3, the auxiliary production time t_{assist} is 2 h, and the loading factor f is 0.54.&lt;|im_end|&gt;
&lt;|im_start|&gt;assistant
</t>
  </si>
  <si>
    <t>For the PFR reactor,-r_{A} =k\times c_{A}^3\times c_{B}^3 kmol/(L*min), c_{A} =c_{A0} \times (1-x_{A} ), c_{B} =c_{B0} - c_{A0} \times x_{A}, the residence time \tau is obtained by c_{A0}\times\int_{0}^{x_{f}}\frac{dx_{A}}{-r_{A}}. The residence time \tau of the PFR reactor is 0.82 h.</t>
  </si>
  <si>
    <t xml:space="preserve">&lt;|im_start|&gt;system
You are Qwen, created by Alibaba Cloud. You are a helpful assistant.&lt;|im_end|&gt;
&lt;|im_start|&gt;user
Please calculate the residence time with following conditions?
It is planned to carry out the reaction A+B \longrightarrow C in PFR. The experimentally determined reaction kinetic equation is -r_{A}=k\times c_{A}^3\times c_{B}^3 kmol/(L*min), the reaction kinetic constant k=0.006.The initial concentration of raw material A c_{A0}2.41 kmol/m3, and the concentration of raw material B is c_{B0}4.32 kmol/m3., the conversion rate is 0.589. The feed volumetric flow rate Q is 0.977 kmol/m3.&lt;|im_end|&gt;
&lt;|im_start|&gt;assistant
</t>
  </si>
  <si>
    <t>For the CSTR reactor,-r_{A} =k\times c_{A}^2\times c_{B}^2 kmol/(L*min), c_{A} =c_{A0} \times (1-x_{A} ), c_{B} =c_{B0}- c_{A0} \times x_{A}, the residence time \tau is calculated by \frac{c_{A0} \times x_{f} }{-r_{A} }. The residence time \tau of the CSTR reactor is 1002.98 h.</t>
  </si>
  <si>
    <t xml:space="preserve">&lt;|im_start|&gt;system
You are Qwen, created by Alibaba Cloud. You are a helpful assistant.&lt;|im_end|&gt;
&lt;|im_start|&gt;user
Please calculate the residence time with following conditions?
It is planned to carry out the reaction A+B \longrightarrow C in CSTR. The experimentally determined reaction kinetic equation is -r_{A}=k\times c_{A}^2\times c_{B}^2 kmol/(L*min), the reaction kinetic constant k=0.003.The initial concentration of raw material A c_{A0}3.02 kmol/m3, and the concentration of raw material B is c_{B0}9.31 kmol/m3., the conversion rate is 0.92. The feed volumetric flow rate Q is 0.355 kmol/m3.&lt;|im_end|&gt;
&lt;|im_start|&gt;assistant
</t>
  </si>
  <si>
    <t>For the CSTR reactor,-r_{A} =k\times c_{A}^3\times c_{B}^3 kmol/(L*min), c_{A} =c_{A0} \times (1-x_{A} ), c_{B} =c_{B0}- c_{A0} \times x_{A}, the residence time \tau is calculated by \frac{c_{A0} \times x_{f} }{-r_{A} }. The residence time \tau of the CSTR reactor is 18.06 h.</t>
  </si>
  <si>
    <t xml:space="preserve">&lt;|im_start|&gt;system
You are Qwen, created by Alibaba Cloud. You are a helpful assistant.&lt;|im_end|&gt;
&lt;|im_start|&gt;user
Please calculate the residence time with following conditions?
It is planned to carry out the reaction A+B \longrightarrow C in CSTR. The experimentally determined reaction kinetic equation is -r_{A}=k\times c_{A}^3\times c_{B}^3 kmol/(L*min), the reaction kinetic constant k=0.01.The initial concentration of raw material A c_{A0}0.62 kmol/m3, and the concentration of raw material B is c_{B0}4.66 kmol/m3., the conversion rate is 0.826. The feed volumetric flow rate Q is 0.239 kmol/m3.&lt;|im_end|&gt;
&lt;|im_start|&gt;assistant
</t>
  </si>
  <si>
    <t>For the PFR reactor,-r_{A} =k\times c_{A}^2 kmol/(L*min), c_{A} =c_{A0} \times (1-x_{A} ) ,the residence time \tau is obtained by c_{A0}\times\int_{0}^{x_{f}}\frac{dx_{A}}{-r_{A}}. The residence time \tau of the PFR reactor is 1.62 h.</t>
  </si>
  <si>
    <t xml:space="preserve">&lt;|im_start|&gt;system
You are Qwen, created by Alibaba Cloud. You are a helpful assistant.&lt;|im_end|&gt;
&lt;|im_start|&gt;user
Please calculate the residence time with following conditions?
It is planned to carry out the reaction A+B \longrightarrow C in PFR. The experimentally determined reaction kinetic equation is -r_{A}=k\times c_{A}^2 kmol/(L*min), the reaction kinetic constant k=0.006.The initial concentration of raw material A c_{A0} is 5.56 kmol/m3., the conversion rate is 0.707. The feed volumetric flow rate Q is 0.192 kmol/m3.&lt;|im_end|&gt;
&lt;|im_start|&gt;assistant
</t>
  </si>
  <si>
    <t>For the PFR reactor,-r_{A} =k\times c_{A}^2 kmol/(L*min), c_{A} =c_{A0} \times (1-x_{A} ) ,the residence time \tau is obtained by c_{A0}\times\int_{0}^{x_{f}}\frac{dx_{A}}{-r_{A}}. And the reactor volume is \tau \times Q The calculated reactor volume V is 0.19 Cubic Meters.</t>
  </si>
  <si>
    <t xml:space="preserve">&lt;|im_start|&gt;system
You are Qwen, created by Alibaba Cloud. You are a helpful assistant.&lt;|im_end|&gt;
&lt;|im_start|&gt;user
Please calculate the reactor volume with following conditions？
It is planned to carry out the reaction A+B \longrightarrow C in PFR. The experimentally determined reaction kinetic equation is -r_{A}=k\times c_{A}^2 kmol/(L*min), the reaction kinetic constant k=0.006.The initial concentration of raw material A c_{A0} is 2.18 kmol/m3., the conversion rate is 0.85. The feed volumetric flow rate Q is 0.072 kmol/m3.&lt;|im_end|&gt;
&lt;|im_start|&gt;assistant
</t>
  </si>
  <si>
    <t>For the BR reactor,-r_{A} =k\times c_{A}^1 kmol/(L*min), c_{A} =c_{A0} \times (1-x_{A} ) ,the residence time \tau is obtained by c_{A0}\times\int_{0}^{x_{f}}\frac{dx_{A}}{-r_{A}}. And the reactor volume is \frac{(\tau + t_{assist} )\times Q}{f} The calculated reactor volume V is 2.82 Cubic Meters.</t>
  </si>
  <si>
    <t xml:space="preserve">&lt;|im_start|&gt;system
You are Qwen, created by Alibaba Cloud. You are a helpful assistant.&lt;|im_end|&gt;
&lt;|im_start|&gt;user
Please calculate the reactor volume with following conditions？
It is planned to carry out the reaction A+B \longrightarrow C in BR. The experimentally determined reaction kinetic equation is -r_{A}=k\times c_{A}^1 kmol/(L*min), the reaction kinetic constant k=0.006.The initial concentration of raw material A c_{A0} is 4.37 kmol/m3., the conversion rate is 0.521. The feed volumetric flow rate Q is 0.462 kmol/m3, the auxiliary production time t_{assist} is 2 h, and the loading factor f is 0.77.&lt;|im_end|&gt;
&lt;|im_start|&gt;assistant
</t>
  </si>
  <si>
    <t>For the PFR reactor,-r_{A} =k\times c_{A}^3 kmol/(L*min), c_{A} =c_{A0} \times (1-x_{A} ) ,the residence time \tau is obtained by c_{A0}\times\int_{0}^{x_{f}}\frac{dx_{A}}{-r_{A}}. The residence time \tau of the PFR reactor is 0.52 h.</t>
  </si>
  <si>
    <t xml:space="preserve">&lt;|im_start|&gt;system
You are Qwen, created by Alibaba Cloud. You are a helpful assistant.&lt;|im_end|&gt;
&lt;|im_start|&gt;user
Please calculate the residence time with following conditions?
It is planned to carry out the reaction A+B \longrightarrow C in PFR. The experimentally determined reaction kinetic equation is -r_{A}=k\times c_{A}^3 kmol/(L*min), the reaction kinetic constant k=0.003.The initial concentration of raw material A c_{A0} is 7.96 kmol/m3., the conversion rate is 0.61. The feed volumetric flow rate Q is 0.062 kmol/m3.&lt;|im_end|&gt;
&lt;|im_start|&gt;assistant
</t>
  </si>
  <si>
    <t>For the BR reactor,-r_{A} =k\times c_{A}^1\times c_{B}^2 kmol/(L*min), c_{A} =c_{A0} \times (1-x_{A} ), c_{B} =c_{B0} - c_{A0} \times x_{A}, the residence time \tau is obtained by c_{A0}\times\int_{0}^{x_{f}}\frac{dx_{A}}{-r_{A}}. The residence time \tau of the BR reactor is 159873107.37 h.</t>
  </si>
  <si>
    <t xml:space="preserve">&lt;|im_start|&gt;system
You are Qwen, created by Alibaba Cloud. You are a helpful assistant.&lt;|im_end|&gt;
&lt;|im_start|&gt;user
Please calculate the residence time with following conditions?
It is planned to carry out the reaction A+B \longrightarrow C in BR. The experimentally determined reaction kinetic equation is -r_{A}=k\times c_{A}^1\times c_{B}^2 kmol/(L*min), the reaction kinetic constant k=0.008.The initial concentration of raw material A c_{A0}8.74 kmol/m3, and the concentration of raw material B is c_{B0}8.84 kmol/m3., the conversion rate is 0.971. The feed volumetric flow rate Q is 0.594 kmol/m3, the auxiliary production time t_{assist} is 1 h, and the loading factor f is 0.67.&lt;|im_end|&gt;
&lt;|im_start|&gt;assistant
</t>
  </si>
  <si>
    <t>For the PFR reactor,-r_{A} =k\times c_{A}^3 kmol/(L*min), c_{A} =c_{A0} \times (1-x_{A} ) ,the residence time \tau is obtained by c_{A0}\times\int_{0}^{x_{f}}\frac{dx_{A}}{-r_{A}}. And the reactor volume is \tau \times Q The calculated reactor volume V is 0.25 Cubic Meters.</t>
  </si>
  <si>
    <t xml:space="preserve">&lt;|im_start|&gt;system
You are Qwen, created by Alibaba Cloud. You are a helpful assistant.&lt;|im_end|&gt;
&lt;|im_start|&gt;user
Please calculate the reactor volume with following conditions？
It is planned to carry out the reaction A+B \longrightarrow C in PFR. The experimentally determined reaction kinetic equation is -r_{A}=k\times c_{A}^3 kmol/(L*min), the reaction kinetic constant k=0.008.The initial concentration of raw material A c_{A0} is 4.13 kmol/m3., the conversion rate is 0.674. The feed volumetric flow rate Q is 0.709 kmol/m3.&lt;|im_end|&gt;
&lt;|im_start|&gt;assistant
</t>
  </si>
  <si>
    <t>For the CSTR reactor,-r_{A} =k\times c_{A}^2 kmol/(L*min), c_{A} =c_{A0} \times (1-x_{A} ) the residence time \tau is calculated by \frac{c_{A0} \times x_{f} }{-r_{A} }. And the reactor volume is \tau \times Q The calculated reactor volume V is 31.02 Cubic Meters.</t>
  </si>
  <si>
    <t xml:space="preserve">&lt;|im_start|&gt;system
You are Qwen, created by Alibaba Cloud. You are a helpful assistant.&lt;|im_end|&gt;
&lt;|im_start|&gt;user
Please calculate the reactor volume with following conditions？
It is planned to carry out the reaction A+B \longrightarrow C in CSTR. The experimentally determined reaction kinetic equation is -r_{A}=k\times c_{A}^2 kmol/(L*min), the reaction kinetic constant k=0.01.The initial concentration of raw material A c_{A0} is 3.01 kmol/m3., the conversion rate is 0.877. The feed volumetric flow rate Q is 0.995 kmol/m3.&lt;|im_end|&gt;
&lt;|im_start|&gt;assistant
</t>
  </si>
  <si>
    <t>For the CSTR reactor,-r_{A} =k\times c_{A}^1 kmol/(L*min), c_{A} =c_{A0} \times (1-x_{A} ) the residence time \tau is calculated by \frac{c_{A0} \times x_{f} }{-r_{A} } . The residence time \tau of the CSTR reactor is 66.56 h.</t>
  </si>
  <si>
    <t xml:space="preserve">&lt;|im_start|&gt;system
You are Qwen, created by Alibaba Cloud. You are a helpful assistant.&lt;|im_end|&gt;
&lt;|im_start|&gt;user
Please calculate the residence time with following conditions?
It is planned to carry out the reaction A+B \longrightarrow C in CSTR. The experimentally determined reaction kinetic equation is -r_{A}=k\times c_{A}^1 kmol/(L*min), the reaction kinetic constant k=0.002.The initial concentration of raw material A c_{A0} is 5.02 kmol/m3., the conversion rate is 0.78. The feed volumetric flow rate Q is 0.595 kmol/m3.&lt;|im_end|&gt;
&lt;|im_start|&gt;assistant
</t>
  </si>
  <si>
    <t>For the CSTR reactor,-r_{A} =k\times c_{A}^2\times c_{B}^1 kmol/(L*min), c_{A} =c_{A0} \times (1-x_{A} ), c_{B} =c_{B0}- c_{A0} \times x_{A}, the residence time \tau is calculated by \frac{c_{A0} \times x_{f} }{-r_{A} }. And the reactor volume is \tau \times Q The calculated reactor volume V is 0.39 Cubic Meters.</t>
  </si>
  <si>
    <t xml:space="preserve">&lt;|im_start|&gt;system
You are Qwen, created by Alibaba Cloud. You are a helpful assistant.&lt;|im_end|&gt;
&lt;|im_start|&gt;user
Please calculate the reactor volume with following conditions？
It is planned to carry out the reaction A+B \longrightarrow C in CSTR. The experimentally determined reaction kinetic equation is -r_{A}=k\times c_{A}^2\times c_{B}^1 kmol/(L*min), the reaction kinetic constant k=0.004.The initial concentration of raw material A c_{A0}1.18 kmol/m3, and the concentration of raw material B is c_{B0}2.68 kmol/m3., the conversion rate is 0.688. The feed volumetric flow rate Q is 0.246 kmol/m3.&lt;|im_end|&gt;
&lt;|im_start|&gt;assistant
</t>
  </si>
  <si>
    <t>For the CSTR reactor,-r_{A} =k\times c_{A}^2\times c_{B}^2 kmol/(L*min), c_{A} =c_{A0} \times (1-x_{A} ), c_{B} =c_{B0}- c_{A0} \times x_{A}, the residence time \tau is calculated by \frac{c_{A0} \times x_{f} }{-r_{A} }. And the reactor volume is \tau \times Q The calculated reactor volume V is 1.04 Cubic Meters.</t>
  </si>
  <si>
    <t xml:space="preserve">&lt;|im_start|&gt;system
You are Qwen, created by Alibaba Cloud. You are a helpful assistant.&lt;|im_end|&gt;
&lt;|im_start|&gt;user
Please calculate the reactor volume with following conditions？
It is planned to carry out the reaction A+B \longrightarrow C in CSTR. The experimentally determined reaction kinetic equation is -r_{A}=k\times c_{A}^2\times c_{B}^2 kmol/(L*min), the reaction kinetic constant k=0.004.The initial concentration of raw material A c_{A0}1.91 kmol/m3, and the concentration of raw material B is c_{B0}1.67 kmol/m3., the conversion rate is 0.587. The feed volumetric flow rate Q is 0.386 kmol/m3.&lt;|im_end|&gt;
&lt;|im_start|&gt;assistant
</t>
  </si>
  <si>
    <t>For the PFR reactor,-r_{A} =k\times c_{A}^1 kmol/(L*min), c_{A} =c_{A0} \times (1-x_{A} ) ,the residence time \tau is obtained by c_{A0}\times\int_{0}^{x_{f}}\frac{dx_{A}}{-r_{A}}. The residence time \tau of the PFR reactor is 1.61 h.</t>
  </si>
  <si>
    <t xml:space="preserve">&lt;|im_start|&gt;system
You are Qwen, created by Alibaba Cloud. You are a helpful assistant.&lt;|im_end|&gt;
&lt;|im_start|&gt;user
Please calculate the residence time with following conditions?
It is planned to carry out the reaction A+B \longrightarrow C in PFR. The experimentally determined reaction kinetic equation is -r_{A}=k\times c_{A}^1 kmol/(L*min), the reaction kinetic constant k=0.01.The initial concentration of raw material A c_{A0} is 3.05 kmol/m3., the conversion rate is 0.521. The feed volumetric flow rate Q is 0.673 kmol/m3.&lt;|im_end|&gt;
&lt;|im_start|&gt;assistant
</t>
  </si>
  <si>
    <t>For the BR reactor,-r_{A} =k\times c_{A}^1 kmol/(L*min), c_{A} =c_{A0} \times (1-x_{A} ) ,the residence time \tau is obtained by c_{A0}\times\int_{0}^{x_{f}}\frac{dx_{A}}{-r_{A}}. The residence time \tau of the BR reactor is 2.94 h.</t>
  </si>
  <si>
    <t xml:space="preserve">&lt;|im_start|&gt;system
You are Qwen, created by Alibaba Cloud. You are a helpful assistant.&lt;|im_end|&gt;
&lt;|im_start|&gt;user
Please calculate the residence time with following conditions?
It is planned to carry out the reaction A+B \longrightarrow C in BR. The experimentally determined reaction kinetic equation is -r_{A}=k\times c_{A}^1 kmol/(L*min), the reaction kinetic constant k=0.009.The initial concentration of raw material A c_{A0} is 3.42 kmol/m3., the conversion rate is 0.687. The feed volumetric flow rate Q is 0.462 kmol/m3, the auxiliary production time t_{assist} is 3 h, and the loading factor f is 0.57.&lt;|im_end|&gt;
&lt;|im_start|&gt;assistant
</t>
  </si>
  <si>
    <t>For the CSTR reactor,-r_{A} =k\times c_{A}^3\times c_{B}^2 kmol/(L*min), c_{A} =c_{A0} \times (1-x_{A} ), c_{B} =c_{B0}- c_{A0} \times x_{A}, the residence time \tau is calculated by \frac{c_{A0} \times x_{f} }{-r_{A} }. And the reactor volume is \tau \times Q The calculated reactor volume V is 0.07 Cubic Meters.</t>
  </si>
  <si>
    <t xml:space="preserve">&lt;|im_start|&gt;system
You are Qwen, created by Alibaba Cloud. You are a helpful assistant.&lt;|im_end|&gt;
&lt;|im_start|&gt;user
Please calculate the reactor volume with following conditions？
It is planned to carry out the reaction A+B \longrightarrow C in CSTR. The experimentally determined reaction kinetic equation is -r_{A}=k\times c_{A}^3\times c_{B}^2 kmol/(L*min), the reaction kinetic constant k=0.001.The initial concentration of raw material A c_{A0}0.8 kmol/m3, and the concentration of raw material B is c_{B0}8.12 kmol/m3., the conversion rate is 0.571. The feed volumetric flow rate Q is 0.268 kmol/m3.&lt;|im_end|&gt;
&lt;|im_start|&gt;assistant
</t>
  </si>
  <si>
    <t>For the CSTR reactor,-r_{A} =k\times c_{A}^2 kmol/(L*min), c_{A} =c_{A0} \times (1-x_{A} ) the residence time \tau is calculated by \frac{c_{A0} \times x_{f} }{-r_{A} }. And the reactor volume is \tau \times Q The calculated reactor volume V is 319.3 Cubic Meters.</t>
  </si>
  <si>
    <t xml:space="preserve">&lt;|im_start|&gt;system
You are Qwen, created by Alibaba Cloud. You are a helpful assistant.&lt;|im_end|&gt;
&lt;|im_start|&gt;user
Please calculate the reactor volume with following conditions？
It is planned to carry out the reaction A+B \longrightarrow C in CSTR. The experimentally determined reaction kinetic equation is -r_{A}=k\times c_{A}^2 kmol/(L*min), the reaction kinetic constant k=0.005.The initial concentration of raw material A c_{A0} is 9.16 kmol/m3., the conversion rate is 0.996. The feed volumetric flow rate Q is 0.506 kmol/m3.&lt;|im_end|&gt;
&lt;|im_start|&gt;assistant
</t>
  </si>
  <si>
    <t>For the PFR reactor,-r_{A} =k\times c_{A}^1\times c_{B}^2 kmol/(L*min), c_{A} =c_{A0} \times (1-x_{A} ), c_{B} =c_{B0} - c_{A0} \times x_{A}, the residence time \tau is obtained by c_{A0}\times\int_{0}^{x_{f}}\frac{dx_{A}}{-r_{A}}. The residence time \tau of the PFR reactor is 0.18 h.</t>
  </si>
  <si>
    <t xml:space="preserve">&lt;|im_start|&gt;system
You are Qwen, created by Alibaba Cloud. You are a helpful assistant.&lt;|im_end|&gt;
&lt;|im_start|&gt;user
Please calculate the residence time with following conditions?
It is planned to carry out the reaction A+B \longrightarrow C in PFR. The experimentally determined reaction kinetic equation is -r_{A}=k\times c_{A}^1\times c_{B}^2 kmol/(L*min), the reaction kinetic constant k=0.008.The initial concentration of raw material A c_{A0}3.83 kmol/m3, and the concentration of raw material B is c_{B0}3.72 kmol/m3., the conversion rate is 0.605. The feed volumetric flow rate Q is 0.566 kmol/m3.&lt;|im_end|&gt;
&lt;|im_start|&gt;assistant
</t>
  </si>
  <si>
    <t>For the BR reactor,-r_{A} =k\times c_{A}^1 kmol/(L*min), c_{A} =c_{A0} \times (1-x_{A} ) ,the residence time \tau is obtained by c_{A0}\times\int_{0}^{x_{f}}\frac{dx_{A}}{-r_{A}}. The residence time \tau of the BR reactor is 3.55 h.</t>
  </si>
  <si>
    <t xml:space="preserve">&lt;|im_start|&gt;system
You are Qwen, created by Alibaba Cloud. You are a helpful assistant.&lt;|im_end|&gt;
&lt;|im_start|&gt;user
Please calculate the residence time with following conditions?
It is planned to carry out the reaction A+B \longrightarrow C in BR. The experimentally determined reaction kinetic equation is -r_{A}=k\times c_{A}^1 kmol/(L*min), the reaction kinetic constant k=0.007.The initial concentration of raw material A c_{A0} is 5.11 kmol/m3., the conversion rate is 0.74. The feed volumetric flow rate Q is 0.269 kmol/m3, the auxiliary production time t_{assist} is 2 h, and the loading factor f is 0.57.&lt;|im_end|&gt;
&lt;|im_start|&gt;assistant
</t>
  </si>
  <si>
    <t>For the CSTR reactor,-r_{A} =k\times c_{A}^3 kmol/(L*min), c_{A} =c_{A0} \times (1-x_{A} ) the residence time \tau is calculated by \frac{c_{A0} \times x_{f} }{-r_{A} }. And the reactor volume is \tau \times Q The calculated reactor volume V is 2.15 Cubic Meters.</t>
  </si>
  <si>
    <t xml:space="preserve">&lt;|im_start|&gt;system
You are Qwen, created by Alibaba Cloud. You are a helpful assistant.&lt;|im_end|&gt;
&lt;|im_start|&gt;user
Please calculate the reactor volume with following conditions？
It is planned to carry out the reaction A+B \longrightarrow C in CSTR. The experimentally determined reaction kinetic equation is -r_{A}=k\times c_{A}^3 kmol/(L*min), the reaction kinetic constant k=0.006.The initial concentration of raw material A c_{A0} is 3.97 kmol/m3., the conversion rate is 0.691. The feed volumetric flow rate Q is 0.984 kmol/m3.&lt;|im_end|&gt;
&lt;|im_start|&gt;assistant
</t>
  </si>
  <si>
    <t>For the CSTR reactor,-r_{A} =k\times c_{A}^2 kmol/(L*min), c_{A} =c_{A0} \times (1-x_{A} ) the residence time \tau is calculated by \frac{c_{A0} \times x_{f} }{-r_{A} } . The residence time \tau of the CSTR reactor is 200.24 h.</t>
  </si>
  <si>
    <t xml:space="preserve">&lt;|im_start|&gt;system
You are Qwen, created by Alibaba Cloud. You are a helpful assistant.&lt;|im_end|&gt;
&lt;|im_start|&gt;user
Please calculate the residence time with following conditions?
It is planned to carry out the reaction A+B \longrightarrow C in CSTR. The experimentally determined reaction kinetic equation is -r_{A}=k\times c_{A}^2 kmol/(L*min), the reaction kinetic constant k=0.001.The initial concentration of raw material A c_{A0} is 2.16 kmol/m3., the conversion rate is 0.798. The feed volumetric flow rate Q is 0.4 kmol/m3.&lt;|im_end|&gt;
&lt;|im_start|&gt;assistant
</t>
  </si>
  <si>
    <t xml:space="preserve">&lt;|im_start|&gt;system
You are Qwen, created by Alibaba Cloud. You are a helpful assistant.&lt;|im_end|&gt;
&lt;|im_start|&gt;user
Please calculate the reactor volume with following conditions？
It is planned to carry out the reaction A+B \longrightarrow C in CSTR. The experimentally determined reaction kinetic equation is -r_{A}=k\times c_{A}^3 kmol/(L*min), the reaction kinetic constant k=0.009.The initial concentration of raw material A c_{A0} is 4.44 kmol/m3., the conversion rate is 0.58. The feed volumetric flow rate Q is 0.348 kmol/m3.&lt;|im_end|&gt;
&lt;|im_start|&gt;assistant
</t>
  </si>
  <si>
    <t>For the CSTR reactor,-r_{A} =k\times c_{A}^2 kmol/(L*min), c_{A} =c_{A0} \times (1-x_{A} ) the residence time \tau is calculated by \frac{c_{A0} \times x_{f} }{-r_{A} } . The residence time \tau of the CSTR reactor is 8.72 h.</t>
  </si>
  <si>
    <t xml:space="preserve">&lt;|im_start|&gt;system
You are Qwen, created by Alibaba Cloud. You are a helpful assistant.&lt;|im_end|&gt;
&lt;|im_start|&gt;user
Please calculate the residence time with following conditions?
It is planned to carry out the reaction A+B \longrightarrow C in CSTR. The experimentally determined reaction kinetic equation is -r_{A}=k\times c_{A}^2 kmol/(L*min), the reaction kinetic constant k=0.004.The initial concentration of raw material A c_{A0} is 1.89 kmol/m3., the conversion rate is 0.74. The feed volumetric flow rate Q is 0.208 kmol/m3.&lt;|im_end|&gt;
&lt;|im_start|&gt;assistant
</t>
  </si>
  <si>
    <t>For the CSTR reactor,-r_{A} =k\times c_{A}^2 kmol/(L*min), c_{A} =c_{A0} \times (1-x_{A} ) the residence time \tau is calculated by \frac{c_{A0} \times x_{f} }{-r_{A} } . The residence time \tau of the CSTR reactor is 150.14 h.</t>
  </si>
  <si>
    <t xml:space="preserve">&lt;|im_start|&gt;system
You are Qwen, created by Alibaba Cloud. You are a helpful assistant.&lt;|im_end|&gt;
&lt;|im_start|&gt;user
Please calculate the residence time with following conditions?
It is planned to carry out the reaction A+B \longrightarrow C in CSTR. The experimentally determined reaction kinetic equation is -r_{A}=k\times c_{A}^2 kmol/(L*min), the reaction kinetic constant k=0.002.The initial concentration of raw material A c_{A0} is 0.84 kmol/m3., the conversion rate is 0.929. The feed volumetric flow rate Q is 0.728 kmol/m3.&lt;|im_end|&gt;
&lt;|im_start|&gt;assistant
</t>
  </si>
  <si>
    <t>For the PFR reactor,-r_{A} =k\times c_{A}^3\times c_{B}^2 kmol/(L*min), c_{A} =c_{A0} \times (1-x_{A} ), c_{B} =c_{B0}- c_{A0} \times x_{A}, the residence time \tau is obtained by c_{A0}\times\int_{0}^{x_{f}}\frac{dx_{A}}{-r_{A}}. And the reactor volume is \tau \times Q The calculated reactor volume V is 0.63 Cubic Meters.</t>
  </si>
  <si>
    <t xml:space="preserve">&lt;|im_start|&gt;system
You are Qwen, created by Alibaba Cloud. You are a helpful assistant.&lt;|im_end|&gt;
&lt;|im_start|&gt;user
Please calculate the reactor volume with following conditions？
It is planned to carry out the reaction A+B \longrightarrow C in PFR. The experimentally determined reaction kinetic equation is -r_{A}=k\times c_{A}^3\times c_{B}^2 kmol/(L*min), the reaction kinetic constant k=0.002.The initial concentration of raw material A c_{A0}7.22 kmol/m3, and the concentration of raw material B is c_{B0}4.84 kmol/m3., the conversion rate is 0.516. The feed volumetric flow rate Q is 0.949 kmol/m3.&lt;|im_end|&gt;
&lt;|im_start|&gt;assistant
</t>
  </si>
  <si>
    <t>For the BR reactor,-r_{A} =k\times c_{A}^3\times c_{B}^2 kmol/(L*min), c_{A} =c_{A0} \times (1-x_{A} ), c_{B} =c_{B0}- c_{A0} \times x_{A}, the residence time \tau is obtained by c_{A0}\times\int_{0}^{x_{f}}\frac{dx_{A}}{-r_{A}}. And the reactor volume is \frac{(\tau + t_{assist} )\times Q}{f} The calculated reactor volume V is 2.58 Cubic Meters.</t>
  </si>
  <si>
    <t xml:space="preserve">&lt;|im_start|&gt;system
You are Qwen, created by Alibaba Cloud. You are a helpful assistant.&lt;|im_end|&gt;
&lt;|im_start|&gt;user
Please calculate the reactor volume with following conditions？
It is planned to carry out the reaction A+B \longrightarrow C in BR. The experimentally determined reaction kinetic equation is -r_{A}=k\times c_{A}^3\times c_{B}^2 kmol/(L*min), the reaction kinetic constant k=0.006.The initial concentration of raw material A c_{A0}1.7 kmol/m3, and the concentration of raw material B is c_{B0}4.64 kmol/m3., the conversion rate is 0.691. The feed volumetric flow rate Q is 0.686 kmol/m3, the auxiliary production time t_{assist} is 2 h, and the loading factor f is 0.62.&lt;|im_end|&gt;
&lt;|im_start|&gt;assistant
</t>
  </si>
  <si>
    <t>For the PFR reactor,-r_{A} =k\times c_{A}^3\times c_{B}^2 kmol/(L*min), c_{A} =c_{A0} \times (1-x_{A} ), c_{B} =c_{B0}- c_{A0} \times x_{A}, the residence time \tau is obtained by c_{A0}\times\int_{0}^{x_{f}}\frac{dx_{A}}{-r_{A}}. And the reactor volume is \tau \times Q The calculated reactor volume V is 126.46 Cubic Meters.</t>
  </si>
  <si>
    <t xml:space="preserve">&lt;|im_start|&gt;system
You are Qwen, created by Alibaba Cloud. You are a helpful assistant.&lt;|im_end|&gt;
&lt;|im_start|&gt;user
Please calculate the reactor volume with following conditions？
It is planned to carry out the reaction A+B \longrightarrow C in PFR. The experimentally determined reaction kinetic equation is -r_{A}=k\times c_{A}^3\times c_{B}^2 kmol/(L*min), the reaction kinetic constant k=0.004.The initial concentration of raw material A c_{A0}9.7 kmol/m3, and the concentration of raw material B is c_{B0}9.52 kmol/m3., the conversion rate is 0.837. The feed volumetric flow rate Q is 0.751 kmol/m3.&lt;|im_end|&gt;
&lt;|im_start|&gt;assistant
</t>
  </si>
  <si>
    <t>For the CSTR reactor,-r_{A} =k\times c_{A}^1 kmol/(L*min), c_{A} =c_{A0} \times (1-x_{A} ) the residence time \tau is calculated by \frac{c_{A0} \times x_{f} }{-r_{A} } . The residence time \tau of the CSTR reactor is 6.79 h.</t>
  </si>
  <si>
    <t xml:space="preserve">&lt;|im_start|&gt;system
You are Qwen, created by Alibaba Cloud. You are a helpful assistant.&lt;|im_end|&gt;
&lt;|im_start|&gt;user
Please calculate the residence time with following conditions?
It is planned to carry out the reaction A+B \longrightarrow C in CSTR. The experimentally determined reaction kinetic equation is -r_{A}=k\times c_{A}^1 kmol/(L*min), the reaction kinetic constant k=0.002.The initial concentration of raw material A c_{A0} is 2.99 kmol/m3., the conversion rate is 0.574. The feed volumetric flow rate Q is 0.25 kmol/m3.&lt;|im_end|&gt;
&lt;|im_start|&gt;assistant
</t>
  </si>
  <si>
    <t>For the PFR reactor,-r_{A} =k\times c_{A}^2 kmol/(L*min), c_{A} =c_{A0} \times (1-x_{A} ) ,the residence time \tau is obtained by c_{A0}\times\int_{0}^{x_{f}}\frac{dx_{A}}{-r_{A}}. And the reactor volume is \tau \times Q The calculated reactor volume V is 0.02 Cubic Meters.</t>
  </si>
  <si>
    <t xml:space="preserve">&lt;|im_start|&gt;system
You are Qwen, created by Alibaba Cloud. You are a helpful assistant.&lt;|im_end|&gt;
&lt;|im_start|&gt;user
Please calculate the reactor volume with following conditions？
It is planned to carry out the reaction A+B \longrightarrow C in PFR. The experimentally determined reaction kinetic equation is -r_{A}=k\times c_{A}^2 kmol/(L*min), the reaction kinetic constant k=0.008.The initial concentration of raw material A c_{A0} is 4.45 kmol/m3., the conversion rate is 0.715. The feed volumetric flow rate Q is 0.024 kmol/m3.&lt;|im_end|&gt;
&lt;|im_start|&gt;assistant
</t>
  </si>
  <si>
    <t>For the BR reactor,-r_{A} =k\times c_{A}^1\times c_{B}^2 kmol/(L*min), c_{A} =c_{A0} \times (1-x_{A} ), c_{B} =c_{B0} - c_{A0} \times x_{A}, the residence time \tau is obtained by c_{A0}\times\int_{0}^{x_{f}}\frac{dx_{A}}{-r_{A}}. The residence time \tau of the BR reactor is 0.47 h.</t>
  </si>
  <si>
    <t xml:space="preserve">&lt;|im_start|&gt;system
You are Qwen, created by Alibaba Cloud. You are a helpful assistant.&lt;|im_end|&gt;
&lt;|im_start|&gt;user
Please calculate the residence time with following conditions?
It is planned to carry out the reaction A+B \longrightarrow C in BR. The experimentally determined reaction kinetic equation is -r_{A}=k\times c_{A}^1\times c_{B}^2 kmol/(L*min), the reaction kinetic constant k=0.003.The initial concentration of raw material A c_{A0}6.87 kmol/m3, and the concentration of raw material B is c_{B0}4.69 kmol/m3., the conversion rate is 0.513. The feed volumetric flow rate Q is 0.642 kmol/m3, the auxiliary production time t_{assist} is 4 h, and the loading factor f is 0.78.&lt;|im_end|&gt;
&lt;|im_start|&gt;assistant
</t>
  </si>
  <si>
    <t>For the BR reactor,-r_{A} =k\times c_{A}^2\times c_{B}^3 kmol/(L*min), c_{A} =c_{A0} \times (1-x_{A} ), c_{B} =c_{B0} - c_{A0} \times x_{A}, the residence time \tau is obtained by c_{A0}\times\int_{0}^{x_{f}}\frac{dx_{A}}{-r_{A}}. The residence time \tau of the BR reactor is 0.09 h.</t>
  </si>
  <si>
    <t xml:space="preserve">&lt;|im_start|&gt;system
You are Qwen, created by Alibaba Cloud. You are a helpful assistant.&lt;|im_end|&gt;
&lt;|im_start|&gt;user
Please calculate the residence time with following conditions?
It is planned to carry out the reaction A+B \longrightarrow C in BR. The experimentally determined reaction kinetic equation is -r_{A}=k\times c_{A}^2\times c_{B}^3 kmol/(L*min), the reaction kinetic constant k=0.007.The initial concentration of raw material A c_{A0}8.03 kmol/m3, and the concentration of raw material B is c_{B0}5.57 kmol/m3., the conversion rate is 0.769. The feed volumetric flow rate Q is 0.561 kmol/m3, the auxiliary production time t_{assist} is 5 h, and the loading factor f is 0.47.&lt;|im_end|&gt;
&lt;|im_start|&gt;assistant
</t>
  </si>
  <si>
    <t>For the PFR reactor,-r_{A} =k\times c_{A}^2\times c_{B}^2 kmol/(L*min), c_{A} =c_{A0} \times (1-x_{A} ), c_{B} =c_{B0} - c_{A0} \times x_{A}, the residence time \tau is obtained by c_{A0}\times\int_{0}^{x_{f}}\frac{dx_{A}}{-r_{A}}. The residence time \tau of the PFR reactor is 22.68 h.</t>
  </si>
  <si>
    <t xml:space="preserve">&lt;|im_start|&gt;system
You are Qwen, created by Alibaba Cloud. You are a helpful assistant.&lt;|im_end|&gt;
&lt;|im_start|&gt;user
Please calculate the residence time with following conditions?
It is planned to carry out the reaction A+B \longrightarrow C in PFR. The experimentally determined reaction kinetic equation is -r_{A}=k\times c_{A}^2\times c_{B}^2 kmol/(L*min), the reaction kinetic constant k=0.007.The initial concentration of raw material A c_{A0}2.13 kmol/m3, and the concentration of raw material B is c_{B0}9.57 kmol/m3., the conversion rate is 0.952. The feed volumetric flow rate Q is 0.99 kmol/m3.&lt;|im_end|&gt;
&lt;|im_start|&gt;assistant
</t>
  </si>
  <si>
    <t>For the PFR reactor,-r_{A} =k\times c_{A}^3\times c_{B}^1 kmol/(L*min), c_{A} =c_{A0} \times (1-x_{A} ), c_{B} =c_{B0} - c_{A0} \times x_{A}, the residence time \tau is obtained by c_{A0}\times\int_{0}^{x_{f}}\frac{dx_{A}}{-r_{A}}. The residence time \tau of the PFR reactor is 0.14 h.</t>
  </si>
  <si>
    <t xml:space="preserve">&lt;|im_start|&gt;system
You are Qwen, created by Alibaba Cloud. You are a helpful assistant.&lt;|im_end|&gt;
&lt;|im_start|&gt;user
Please calculate the residence time with following conditions?
It is planned to carry out the reaction A+B \longrightarrow C in PFR. The experimentally determined reaction kinetic equation is -r_{A}=k\times c_{A}^3\times c_{B}^1 kmol/(L*min), the reaction kinetic constant k=0.001.The initial concentration of raw material A c_{A0}5.83 kmol/m3, and the concentration of raw material B is c_{B0}6.02 kmol/m3., the conversion rate is 0.694. The feed volumetric flow rate Q is 0.572 kmol/m3.&lt;|im_end|&gt;
&lt;|im_start|&gt;assistant
</t>
  </si>
  <si>
    <t>For the CSTR reactor,-r_{A} =k\times c_{A}^3\times c_{B}^3 kmol/(L*min), c_{A} =c_{A0} \times (1-x_{A} ), c_{B} =c_{B0}- c_{A0} \times x_{A}, the residence time \tau is calculated by \frac{c_{A0} \times x_{f} }{-r_{A} }. The residence time \tau of the CSTR reactor is 0.12 h.</t>
  </si>
  <si>
    <t xml:space="preserve">&lt;|im_start|&gt;system
You are Qwen, created by Alibaba Cloud. You are a helpful assistant.&lt;|im_end|&gt;
&lt;|im_start|&gt;user
Please calculate the residence time with following conditions?
It is planned to carry out the reaction A+B \longrightarrow C in CSTR. The experimentally determined reaction kinetic equation is -r_{A}=k\times c_{A}^3\times c_{B}^3 kmol/(L*min), the reaction kinetic constant k=0.007.The initial concentration of raw material A c_{A0}4.32 kmol/m3, and the concentration of raw material B is c_{B0}3.35 kmol/m3., the conversion rate is 0.626. The feed volumetric flow rate Q is 0.135 kmol/m3.&lt;|im_end|&gt;
&lt;|im_start|&gt;assistant
</t>
  </si>
  <si>
    <t>For the CSTR reactor,-r_{A} =k\times c_{A}^2 kmol/(L*min), c_{A} =c_{A0} \times (1-x_{A} ) the residence time \tau is calculated by \frac{c_{A0} \times x_{f} }{-r_{A} }. And the reactor volume is \tau \times Q The calculated reactor volume V is 15.98 Cubic Meters.</t>
  </si>
  <si>
    <t xml:space="preserve">&lt;|im_start|&gt;system
You are Qwen, created by Alibaba Cloud. You are a helpful assistant.&lt;|im_end|&gt;
&lt;|im_start|&gt;user
Please calculate the reactor volume with following conditions？
It is planned to carry out the reaction A+B \longrightarrow C in CSTR. The experimentally determined reaction kinetic equation is -r_{A}=k\times c_{A}^2 kmol/(L*min), the reaction kinetic constant k=0.007.The initial concentration of raw material A c_{A0} is 6.96 kmol/m3., the conversion rate is 0.967. The feed volumetric flow rate Q is 0.444 kmol/m3.&lt;|im_end|&gt;
&lt;|im_start|&gt;assistant
</t>
  </si>
  <si>
    <t>For the CSTR reactor,-r_{A} =k\times c_{A}^1 kmol/(L*min), c_{A} =c_{A0} \times (1-x_{A} ) the residence time \tau is calculated by \frac{c_{A0} \times x_{f} }{-r_{A} } . The residence time \tau of the CSTR reactor is 6.31 h.</t>
  </si>
  <si>
    <t xml:space="preserve">&lt;|im_start|&gt;system
You are Qwen, created by Alibaba Cloud. You are a helpful assistant.&lt;|im_end|&gt;
&lt;|im_start|&gt;user
Please calculate the residence time with following conditions?
It is planned to carry out the reaction A+B \longrightarrow C in CSTR. The experimentally determined reaction kinetic equation is -r_{A}=k\times c_{A}^1 kmol/(L*min), the reaction kinetic constant k=0.007.The initial concentration of raw material A c_{A0} is 5.75 kmol/m3., the conversion rate is 0.7. The feed volumetric flow rate Q is 0.687 kmol/m3.&lt;|im_end|&gt;
&lt;|im_start|&gt;assistant
</t>
  </si>
  <si>
    <t>For the CSTR reactor,-r_{A} =k\times c_{A}^1\times c_{B}^2 kmol/(L*min), c_{A} =c_{A0} \times (1-x_{A} ), c_{B} =c_{B0}- c_{A0} \times x_{A}, the residence time \tau is calculated by \frac{c_{A0} \times x_{f} }{-r_{A} }. The residence time \tau of the CSTR reactor is 0.75 h.</t>
  </si>
  <si>
    <t xml:space="preserve">&lt;|im_start|&gt;system
You are Qwen, created by Alibaba Cloud. You are a helpful assistant.&lt;|im_end|&gt;
&lt;|im_start|&gt;user
Please calculate the residence time with following conditions?
It is planned to carry out the reaction A+B \longrightarrow C in CSTR. The experimentally determined reaction kinetic equation is -r_{A}=k\times c_{A}^1\times c_{B}^2 kmol/(L*min), the reaction kinetic constant k=0.007.The initial concentration of raw material A c_{A0}2.8 kmol/m3, and the concentration of raw material B is c_{B0}4.05 kmol/m3., the conversion rate is 0.5. The feed volumetric flow rate Q is 0.625 kmol/m3.&lt;|im_end|&gt;
&lt;|im_start|&gt;assistant
</t>
  </si>
  <si>
    <t>For the BR reactor,-r_{A} =k\times c_{A}^1 kmol/(L*min), c_{A} =c_{A0} \times (1-x_{A} ) ,the residence time \tau is obtained by c_{A0}\times\int_{0}^{x_{f}}\frac{dx_{A}}{-r_{A}}. The residence time \tau of the BR reactor is 2.58 h.</t>
  </si>
  <si>
    <t xml:space="preserve">&lt;|im_start|&gt;system
You are Qwen, created by Alibaba Cloud. You are a helpful assistant.&lt;|im_end|&gt;
&lt;|im_start|&gt;user
Please calculate the residence time with following conditions?
It is planned to carry out the reaction A+B \longrightarrow C in BR. The experimentally determined reaction kinetic equation is -r_{A}=k\times c_{A}^1 kmol/(L*min), the reaction kinetic constant k=0.009.The initial concentration of raw material A c_{A0} is 2.77 kmol/m3., the conversion rate is 0.535. The feed volumetric flow rate Q is 0.569 kmol/m3, the auxiliary production time t_{assist} is 3 h, and the loading factor f is 0.68.&lt;|im_end|&gt;
&lt;|im_start|&gt;assistant
</t>
  </si>
  <si>
    <t>For the BR reactor,-r_{A} =k\times c_{A}^1\times c_{B}^1 kmol/(L*min), c_{A} =c_{A0} \times (1-x_{A} ), c_{B} =c_{B0}- c_{A0} \times x_{A}, the residence time \tau is obtained by c_{A0}\times\int_{0}^{x_{f}}\frac{dx_{A}}{-r_{A}}. And the reactor volume is \frac{(\tau + t_{assist} )\times Q}{f} The calculated reactor volume V is 2.85 Cubic Meters.</t>
  </si>
  <si>
    <t xml:space="preserve">&lt;|im_start|&gt;system
You are Qwen, created by Alibaba Cloud. You are a helpful assistant.&lt;|im_end|&gt;
&lt;|im_start|&gt;user
Please calculate the reactor volume with following conditions？
It is planned to carry out the reaction A+B \longrightarrow C in BR. The experimentally determined reaction kinetic equation is -r_{A}=k\times c_{A}^1\times c_{B}^1 kmol/(L*min), the reaction kinetic constant k=0.01.The initial concentration of raw material A c_{A0}4.11 kmol/m3, and the concentration of raw material B is c_{B0}2.72 kmol/m3., the conversion rate is 0.581. The feed volumetric flow rate Q is 0.39 kmol/m3, the auxiliary production time t_{assist} is 5 h, and the loading factor f is 0.69.&lt;|im_end|&gt;
&lt;|im_start|&gt;assistant
</t>
  </si>
  <si>
    <t>For the CSTR reactor,-r_{A} =k\times c_{A}^1\times c_{B}^1 kmol/(L*min), c_{A} =c_{A0} \times (1-x_{A} ), c_{B} =c_{B0}- c_{A0} \times x_{A}, the residence time \tau is calculated by \frac{c_{A0} \times x_{f} }{-r_{A} }. And the reactor volume is \tau \times Q The calculated reactor volume V is 0.27 Cubic Meters.</t>
  </si>
  <si>
    <t xml:space="preserve">&lt;|im_start|&gt;system
You are Qwen, created by Alibaba Cloud. You are a helpful assistant.&lt;|im_end|&gt;
&lt;|im_start|&gt;user
Please calculate the reactor volume with following conditions？
It is planned to carry out the reaction A+B \longrightarrow C in CSTR. The experimentally determined reaction kinetic equation is -r_{A}=k\times c_{A}^1\times c_{B}^1 kmol/(L*min), the reaction kinetic constant k=0.007.The initial concentration of raw material A c_{A0}8.27 kmol/m3, and the concentration of raw material B is c_{B0}8.34 kmol/m3., the conversion rate is 0.545. The feed volumetric flow rate Q is 0.099 kmol/m3.&lt;|im_end|&gt;
&lt;|im_start|&gt;assistant
</t>
  </si>
  <si>
    <t>For the CSTR reactor,-r_{A} =k\times c_{A}^3\times c_{B}^2 kmol/(L*min), c_{A} =c_{A0} \times (1-x_{A} ), c_{B} =c_{B0}- c_{A0} \times x_{A}, the residence time \tau is calculated by \frac{c_{A0} \times x_{f} }{-r_{A} }. The residence time \tau of the CSTR reactor is 3.29 h.</t>
  </si>
  <si>
    <t>For the CSTR reactor,-r_{A} =k\times c_{A}^3\times c_{B}^2 kmol/(L*min), c_{A} =c_{A0} \times (1-x_{A} ), c_{B} =c_{B0}- c_{A0} \times x_{A}, the residence time \tau is calculated by \frac{c_{A0} \times x_{f} }{-r_{A} }. The residence time \tau of the CSTR reactor is 350.43 h.</t>
  </si>
  <si>
    <t xml:space="preserve">&lt;|begin_of_text|&gt;&lt;|start_header_id|&gt;user&lt;|end_header_id|&gt;
Please calculate the residence time with following conditions?
It is planned to carry out the reaction A+B \longrightarrow C in CSTR. The experimentally determined reaction kinetic equation is -r_{A}=k\times c_{A}^3\times c_{B}^2 kmol/(L*min), the reaction kinetic constant k=0.006.The initial concentration of raw material A c_{A0}6.8 kmol/m3, and the concentration of raw material B is c_{B0}1.63 kmol/m3., the conversion rate is 0.907. The feed volumetric flow rate Q is 0.93 kmol/m3.&lt;|eot_id|&gt;&lt;|start_header_id|&gt;assistant&lt;|end_header_id|&gt;
</t>
  </si>
  <si>
    <t>For the BR reactor,-r_{A} =k\times c_{A}^2\times c_{B}^1 kmol/(L*min), c_{A} =c_{A0} \times (1-x_{A} ), c_{B} =c_{B0}- c_{A0} \times x_{A}, the residence time \tau is obtained by c_{A0}\times\int_{0}^{x_{f}}\frac{dx_{A}}{-r_{A}}. And the reactor volume is \frac{(\tau + t_{assist} )\times Q}{f} The calculated reactor volume V is 0.39 Cubic Meters.</t>
  </si>
  <si>
    <t>For the BR reactor,-r_{A} =k\times c_{A}^2\times c_{B}^1 kmol/(L*min), c_{A} =c_{A0} \times (1-x_{A} ), c_{B} =c_{B0}- c_{A0} \times x_{A}, the residence time \tau is obtained by c_{A0}\times\int_{0}^{x_{f}}\frac{dx_{A}}{-r_{A}}. And the reactor volume is \frac{(\tau + t_{assist} )\times Q}{f} The calculated reactor volume V is 1.0 Cubic Meters.</t>
  </si>
  <si>
    <t xml:space="preserve">&lt;|begin_of_text|&gt;&lt;|start_header_id|&gt;user&lt;|end_header_id|&gt;
Please calculate the reactor volume with following conditions？
It is planned to carry out the reaction A+B \longrightarrow C in BR. The experimentally determined reaction kinetic equation is -r_{A}=k\times c_{A}^2\times c_{B}^1 kmol/(L*min), the reaction kinetic constant k=0.006.The initial concentration of raw material A c_{A0}7.08 kmol/m3, and the concentration of raw material B is c_{B0}1.94 kmol/m3., the conversion rate is 0.542. The feed volumetric flow rate Q is 0.27 kmol/m3, the auxiliary production time t_{assist} is 1 h, and the loading factor f is 0.64.&lt;|eot_id|&gt;&lt;|start_header_id|&gt;assistant&lt;|end_header_id|&gt;
</t>
  </si>
  <si>
    <t>For the CSTR reactor,-r_{A} =k\times c_{A}^1\times c_{B}^1 kmol/(L*min), c_{A} =c_{A0} \times (1-x_{A} ), c_{B} =c_{B0}- c_{A0} \times x_{A}, the residence time \tau is calculated by \frac{c_{A0} \times x_{f} }{-r_{A} }. The residence time \tau of the CSTR reactor is 11.42 h.</t>
  </si>
  <si>
    <t>For the CSTR reactor,-r_{A} =k\times c_{A}^1\times c_{B}^1 kmol/(L*min), c_{A} =c_{A0} \times (1-x_{A} ), c_{B} =c_{B0}- c_{A0} \times x_{A}, the residence time \tau is calculated by \frac{c_{A0} \times x_{f} }{-r_{A} }. The residence time \tau of the CSTR reactor is 6.9 h.</t>
  </si>
  <si>
    <t xml:space="preserve">&lt;|begin_of_text|&gt;&lt;|start_header_id|&gt;user&lt;|end_header_id|&gt;
Please calculate the residence time with following conditions?
It is planned to carry out the reaction A+B \longrightarrow C in CSTR. The experimentally determined reaction kinetic equation is -r_{A}=k\times c_{A}^1\times c_{B}^1 kmol/(L*min), the reaction kinetic constant k=0.004.The initial concentration of raw material A c_{A0}4.0 kmol/m3, and the concentration of raw material B is c_{B0}3.75 kmol/m3., the conversion rate is 0.712. The feed volumetric flow rate Q is 0.916 kmol/m3.&lt;|eot_id|&gt;&lt;|start_header_id|&gt;assistant&lt;|end_header_id|&gt;
</t>
  </si>
  <si>
    <t>For the CSTR reactor,-r_{A} =k\times c_{A}^1\times c_{B}^1 kmol/(L*min), c_{A} =c_{A0} \times (1-x_{A} ), c_{B} =c_{B0}- c_{A0} \times x_{A}, the residence time \tau is calculated by \frac{c_{A0} \times x_{f} }{-r_{A} }. The residence time \tau of the CSTR reactor is 2.86 h.</t>
  </si>
  <si>
    <t>For the CSTR reactor,-r_{A} =k\times c_{A}^1\times c_{B}^1 kmol/(L*min), c_{A} =c_{A0} \times (1-x_{A} ), c_{B} =c_{B0}- c_{A0} \times x_{A}, the residence time \tau is calculated by \frac{c_{A0} \times x_{f} }{-r_{A} }. The residence time \tau of the CSTR reactor is 2.51 h.</t>
  </si>
  <si>
    <t xml:space="preserve">&lt;|begin_of_text|&gt;&lt;|start_header_id|&gt;user&lt;|end_header_id|&gt;
Please calculate the residence time with following conditions?
It is planned to carry out the reaction A+B \longrightarrow C in CSTR. The experimentally determined reaction kinetic equation is -r_{A}=k\times c_{A}^1\times c_{B}^1 kmol/(L*min), the reaction kinetic constant k=0.008.The initial concentration of raw material A c_{A0}9.93 kmol/m3, and the concentration of raw material B is c_{B0}9.97 kmol/m3., the conversion rate is 0.765. The feed volumetric flow rate Q is 0.337 kmol/m3.&lt;|eot_id|&gt;&lt;|start_header_id|&gt;assistant&lt;|end_header_id|&gt;
</t>
  </si>
  <si>
    <t>For the PFR reactor,-r_{A} =k\times c_{A}^3\times c_{B}^1 kmol/(L*min), c_{A} =c_{A0} \times (1-x_{A} ), c_{B} =c_{B0} - c_{A0} \times x_{A}, the residence time \tau is obtained by c_{A0}\times\int_{0}^{x_{f}}\frac{dx_{A}}{-r_{A}}. The residence time \tau of the PFR reactor is 0.16 h.</t>
  </si>
  <si>
    <t xml:space="preserve">&lt;|begin_of_text|&gt;&lt;|start_header_id|&gt;user&lt;|end_header_id|&gt;
Please calculate the residence time with following conditions?
It is planned to carry out the reaction A+B \longrightarrow C in PFR. The experimentally determined reaction kinetic equation is -r_{A}=k\times c_{A}^3\times c_{B}^1 kmol/(L*min), the reaction kinetic constant k=0.008.The initial concentration of raw material A c_{A0}6.3 kmol/m3, and the concentration of raw material B is c_{B0}5.5 kmol/m3., the conversion rate is 0.696. The feed volumetric flow rate Q is 0.632 kmol/m3.&lt;|eot_id|&gt;&lt;|start_header_id|&gt;assistant&lt;|end_header_id|&gt;
</t>
  </si>
  <si>
    <t>For the CSTR reactor,-r_{A} =k\times c_{A}^3 kmol/(L*min), c_{A} =c_{A0} \times (1-x_{A} ) the residence time \tau is calculated by \frac{c_{A0} \times x_{f} }{-r_{A} }. And the reactor volume is \tau \times Q The calculated reactor volume V is 109.1 Cubic Meters.</t>
  </si>
  <si>
    <t>For the CSTR reactor,-r_{A} =k\times c_{A}^3 kmol/(L*min), c_{A} =c_{A0} \times (1-x_{A} ) the residence time \tau is calculated by \frac{c_{A0} \times x_{f} }{-r_{A} }. And the reactor volume is \tau \times Q The calculated reactor volume V is 41.46 Cubic Meters.</t>
  </si>
  <si>
    <t xml:space="preserve">&lt;|begin_of_text|&gt;&lt;|start_header_id|&gt;user&lt;|end_header_id|&gt;
Please calculate the reactor volume with following conditions？
It is planned to carry out the reaction A+B \longrightarrow C in CSTR. The experimentally determined reaction kinetic equation is -r_{A}=k\times c_{A}^3 kmol/(L*min), the reaction kinetic constant k=0.009.The initial concentration of raw material A c_{A0} is 9.85 kmol/m3., the conversion rate is 0.952. The feed volumetric flow rate Q is 0.664 kmol/m3.&lt;|eot_id|&gt;&lt;|start_header_id|&gt;assistant&lt;|end_header_id|&gt;
</t>
  </si>
  <si>
    <t>For the PFR reactor,-r_{A} =k\times c_{A}^2 kmol/(L*min), c_{A} =c_{A0} \times (1-x_{A} ),the residence time \tau is obtained by c_{A0}\times\int_{0}^{x_{f}}\frac{dx_{A}}{-r_{A}}. And the reactor volume is \tau \times Q The calculated reactor volume V is 0.68 Cubic Meters.</t>
  </si>
  <si>
    <t>For the PFR reactor,-r_{A} =k\times c_{A}^2 kmol/(L*min), c_{A} =c_{A0} \times (1-x_{A} ),the residence time \tau is obtained by c_{A0}\times\int_{0}^{x_{f}}\frac{dx_{A}}{-r_{A}}. And the reactor volume is \tau \times Q The calculated reactor volume V is 0.32 Cubic Meters.</t>
  </si>
  <si>
    <t xml:space="preserve">&lt;|begin_of_text|&gt;&lt;|start_header_id|&gt;user&lt;|end_header_id|&gt;
Please calculate the reactor volume with following conditions？
It is planned to carry out the reaction A+B \longrightarrow C in PFR. The experimentally determined reaction kinetic equation is -r_{A}=k\times c_{A}^2 kmol/(L*min), the reaction kinetic constant k=0.003.The initial concentration of raw material A c_{A0} is 4.75 kmol/m3., the conversion rate is 0.725. The feed volumetric flow rate Q is 0.219 kmol/m3.&lt;|eot_id|&gt;&lt;|start_header_id|&gt;assistant&lt;|end_header_id|&gt;
</t>
  </si>
  <si>
    <t>For the PFR reactor,-r_{A} =k\times c_{A}^2 kmol/(L*min), c_{A} =c_{A0} \times (1-x_{A} ),the residence time \tau is obtained by c_{A0}\times\int_{0}^{x_{f}}\frac{dx_{A}}{-r_{A}}. And the reactor volume is \tau \times Q The calculated reactor volume V is 2.84 Cubic Meters.</t>
  </si>
  <si>
    <t>For the PFR reactor,-r_{A} =k\times c_{A}^2 kmol/(L*min), c_{A} =c_{A0} \times (1-x_{A} ),the residence time \tau is obtained by c_{A0}\times\int_{0}^{x_{f}}\frac{dx_{A}}{-r_{A}}. And the reactor volume is \tau \times Q The calculated reactor volume V is 5.6 Cubic Meters.</t>
  </si>
  <si>
    <t xml:space="preserve">&lt;|begin_of_text|&gt;&lt;|start_header_id|&gt;user&lt;|end_header_id|&gt;
Please calculate the reactor volume with following conditions？
It is planned to carry out the reaction A+B \longrightarrow C in PFR. The experimentally determined reaction kinetic equation is -r_{A}=k\times c_{A}^2 kmol/(L*min), the reaction kinetic constant k=0.006.The initial concentration of raw material A c_{A0} is 8.01 kmol/m3., the conversion rate is 0.912. The feed volumetric flow rate Q is 0.791 kmol/m3.&lt;|eot_id|&gt;&lt;|start_header_id|&gt;assistant&lt;|end_header_id|&gt;
</t>
  </si>
  <si>
    <t>For the BR reactor,-r_{A} =k\times c_{A}^2 kmol/(L*min), c_{A} =c_{A0} \times (1-x_{A} ),the residence time \tau is obtained by c_{A0}\times\int_{0}^{x_{f}}\frac{dx_{A}}{-r_{A}}. The residence time \tau of the BR reactor is 2.91 h.</t>
  </si>
  <si>
    <t>For the BR reactor,-r_{A} =k\times c_{A}^2 kmol/(L*min), c_{A} =c_{A0} \times (1-x_{A} ),the residence time \tau is obtained by c_{A0}\times\int_{0}^{x_{f}}\frac{dx_{A}}{-r_{A}}. The residence time \tau of the BR reactor is 1.95 h.</t>
  </si>
  <si>
    <t xml:space="preserve">&lt;|begin_of_text|&gt;&lt;|start_header_id|&gt;user&lt;|end_header_id|&gt;
Please calculate the residence time with following conditions?
It is planned to carry out the reaction A+B \longrightarrow C in BR. The experimentally determined reaction kinetic equation is -r_{A}=k\times c_{A}^2 kmol/(L*min), the reaction kinetic constant k=0.007.The initial concentration of raw material A c_{A0} is 4.83 kmol/m3., the conversion rate is 0.855. The feed volumetric flow rate Q is 0.467 kmol/m3, the auxiliary production time t_{assist} is 5 h, and the loading factor f is 0.45.&lt;|eot_id|&gt;&lt;|start_header_id|&gt;assistant&lt;|end_header_id|&gt;
</t>
  </si>
  <si>
    <t>For the PFR reactor,-r_{A} =k\times c_{A}^2\times c_{B}^1 kmol/(L*min), c_{A} =c_{A0} \times (1-x_{A} ), c_{B} =c_{B0} - c_{A0} \times x_{A}, the residence time \tau is obtained by c_{A0}\times\int_{0}^{x_{f}}\frac{dx_{A}}{-r_{A}}. The residence time \tau of the PFR reactor is 4.77 h.</t>
  </si>
  <si>
    <t>For the PFR reactor,-r_{A} =k\times c_{A}^2\times c_{B}^1 kmol/(L*min), c_{A} =c_{A0} \times (1-x_{A} ), c_{B} =c_{B0} - c_{A0} \times x_{A}, the residence time \tau is obtained by c_{A0}\times\int_{0}^{x_{f}}\frac{dx_{A}}{-r_{A}}. The residence time \tau of the PFR reactor is 3.92 h.</t>
  </si>
  <si>
    <t xml:space="preserve">&lt;|begin_of_text|&gt;&lt;|start_header_id|&gt;user&lt;|end_header_id|&gt;
Please calculate the residence time with following conditions?
It is planned to carry out the reaction A+B \longrightarrow C in PFR. The experimentally determined reaction kinetic equation is -r_{A}=k\times c_{A}^2\times c_{B}^1 kmol/(L*min), the reaction kinetic constant k=0.01.The initial concentration of raw material A c_{A0}3.56 kmol/m3, and the concentration of raw material B is c_{B0}3.41 kmol/m3., the conversion rate is 0.868. The feed volumetric flow rate Q is 0.315 kmol/m3.&lt;|eot_id|&gt;&lt;|start_header_id|&gt;assistant&lt;|end_header_id|&gt;
</t>
  </si>
  <si>
    <t>For the PFR reactor,-r_{A} =k\times c_{A}^3 kmol/(L*min), c_{A} =c_{A0} \times (1-x_{A} ),the residence time \tau is obtained by c_{A0}\times\int_{0}^{x_{f}}\frac{dx_{A}}{-r_{A}}. And the reactor volume is \tau \times Q The calculated reactor volume V is 0.42 Cubic Meters.</t>
  </si>
  <si>
    <t>For the PFR reactor,-r_{A} =k\times c_{A}^3 kmol/(L*min), c_{A} =c_{A0} \times (1-x_{A} ),the residence time \tau is obtained by c_{A0}\times\int_{0}^{x_{f}}\frac{dx_{A}}{-r_{A}}. And the reactor volume is \tau \times Q The calculated reactor volume V is 0.25 Cubic Meters.</t>
  </si>
  <si>
    <t xml:space="preserve">&lt;|begin_of_text|&gt;&lt;|start_header_id|&gt;user&lt;|end_header_id|&gt;
Please calculate the reactor volume with following conditions？
It is planned to carry out the reaction A+B \longrightarrow C in PFR. The experimentally determined reaction kinetic equation is -r_{A}=k\times c_{A}^3 kmol/(L*min), the reaction kinetic constant k=0.005.The initial concentration of raw material A c_{A0} is 5.92 kmol/m3., the conversion rate is 0.859. The feed volumetric flow rate Q is 0.179 kmol/m3.&lt;|eot_id|&gt;&lt;|start_header_id|&gt;assistant&lt;|end_header_id|&gt;
</t>
  </si>
  <si>
    <t>For the BR reactor,-r_{A} =k\times c_{A}^2\times c_{B}^3 kmol/(L*min), c_{A} =c_{A0} \times (1-x_{A} ), c_{B} =c_{B0}- c_{A0} \times x_{A}, the residence time \tau is obtained by c_{A0}\times\int_{0}^{x_{f}}\frac{dx_{A}}{-r_{A}}. And the reactor volume is \frac{(\tau + t_{assist} )\times Q}{f} The calculated reactor volume V is 0.01 Cubic Meters.</t>
  </si>
  <si>
    <t>For the BR reactor,-r_{A} =k\times c_{A}^2\times c_{B}^3 kmol/(L*min), c_{A} =c_{A0} \times (1-x_{A} ), c_{B} =c_{B0}- c_{A0} \times x_{A}, the residence time \tau is obtained by c_{A0}\times\int_{0}^{x_{f}}\frac{dx_{A}}{-r_{A}}. And the reactor volume is \frac{(\tau + t_{assist} )\times Q}{f} The calculated reactor volume V is 0.08 Cubic Meters.</t>
  </si>
  <si>
    <t xml:space="preserve">&lt;|begin_of_text|&gt;&lt;|start_header_id|&gt;user&lt;|end_header_id|&gt;
Please calculate the reactor volume with following conditions？
It is planned to carry out the reaction A+B \longrightarrow C in BR. The experimentally determined reaction kinetic equation is -r_{A}=k\times c_{A}^2\times c_{B}^3 kmol/(L*min), the reaction kinetic constant k=0.008.The initial concentration of raw material A c_{A0}1.71 kmol/m3, and the concentration of raw material B is c_{B0}4.97 kmol/m3., the conversion rate is 0.513. The feed volumetric flow rate Q is 0.433 kmol/m3, the auxiliary production time t_{assist} is 0 h, and the loading factor f is 0.55.&lt;|eot_id|&gt;&lt;|start_header_id|&gt;assistant&lt;|end_header_id|&gt;
</t>
  </si>
  <si>
    <t>For the CSTR reactor,-r_{A} =k\times c_{A}^1 kmol/(L*min), c_{A} =c_{A0} \times (1-x_{A} ) the residence time \tau is calculated by \frac{c_{A0} \times x_{f} }{-r_{A} }. The residence time \tau of the CSTR reactor is 2.53 h.</t>
  </si>
  <si>
    <t>For the CSTR reactor,-r_{A} =k\times c_{A}^1 kmol/(L*min), c_{A} =c_{A0} \times (1-x_{A} ) the residence time \tau is calculated by \frac{c_{A0} \times x_{f} }{-r_{A} }. The residence time \tau of the CSTR reactor is 2.22 h.</t>
  </si>
  <si>
    <t xml:space="preserve">&lt;|begin_of_text|&gt;&lt;|start_header_id|&gt;user&lt;|end_header_id|&gt;
Please calculate the residence time with following conditions?
It is planned to carry out the reaction A+B \longrightarrow C in CSTR. The experimentally determined reaction kinetic equation is -r_{A}=k\times c_{A}^1 kmol/(L*min), the reaction kinetic constant k=0.009.The initial concentration of raw material A c_{A0} is 4.33 kmol/m3., the conversion rate is 0.577. The feed volumetric flow rate Q is 0.369 kmol/m3.&lt;|eot_id|&gt;&lt;|start_header_id|&gt;assistant&lt;|end_header_id|&gt;
</t>
  </si>
  <si>
    <t>For the CSTR reactor,-r_{A} =k\times c_{A}^1 kmol/(L*min), c_{A} =c_{A0} \times (1-x_{A} ) the residence time \tau is calculated by \frac{c_{A0} \times x_{f} }{-r_{A} }. And the reactor volume is \tau \times Q The calculated reactor volume V is 2.56 Cubic Meters.</t>
  </si>
  <si>
    <t>For the CSTR reactor,-r_{A} =k\times c_{A}^1 kmol/(L*min), c_{A} =c_{A0} \times (1-x_{A} ) the residence time \tau is calculated by \frac{c_{A0} \times x_{f} }{-r_{A} }. And the reactor volume is \tau \times Q The calculated reactor volume V is 1.44 Cubic Meters.</t>
  </si>
  <si>
    <t xml:space="preserve">&lt;|begin_of_text|&gt;&lt;|start_header_id|&gt;user&lt;|end_header_id|&gt;
Please calculate the reactor volume with following conditions？
It is planned to carry out the reaction A+B \longrightarrow C in CSTR. The experimentally determined reaction kinetic equation is -r_{A}=k\times c_{A}^1 kmol/(L*min), the reaction kinetic constant k=0.006.The initial concentration of raw material A c_{A0} is 6.34 kmol/m3., the conversion rate is 0.704. The feed volumetric flow rate Q is 0.388 kmol/m3.&lt;|eot_id|&gt;&lt;|start_header_id|&gt;assistant&lt;|end_header_id|&gt;
</t>
  </si>
  <si>
    <t>For the BR reactor,-r_{A} =k\times c_{A}^1\times c_{B}^3 kmol/(L*min), c_{A} =c_{A0} \times (1-x_{A} ), c_{B} =c_{B0}- c_{A0} \times x_{A}, the residence time \tau is obtained by c_{A0}\times\int_{0}^{x_{f}}\frac{dx_{A}}{-r_{A}}. And the reactor volume is \frac{(\tau + t_{assist} )\times Q}{f} The calculated reactor volume V is 938051.65 Cubic Meters.</t>
  </si>
  <si>
    <t>For the BR reactor,-r_{A} =k\times c_{A}^1\times c_{B}^3 kmol/(L*min), c_{A} =c_{A0} \times (1-x_{A} ), c_{B} =c_{B0}- c_{A0} \times x_{A}, the residence time \tau is obtained by c_{A0}\times\int_{0}^{x_{f}}\frac{dx_{A}}{-r_{A}}. And the reactor volume is \frac{(\tau + t_{assist} )\times Q}{f} The calculated reactor volume V is 2.85 Cubic Meters.</t>
  </si>
  <si>
    <t xml:space="preserve">&lt;|begin_of_text|&gt;&lt;|start_header_id|&gt;user&lt;|end_header_id|&gt;
Please calculate the reactor volume with following conditions？
It is planned to carry out the reaction A+B \longrightarrow C in BR. The experimentally determined reaction kinetic equation is -r_{A}=k\times c_{A}^1\times c_{B}^3 kmol/(L*min), the reaction kinetic constant k=0.009.The initial concentration of raw material A c_{A0}9.94 kmol/m3, and the concentration of raw material B is c_{B0}5.24 kmol/m3., the conversion rate is 0.797. The feed volumetric flow rate Q is 0.454 kmol/m3, the auxiliary production time t_{assist} is 4 h, and the loading factor f is 0.42.&lt;|eot_id|&gt;&lt;|start_header_id|&gt;assistant&lt;|end_header_id|&gt;
</t>
  </si>
  <si>
    <t>For the CSTR reactor,-r_{A} =k\times c_{A}^3\times c_{B}^3 kmol/(L*min), c_{A} =c_{A0} \times (1-x_{A} ), c_{B} =c_{B0}- c_{A0} \times x_{A}, the residence time \tau is calculated by \frac{c_{A0} \times x_{f} }{-r_{A} }. The residence time \tau of the CSTR reactor is 3.63 h.</t>
  </si>
  <si>
    <t>For the CSTR reactor,-r_{A} =k\times c_{A}^3\times c_{B}^3 kmol/(L*min), c_{A} =c_{A0} \times (1-x_{A} ), c_{B} =c_{B0}- c_{A0} \times x_{A}, the residence time \tau is calculated by \frac{c_{A0} \times x_{f} }{-r_{A} }. The residence time \tau of the CSTR reactor is 2.94 h.</t>
  </si>
  <si>
    <t xml:space="preserve">&lt;|begin_of_text|&gt;&lt;|start_header_id|&gt;user&lt;|end_header_id|&gt;
Please calculate the residence time with following conditions?
It is planned to carry out the reaction A+B \longrightarrow C in CSTR. The experimentally determined reaction kinetic equation is -r_{A}=k\times c_{A}^3\times c_{B}^3 kmol/(L*min), the reaction kinetic constant k=0.002.The initial concentration of raw material A c_{A0}2.08 kmol/m3, and the concentration of raw material B is c_{B0}9.07 kmol/m3., the conversion rate is 0.892. The feed volumetric flow rate Q is 0.973 kmol/m3.&lt;|eot_id|&gt;&lt;|start_header_id|&gt;assistant&lt;|end_header_id|&gt;
</t>
  </si>
  <si>
    <t>For the BR reactor,-r_{A} =k\times c_{A}^1\times c_{B}^2 kmol/(L*min), c_{A} =c_{A0} \times (1-x_{A} ), c_{B} =c_{B0} - c_{A0} \times x_{A}, the residence time \tau is obtained by c_{A0}\times\int_{0}^{x_{f}}\frac{dx_{A}}{-r_{A}}. The residence time \tau of the BR reactor is 9.03 h.</t>
  </si>
  <si>
    <t>For the BR reactor,-r_{A} =k\times c_{A}^1\times c_{B}^2 kmol/(L*min), c_{A} =c_{A0} \times (1-x_{A} ), c_{B} =c_{B0} - c_{A0} \times x_{A}, the residence time \tau is obtained by c_{A0}\times\int_{0}^{x_{f}}\frac{dx_{A}}{-r_{A}}. The residence time \tau of the BR reactor is 0.71 h.</t>
  </si>
  <si>
    <t xml:space="preserve">&lt;|begin_of_text|&gt;&lt;|start_header_id|&gt;user&lt;|end_header_id|&gt;
Please calculate the residence time with following conditions?
It is planned to carry out the reaction A+B \longrightarrow C in BR. The experimentally determined reaction kinetic equation is -r_{A}=k\times c_{A}^1\times c_{B}^2 kmol/(L*min), the reaction kinetic constant k=0.005.The initial concentration of raw material A c_{A0}1.9 kmol/m3, and the concentration of raw material B is c_{B0}1.53 kmol/m3., the conversion rate is 0.639. The feed volumetric flow rate Q is 0.335 kmol/m3, the auxiliary production time t_{assist} is 2 h, and the loading factor f is 0.61.&lt;|eot_id|&gt;&lt;|start_header_id|&gt;assistant&lt;|end_header_id|&gt;
</t>
  </si>
  <si>
    <t>For the PFR reactor,-r_{A} =k\times c_{A}^3\times c_{B}^3 kmol/(L*min), c_{A} =c_{A0} \times (1-x_{A} ), c_{B} =c_{B0} - c_{A0} \times x_{A}, the residence time \tau is obtained by c_{A0}\times\int_{0}^{x_{f}}\frac{dx_{A}}{-r_{A}}. The residence time \tau of the PFR reactor is 0.04 h.</t>
  </si>
  <si>
    <t>For the PFR reactor,-r_{A} =k\times c_{A}^3\times c_{B}^3 kmol/(L*min), c_{A} =c_{A0} \times (1-x_{A} ), c_{B} =c_{B0} - c_{A0} \times x_{A}, the residence time \tau is obtained by c_{A0}\times\int_{0}^{x_{f}}\frac{dx_{A}}{-r_{A}}. The residence time \tau of the PFR reactor is 0.15 h.</t>
  </si>
  <si>
    <t xml:space="preserve">&lt;|begin_of_text|&gt;&lt;|start_header_id|&gt;user&lt;|end_header_id|&gt;
Please calculate the residence time with following conditions?
It is planned to carry out the reaction A+B \longrightarrow C in PFR. The experimentally determined reaction kinetic equation is -r_{A}=k\times c_{A}^3\times c_{B}^3 kmol/(L*min), the reaction kinetic constant k=0.005.The initial concentration of raw material A c_{A0}2.6 kmol/m3, and the concentration of raw material B is c_{B0}3.81 kmol/m3., the conversion rate is 0.515. The feed volumetric flow rate Q is 0.494 kmol/m3.&lt;|eot_id|&gt;&lt;|start_header_id|&gt;assistant&lt;|end_header_id|&gt;
</t>
  </si>
  <si>
    <t>For the BR reactor,-r_{A} =k\times c_{A}^2 kmol/(L*min), c_{A} =c_{A0} \times (1-x_{A} ),the residence time \tau is obtained by c_{A0}\times\int_{0}^{x_{f}}\frac{dx_{A}}{-r_{A}}. And the reactor volume is \frac{(\tau + t_{assist} )\times Q}{f} The calculated reactor volume V is 1.93 Cubic Meters.</t>
  </si>
  <si>
    <t>For the BR reactor,-r_{A} =k\times c_{A}^2 kmol/(L*min), c_{A} =c_{A0} \times (1-x_{A} ),the residence time \tau is obtained by c_{A0}\times\int_{0}^{x_{f}}\frac{dx_{A}}{-r_{A}}. And the reactor volume is \frac{(\tau + t_{assist} )\times Q}{f} The calculated reactor volume V is 2.58 Cubic Meters.</t>
  </si>
  <si>
    <t xml:space="preserve">&lt;|begin_of_text|&gt;&lt;|start_header_id|&gt;user&lt;|end_header_id|&gt;
Please calculate the reactor volume with following conditions？
It is planned to carry out the reaction A+B \longrightarrow C in BR. The experimentally determined reaction kinetic equation is -r_{A}=k\times c_{A}^2 kmol/(L*min), the reaction kinetic constant k=0.01.The initial concentration of raw material A c_{A0} is 7.15 kmol/m3., the conversion rate is 0.617. The feed volumetric flow rate Q is 0.673 kmol/m3, the auxiliary production time t_{assist} is 1 h, and the loading factor f is 0.48.&lt;|eot_id|&gt;&lt;|start_header_id|&gt;assistant&lt;|end_header_id|&gt;
</t>
  </si>
  <si>
    <t>For the CSTR reactor,-r_{A} =k\times c_{A}^3 kmol/(L*min), c_{A} =c_{A0} \times (1-x_{A} ) the residence time \tau is calculated by \frac{c_{A0} \times x_{f} }{-r_{A} }. And the reactor volume is \tau \times Q The calculated reactor volume V is 0.28 Cubic Meters.</t>
  </si>
  <si>
    <t>For the CSTR reactor,-r_{A} =k\times c_{A}^3 kmol/(L*min), c_{A} =c_{A0} \times (1-x_{A} ) the residence time \tau is calculated by \frac{c_{A0} \times x_{f} }{-r_{A} }. And the reactor volume is \tau \times Q The calculated reactor volume V is 0.64 Cubic Meters.</t>
  </si>
  <si>
    <t xml:space="preserve">&lt;|begin_of_text|&gt;&lt;|start_header_id|&gt;user&lt;|end_header_id|&gt;
Please calculate the reactor volume with following conditions？
It is planned to carry out the reaction A+B \longrightarrow C in CSTR. The experimentally determined reaction kinetic equation is -r_{A}=k\times c_{A}^3 kmol/(L*min), the reaction kinetic constant k=0.01.The initial concentration of raw material A c_{A0} is 4.84 kmol/m3., the conversion rate is 0.678. The feed volumetric flow rate Q is 0.197 kmol/m3.&lt;|eot_id|&gt;&lt;|start_header_id|&gt;assistant&lt;|end_header_id|&gt;
</t>
  </si>
  <si>
    <t>For the CSTR reactor,-r_{A} =k\times c_{A}^1 kmol/(L*min), c_{A} =c_{A0} \times (1-x_{A} ) the residence time \tau is calculated by \frac{c_{A0} \times x_{f} }{-r_{A} }. And the reactor volume is \tau \times Q The calculated reactor volume V is 15.36 Cubic Meters.</t>
  </si>
  <si>
    <t>For the CSTR reactor,-r_{A} =k\times c_{A}^1 kmol/(L*min), c_{A} =c_{A0} \times (1-x_{A} ) the residence time \tau is calculated by \frac{c_{A0} \times x_{f} }{-r_{A} }. And the reactor volume is \tau \times Q The calculated reactor volume V is 9.39 Cubic Meters.</t>
  </si>
  <si>
    <t xml:space="preserve">&lt;|begin_of_text|&gt;&lt;|start_header_id|&gt;user&lt;|end_header_id|&gt;
Please calculate the reactor volume with following conditions？
It is planned to carry out the reaction A+B \longrightarrow C in CSTR. The experimentally determined reaction kinetic equation is -r_{A}=k\times c_{A}^1 kmol/(L*min), the reaction kinetic constant k=0.002.The initial concentration of raw material A c_{A0} is 5.26 kmol/m3., the conversion rate is 0.755. The feed volumetric flow rate Q is 0.598 kmol/m3.&lt;|eot_id|&gt;&lt;|start_header_id|&gt;assistant&lt;|end_header_id|&gt;
</t>
  </si>
  <si>
    <t>For the PFR reactor,-r_{A} =k\times c_{A}^2 kmol/(L*min), c_{A} =c_{A0} \times (1-x_{A} ),the residence time \tau is obtained by c_{A0}\times\int_{0}^{x_{f}}\frac{dx_{A}}{-r_{A}}. And the reactor volume is \tau \times Q The calculated reactor volume V is 3.16 Cubic Meters.</t>
  </si>
  <si>
    <t>For the PFR reactor,-r_{A} =k\times c_{A}^2 kmol/(L*min), c_{A} =c_{A0} \times (1-x_{A} ),the residence time \tau is obtained by c_{A0}\times\int_{0}^{x_{f}}\frac{dx_{A}}{-r_{A}}. And the reactor volume is \tau \times Q The calculated reactor volume V is 14.51 Cubic Meters.</t>
  </si>
  <si>
    <t xml:space="preserve">&lt;|begin_of_text|&gt;&lt;|start_header_id|&gt;user&lt;|end_header_id|&gt;
Please calculate the reactor volume with following conditions？
It is planned to carry out the reaction A+B \longrightarrow C in PFR. The experimentally determined reaction kinetic equation is -r_{A}=k\times c_{A}^2 kmol/(L*min), the reaction kinetic constant k=0.007.The initial concentration of raw material A c_{A0} is 2.75 kmol/m3., the conversion rate is 0.796. The feed volumetric flow rate Q is 0.936 kmol/m3.&lt;|eot_id|&gt;&lt;|start_header_id|&gt;assistant&lt;|end_header_id|&gt;
</t>
  </si>
  <si>
    <t>For the BR reactor,-r_{A} =k\times c_{A}^1\times c_{B}^2 kmol/(L*min), c_{A} =c_{A0} \times (1-x_{A} ), c_{B} =c_{B0} - c_{A0} \times x_{A}, the residence time \tau is obtained by c_{A0}\times\int_{0}^{x_{f}}\frac{dx_{A}}{-r_{A}}. The residence time \tau of the BR reactor is 0.03 h.</t>
  </si>
  <si>
    <t>For the BR reactor,-r_{A} =k\times c_{A}^1\times c_{B}^2 kmol/(L*min), c_{A} =c_{A0} \times (1-x_{A} ), c_{B} =c_{B0} - c_{A0} \times x_{A}, the residence time \tau is obtained by c_{A0}\times\int_{0}^{x_{f}}\frac{dx_{A}}{-r_{A}}. The residence time \tau of the BR reactor is 0.08 h.</t>
  </si>
  <si>
    <t xml:space="preserve">&lt;|begin_of_text|&gt;&lt;|start_header_id|&gt;user&lt;|end_header_id|&gt;
Please calculate the residence time with following conditions?
It is planned to carry out the reaction A+B \longrightarrow C in BR. The experimentally determined reaction kinetic equation is -r_{A}=k\times c_{A}^1\times c_{B}^2 kmol/(L*min), the reaction kinetic constant k=0.009.The initial concentration of raw material A c_{A0}4.91 kmol/m3, and the concentration of raw material B is c_{B0}8.83 kmol/m3., the conversion rate is 0.58. The feed volumetric flow rate Q is 0.291 kmol/m3, the auxiliary production time t_{assist} is 5 h, and the loading factor f is 0.64.&lt;|eot_id|&gt;&lt;|start_header_id|&gt;assistant&lt;|end_header_id|&gt;
</t>
  </si>
  <si>
    <t xml:space="preserve">&lt;|begin_of_text|&gt;&lt;|start_header_id|&gt;user&lt;|end_header_id|&gt;
Please calculate the residence time with following conditions?
It is planned to carry out the reaction A+B \longrightarrow C in BR. The experimentally determined reaction kinetic equation is -r_{A}=k\times c_{A}^1\times c_{B}^3 kmol/(L*min), the reaction kinetic constant k=0.004.The initial concentration of raw material A c_{A0}2.92 kmol/m3, and the concentration of raw material B is c_{B0}9.7 kmol/m3., the conversion rate is 0.575. The feed volumetric flow rate Q is 0.873 kmol/m3, the auxiliary production time t_{assist} is 0 h, and the loading factor f is 0.53.&lt;|eot_id|&gt;&lt;|start_header_id|&gt;assistant&lt;|end_header_id|&gt;
</t>
  </si>
  <si>
    <t>For the PFR reactor,-r_{A} =k\times c_{A}^3 kmol/(L*min), c_{A} =c_{A0} \times (1-x_{A} ),the residence time \tau is obtained by c_{A0}\times\int_{0}^{x_{f}}\frac{dx_{A}}{-r_{A}}. And the reactor volume is \tau \times Q The calculated reactor volume V is 84.49 Cubic Meters.</t>
  </si>
  <si>
    <t>For the PFR reactor,-r_{A} =k\times c_{A}^3 kmol/(L*min), c_{A} =c_{A0} \times (1-x_{A} ),the residence time \tau is obtained by c_{A0}\times\int_{0}^{x_{f}}\frac{dx_{A}}{-r_{A}}. And the reactor volume is \tau \times Q The calculated reactor volume V is 3.42 Cubic Meters.</t>
  </si>
  <si>
    <t xml:space="preserve">&lt;|begin_of_text|&gt;&lt;|start_header_id|&gt;user&lt;|end_header_id|&gt;
Please calculate the reactor volume with following conditions？
It is planned to carry out the reaction A+B \longrightarrow C in PFR. The experimentally determined reaction kinetic equation is -r_{A}=k\times c_{A}^3 kmol/(L*min), the reaction kinetic constant k=0.001.The initial concentration of raw material A c_{A0} is 1.76 kmol/m3., the conversion rate is 0.836. The feed volumetric flow rate Q is 0.868 kmol/m3.&lt;|eot_id|&gt;&lt;|start_header_id|&gt;assistant&lt;|end_header_id|&gt;
</t>
  </si>
  <si>
    <t>For the CSTR reactor,-r_{A} =k\times c_{A}^1 kmol/(L*min), c_{A} =c_{A0} \times (1-x_{A} ) the residence time \tau is calculated by \frac{c_{A0} \times x_{f} }{-r_{A} }. The residence time \tau of the CSTR reactor is 16.52 h.</t>
  </si>
  <si>
    <t>For the CSTR reactor,-r_{A} =k\times c_{A}^1 kmol/(L*min), c_{A} =c_{A0} \times (1-x_{A} ) the residence time \tau is calculated by \frac{c_{A0} \times x_{f} }{-r_{A} }. The residence time \tau of the CSTR reactor is 32.89 h.</t>
  </si>
  <si>
    <t xml:space="preserve">&lt;|begin_of_text|&gt;&lt;|start_header_id|&gt;user&lt;|end_header_id|&gt;
Please calculate the residence time with following conditions?
It is planned to carry out the reaction A+B \longrightarrow C in CSTR. The experimentally determined reaction kinetic equation is -r_{A}=k\times c_{A}^1 kmol/(L*min), the reaction kinetic constant k=0.007.The initial concentration of raw material A c_{A0} is 3.67 kmol/m3., the conversion rate is 0.874. The feed volumetric flow rate Q is 0.281 kmol/m3.&lt;|eot_id|&gt;&lt;|start_header_id|&gt;assistant&lt;|end_header_id|&gt;
</t>
  </si>
  <si>
    <t>For the PFR reactor,-r_{A} =k\times c_{A}^3\times c_{B}^2 kmol/(L*min), c_{A} =c_{A0} \times (1-x_{A} ), c_{B} =c_{B0} - c_{A0} \times x_{A}, the residence time \tau is obtained by c_{A0}\times\int_{0}^{x_{f}}\frac{dx_{A}}{-r_{A}}. The residence time \tau of the PFR reactor is 0.29 h.</t>
  </si>
  <si>
    <t>For the PFR reactor,-r_{A} =k\times c_{A}^3\times c_{B}^2 kmol/(L*min), c_{A} =c_{A0} \times (1-x_{A} ), c_{B} =c_{B0} - c_{A0} \times x_{A}, the residence time \tau is obtained by c_{A0}\times\int_{0}^{x_{f}}\frac{dx_{A}}{-r_{A}}. The residence time \tau of the PFR reactor is 0.53 h.</t>
  </si>
  <si>
    <t xml:space="preserve">&lt;|begin_of_text|&gt;&lt;|start_header_id|&gt;user&lt;|end_header_id|&gt;
Please calculate the residence time with following conditions?
It is planned to carry out the reaction A+B \longrightarrow C in PFR. The experimentally determined reaction kinetic equation is -r_{A}=k\times c_{A}^3\times c_{B}^2 kmol/(L*min), the reaction kinetic constant k=0.008.The initial concentration of raw material A c_{A0}2.61 kmol/m3, and the concentration of raw material B is c_{B0}2.95 kmol/m3., the conversion rate is 0.61. The feed volumetric flow rate Q is 0.383 kmol/m3.&lt;|eot_id|&gt;&lt;|start_header_id|&gt;assistant&lt;|end_header_id|&gt;
</t>
  </si>
  <si>
    <t>For the BR reactor,-r_{A} =k\times c_{A}^2\times c_{B}^2 kmol/(L*min), c_{A} =c_{A0} \times (1-x_{A} ), c_{B} =c_{B0} - c_{A0} \times x_{A}, the residence time \tau is obtained by c_{A0}\times\int_{0}^{x_{f}}\frac{dx_{A}}{-r_{A}}. The residence time \tau of the BR reactor is 245824486.11 h.</t>
  </si>
  <si>
    <t>For the BR reactor,-r_{A} =k\times c_{A}^2\times c_{B}^2 kmol/(L*min), c_{A} =c_{A0} \times (1-x_{A} ), c_{B} =c_{B0} - c_{A0} \times x_{A}, the residence time \tau is obtained by c_{A0}\times\int_{0}^{x_{f}}\frac{dx_{A}}{-r_{A}}. The residence time \tau of the BR reactor is 2.42 h.</t>
  </si>
  <si>
    <t xml:space="preserve">&lt;|begin_of_text|&gt;&lt;|start_header_id|&gt;user&lt;|end_header_id|&gt;
Please calculate the residence time with following conditions?
It is planned to carry out the reaction A+B \longrightarrow C in BR. The experimentally determined reaction kinetic equation is -r_{A}=k\times c_{A}^2\times c_{B}^2 kmol/(L*min), the reaction kinetic constant k=0.009.The initial concentration of raw material A c_{A0}1.64 kmol/m3, and the concentration of raw material B is c_{B0}1.21 kmol/m3., the conversion rate is 0.844. The feed volumetric flow rate Q is 0.839 kmol/m3, the auxiliary production time t_{assist} is 0 h, and the loading factor f is 0.7.&lt;|eot_id|&gt;&lt;|start_header_id|&gt;assistant&lt;|end_header_id|&gt;
</t>
  </si>
  <si>
    <t>For the BR reactor,-r_{A} =k\times c_{A}^2\times c_{B}^3 kmol/(L*min), c_{A} =c_{A0} \times (1-x_{A} ), c_{B} =c_{B0}- c_{A0} \times x_{A}, the residence time \tau is obtained by c_{A0}\times\int_{0}^{x_{f}}\frac{dx_{A}}{-r_{A}}. And the reactor volume is \frac{(\tau + t_{assist} )\times Q}{f} The calculated reactor volume V is 0.25 Cubic Meters.</t>
  </si>
  <si>
    <t>For the BR reactor,-r_{A} =k\times c_{A}^2\times c_{B}^3 kmol/(L*min), c_{A} =c_{A0} \times (1-x_{A} ), c_{B} =c_{B0}- c_{A0} \times x_{A}, the residence time \tau is obtained by c_{A0}\times\int_{0}^{x_{f}}\frac{dx_{A}}{-r_{A}}. And the reactor volume is \frac{(\tau + t_{assist} )\times Q}{f} The calculated reactor volume V is 0.86 Cubic Meters.</t>
  </si>
  <si>
    <t xml:space="preserve">&lt;|begin_of_text|&gt;&lt;|start_header_id|&gt;user&lt;|end_header_id|&gt;
Please calculate the reactor volume with following conditions？
It is planned to carry out the reaction A+B \longrightarrow C in BR. The experimentally determined reaction kinetic equation is -r_{A}=k\times c_{A}^2\times c_{B}^3 kmol/(L*min), the reaction kinetic constant k=0.002.The initial concentration of raw material A c_{A0}7.21 kmol/m3, and the concentration of raw material B is c_{B0}5.67 kmol/m3., the conversion rate is 0.518. The feed volumetric flow rate Q is 0.141 kmol/m3, the auxiliary production time t_{assist} is 1 h, and the loading factor f is 0.6.&lt;|eot_id|&gt;&lt;|start_header_id|&gt;assistant&lt;|end_header_id|&gt;
</t>
  </si>
  <si>
    <t>For the BR reactor,-r_{A} =k\times c_{A}^2 kmol/(L*min), c_{A} =c_{A0} \times (1-x_{A} ),the residence time \tau is obtained by c_{A0}\times\int_{0}^{x_{f}}\frac{dx_{A}}{-r_{A}}. The residence time \tau of the BR reactor is 0.53 h.</t>
  </si>
  <si>
    <t>For the BR reactor,-r_{A} =k\times c_{A}^2 kmol/(L*min), c_{A} =c_{A0} \times (1-x_{A} ),the residence time \tau is obtained by c_{A0}\times\int_{0}^{x_{f}}\frac{dx_{A}}{-r_{A}}. The residence time \tau of the BR reactor is 0.51 h.</t>
  </si>
  <si>
    <t xml:space="preserve">&lt;|begin_of_text|&gt;&lt;|start_header_id|&gt;user&lt;|end_header_id|&gt;
Please calculate the residence time with following conditions?
It is planned to carry out the reaction A+B \longrightarrow C in BR. The experimentally determined reaction kinetic equation is -r_{A}=k\times c_{A}^2 kmol/(L*min), the reaction kinetic constant k=0.008.The initial concentration of raw material A c_{A0} is 6.95 kmol/m3., the conversion rate is 0.639. The feed volumetric flow rate Q is 0.139 kmol/m3, the auxiliary production time t_{assist} is 0 h, and the loading factor f is 0.71.&lt;|eot_id|&gt;&lt;|start_header_id|&gt;assistant&lt;|end_header_id|&gt;
</t>
  </si>
  <si>
    <t>For the CSTR reactor,-r_{A} =k\times c_{A}^1 kmol/(L*min), c_{A} =c_{A0} \times (1-x_{A} ) the residence time \tau is calculated by \frac{c_{A0} \times x_{f} }{-r_{A} }. And the reactor volume is \tau \times Q The calculated reactor volume V is 246.41 Cubic Meters.</t>
  </si>
  <si>
    <t>For the CSTR reactor,-r_{A} =k\times c_{A}^1 kmol/(L*min), c_{A} =c_{A0} \times (1-x_{A} ) the residence time \tau is calculated by \frac{c_{A0} \times x_{f} }{-r_{A} }. And the reactor volume is \tau \times Q The calculated reactor volume V is 469.66 Cubic Meters.</t>
  </si>
  <si>
    <t xml:space="preserve">&lt;|begin_of_text|&gt;&lt;|start_header_id|&gt;user&lt;|end_header_id|&gt;
Please calculate the reactor volume with following conditions？
It is planned to carry out the reaction A+B \longrightarrow C in CSTR. The experimentally determined reaction kinetic equation is -r_{A}=k\times c_{A}^1 kmol/(L*min), the reaction kinetic constant k=0.008.The initial concentration of raw material A c_{A0} is 8.95 kmol/m3., the conversion rate is 0.996. The feed volumetric flow rate Q is 0.475 kmol/m3.&lt;|eot_id|&gt;&lt;|start_header_id|&gt;assistant&lt;|end_header_id|&gt;
</t>
  </si>
  <si>
    <t>For the CSTR reactor,-r_{A} =k\times c_{A}^3\times c_{B}^3 kmol/(L*min), c_{A} =c_{A0} \times (1-x_{A} ), c_{B} =c_{B0}- c_{A0} \times x_{A}, the residence time \tau is calculated by \frac{c_{A0} \times x_{f} }{-r_{A} }. And the reactor volume is \tau \times Q The calculated reactor volume V is 0.84 Cubic Meters.</t>
  </si>
  <si>
    <t>For the CSTR reactor,-r_{A} =k\times c_{A}^3\times c_{B}^3 kmol/(L*min), c_{A} =c_{A0} \times (1-x_{A} ), c_{B} =c_{B0}- c_{A0} \times x_{A}, the residence time \tau is calculated by \frac{c_{A0} \times x_{f} }{-r_{A} }. And the reactor volume is \tau \times Q The calculated reactor volume V is 0.93 Cubic Meters.</t>
  </si>
  <si>
    <t xml:space="preserve">&lt;|begin_of_text|&gt;&lt;|start_header_id|&gt;user&lt;|end_header_id|&gt;
Please calculate the reactor volume with following conditions？
It is planned to carry out the reaction A+B \longrightarrow C in CSTR. The experimentally determined reaction kinetic equation is -r_{A}=k\times c_{A}^3\times c_{B}^3 kmol/(L*min), the reaction kinetic constant k=0.009.The initial concentration of raw material A c_{A0}0.62 kmol/m3, and the concentration of raw material B is c_{B0}6.07 kmol/m3., the conversion rate is 0.719. The feed volumetric flow rate Q is 0.958 kmol/m3.&lt;|eot_id|&gt;&lt;|start_header_id|&gt;assistant&lt;|end_header_id|&gt;
</t>
  </si>
  <si>
    <t>For the PFR reactor,-r_{A} =k\times c_{A}^2 kmol/(L*min), c_{A} =c_{A0} \times (1-x_{A} ),the residence time \tau is obtained by c_{A0}\times\int_{0}^{x_{f}}\frac{dx_{A}}{-r_{A}}. And the reactor volume is \tau \times Q The calculated reactor volume V is 104.45 Cubic Meters.</t>
  </si>
  <si>
    <t>For the PFR reactor,-r_{A} =k\times c_{A}^2 kmol/(L*min), c_{A} =c_{A0} \times (1-x_{A} ),the residence time \tau is obtained by c_{A0}\times\int_{0}^{x_{f}}\frac{dx_{A}}{-r_{A}}. And the reactor volume is \tau \times Q The calculated reactor volume V is 450.62 Cubic Meters.</t>
  </si>
  <si>
    <t xml:space="preserve">&lt;|begin_of_text|&gt;&lt;|start_header_id|&gt;user&lt;|end_header_id|&gt;
Please calculate the reactor volume with following conditions？
It is planned to carry out the reaction A+B \longrightarrow C in PFR. The experimentally determined reaction kinetic equation is -r_{A}=k\times c_{A}^2 kmol/(L*min), the reaction kinetic constant k=0.001.The initial concentration of raw material A c_{A0} is 4.23 kmol/m3., the conversion rate is 0.964. The feed volumetric flow rate Q is 0.99 kmol/m3.&lt;|eot_id|&gt;&lt;|start_header_id|&gt;assistant&lt;|end_header_id|&gt;
</t>
  </si>
  <si>
    <t>For the BR reactor,-r_{A} =k\times c_{A}^2 kmol/(L*min), c_{A} =c_{A0} \times (1-x_{A} ),the residence time \tau is obtained by c_{A0}\times\int_{0}^{x_{f}}\frac{dx_{A}}{-r_{A}}. And the reactor volume is \frac{(\tau + t_{assist} )\times Q}{f} The calculated reactor volume V is 4.49 Cubic Meters.</t>
  </si>
  <si>
    <t>For the BR reactor,-r_{A} =k\times c_{A}^2 kmol/(L*min), c_{A} =c_{A0} \times (1-x_{A} ),the residence time \tau is obtained by c_{A0}\times\int_{0}^{x_{f}}\frac{dx_{A}}{-r_{A}}. And the reactor volume is \frac{(\tau + t_{assist} )\times Q}{f} The calculated reactor volume V is 24.2 Cubic Meters.</t>
  </si>
  <si>
    <t xml:space="preserve">&lt;|begin_of_text|&gt;&lt;|start_header_id|&gt;user&lt;|end_header_id|&gt;
Please calculate the reactor volume with following conditions？
It is planned to carry out the reaction A+B \longrightarrow C in BR. The experimentally determined reaction kinetic equation is -r_{A}=k\times c_{A}^2 kmol/(L*min), the reaction kinetic constant k=0.009.The initial concentration of raw material A c_{A0} is 0.95 kmol/m3., the conversion rate is 0.573. The feed volumetric flow rate Q is 0.895 kmol/m3, the auxiliary production time t_{assist} is 1 h, and the loading factor f is 0.72.&lt;|eot_id|&gt;&lt;|start_header_id|&gt;assistant&lt;|end_header_id|&gt;
</t>
  </si>
  <si>
    <t>For the PFR reactor,-r_{A} =k\times c_{A}^2 kmol/(L*min), c_{A} =c_{A0} \times (1-x_{A} ),the residence time \tau is obtained by c_{A0}\times\int_{0}^{x_{f}}\frac{dx_{A}}{-r_{A}}. The residence time \tau of the PFR reactor is 0.86 h.</t>
  </si>
  <si>
    <t>For the PFR reactor,-r_{A} =k\times c_{A}^2 kmol/(L*min), c_{A} =c_{A0} \times (1-x_{A} ),the residence time \tau is obtained by c_{A0}\times\int_{0}^{x_{f}}\frac{dx_{A}}{-r_{A}}. The residence time \tau of the PFR reactor is 0.49 h.</t>
  </si>
  <si>
    <t xml:space="preserve">&lt;|begin_of_text|&gt;&lt;|start_header_id|&gt;user&lt;|end_header_id|&gt;
Please calculate the residence time with following conditions?
It is planned to carry out the reaction A+B \longrightarrow C in PFR. The experimentally determined reaction kinetic equation is -r_{A}=k\times c_{A}^2 kmol/(L*min), the reaction kinetic constant k=0.006.The initial concentration of raw material A c_{A0} is 8.69 kmol/m3., the conversion rate is 0.728. The feed volumetric flow rate Q is 0.825 kmol/m3.&lt;|eot_id|&gt;&lt;|start_header_id|&gt;assistant&lt;|end_header_id|&gt;
</t>
  </si>
  <si>
    <t>For the CSTR reactor,-r_{A} =k\times c_{A}^2 kmol/(L*min), c_{A} =c_{A0} \times (1-x_{A} ) the residence time \tau is calculated by \frac{c_{A0} \times x_{f} }{-r_{A} }. The residence time \tau of the CSTR reactor is 12.11 h.</t>
  </si>
  <si>
    <t>For the CSTR reactor,-r_{A} =k\times c_{A}^2 kmol/(L*min), c_{A} =c_{A0} \times (1-x_{A} ) the residence time \tau is calculated by \frac{c_{A0} \times x_{f} }{-r_{A} }. The residence time \tau of the CSTR reactor is 15.76 h.</t>
  </si>
  <si>
    <t xml:space="preserve">&lt;|begin_of_text|&gt;&lt;|start_header_id|&gt;user&lt;|end_header_id|&gt;
Please calculate the residence time with following conditions?
It is planned to carry out the reaction A+B \longrightarrow C in CSTR. The experimentally determined reaction kinetic equation is -r_{A}=k\times c_{A}^2 kmol/(L*min), the reaction kinetic constant k=0.01.The initial concentration of raw material A c_{A0} is 5.2 kmol/m3., the conversion rate is 0.85. The feed volumetric flow rate Q is 0.305 kmol/m3.&lt;|eot_id|&gt;&lt;|start_header_id|&gt;assistant&lt;|end_header_id|&gt;
</t>
  </si>
  <si>
    <t>For the PFR reactor,-r_{A} =k\times c_{A}^3 kmol/(L*min), c_{A} =c_{A0} \times (1-x_{A} ),the residence time \tau is obtained by c_{A0}\times\int_{0}^{x_{f}}\frac{dx_{A}}{-r_{A}}. The residence time \tau of the PFR reactor is 68.15 h.</t>
  </si>
  <si>
    <t>For the PFR reactor,-r_{A} =k\times c_{A}^3 kmol/(L*min), c_{A} =c_{A0} \times (1-x_{A} ),the residence time \tau is obtained by c_{A0}\times\int_{0}^{x_{f}}\frac{dx_{A}}{-r_{A}}. The residence time \tau of the PFR reactor is 4.76 h.</t>
  </si>
  <si>
    <t xml:space="preserve">&lt;|begin_of_text|&gt;&lt;|start_header_id|&gt;user&lt;|end_header_id|&gt;
Please calculate the residence time with following conditions?
It is planned to carry out the reaction A+B \longrightarrow C in PFR. The experimentally determined reaction kinetic equation is -r_{A}=k\times c_{A}^3 kmol/(L*min), the reaction kinetic constant k=0.007.The initial concentration of raw material A c_{A0} is 9.44 kmol/m3., the conversion rate is 0.986. The feed volumetric flow rate Q is 0.224 kmol/m3.&lt;|eot_id|&gt;&lt;|start_header_id|&gt;assistant&lt;|end_header_id|&gt;
</t>
  </si>
  <si>
    <t>For the BR reactor,-r_{A} =k\times c_{A}^2\times c_{B}^2 kmol/(L*min), c_{A} =c_{A0} \times (1-x_{A} ), c_{B} =c_{B0} - c_{A0} \times x_{A}, the residence time \tau is obtained by c_{A0}\times\int_{0}^{x_{f}}\frac{dx_{A}}{-r_{A}}. The residence time \tau of the BR reactor is 0.08 h.</t>
  </si>
  <si>
    <t>For the BR reactor,-r_{A} =k\times c_{A}^2\times c_{B}^2 kmol/(L*min), c_{A} =c_{A0} \times (1-x_{A} ), c_{B} =c_{B0} - c_{A0} \times x_{A}, the residence time \tau is obtained by c_{A0}\times\int_{0}^{x_{f}}\frac{dx_{A}}{-r_{A}}. The residence time \tau of the BR reactor is 0.09 h.</t>
  </si>
  <si>
    <t xml:space="preserve">&lt;|begin_of_text|&gt;&lt;|start_header_id|&gt;user&lt;|end_header_id|&gt;
Please calculate the residence time with following conditions?
It is planned to carry out the reaction A+B \longrightarrow C in BR. The experimentally determined reaction kinetic equation is -r_{A}=k\times c_{A}^2\times c_{B}^2 kmol/(L*min), the reaction kinetic constant k=0.005.The initial concentration of raw material A c_{A0}2.41 kmol/m3, and the concentration of raw material B is c_{B0}6.35 kmol/m3., the conversion rate is 0.62. The feed volumetric flow rate Q is 0.668 kmol/m3, the auxiliary production time t_{assist} is 2 h, and the loading factor f is 0.74.&lt;|eot_id|&gt;&lt;|start_header_id|&gt;assistant&lt;|end_header_id|&gt;
</t>
  </si>
  <si>
    <t>For the CSTR reactor,-r_{A} =k\times c_{A}^3\times c_{B}^2 kmol/(L*min), c_{A} =c_{A0} \times (1-x_{A} ), c_{B} =c_{B0}- c_{A0} \times x_{A}, the residence time \tau is calculated by \frac{c_{A0} \times x_{f} }{-r_{A} }. The residence time \tau of the CSTR reactor is 1453.49 h.</t>
  </si>
  <si>
    <t>For the CSTR reactor,-r_{A} =k\times c_{A}^3\times c_{B}^2 kmol/(L*min), c_{A} =c_{A0} \times (1-x_{A} ), c_{B} =c_{B0}- c_{A0} \times x_{A}, the residence time \tau is calculated by \frac{c_{A0} \times x_{f} }{-r_{A} }. The residence time \tau of the CSTR reactor is 12.63 h.</t>
  </si>
  <si>
    <t xml:space="preserve">&lt;|begin_of_text|&gt;&lt;|start_header_id|&gt;user&lt;|end_header_id|&gt;
Please calculate the residence time with following conditions?
It is planned to carry out the reaction A+B \longrightarrow C in CSTR. The experimentally determined reaction kinetic equation is -r_{A}=k\times c_{A}^3\times c_{B}^2 kmol/(L*min), the reaction kinetic constant k=0.007.The initial concentration of raw material A c_{A0}1.23 kmol/m3, and the concentration of raw material B is c_{B0}7.43 kmol/m3., the conversion rate is 0.97. The feed volumetric flow rate Q is 0.154 kmol/m3.&lt;|eot_id|&gt;&lt;|start_header_id|&gt;assistant&lt;|end_header_id|&gt;
</t>
  </si>
  <si>
    <t>For the BR reactor,-r_{A} =k\times c_{A}^2\times c_{B}^2 kmol/(L*min), c_{A} =c_{A0} \times (1-x_{A} ), c_{B} =c_{B0}- c_{A0} \times x_{A}, the residence time \tau is obtained by c_{A0}\times\int_{0}^{x_{f}}\frac{dx_{A}}{-r_{A}}. And the reactor volume is \frac{(\tau + t_{assist} )\times Q}{f} The calculated reactor volume V is 0.04 Cubic Meters.</t>
  </si>
  <si>
    <t>For the BR reactor,-r_{A} =k\times c_{A}^2\times c_{B}^2 kmol/(L*min), c_{A} =c_{A0} \times (1-x_{A} ), c_{B} =c_{B0}- c_{A0} \times x_{A}, the residence time \tau is obtained by c_{A0}\times\int_{0}^{x_{f}}\frac{dx_{A}}{-r_{A}}. And the reactor volume is \frac{(\tau + t_{assist} )\times Q}{f} The calculated reactor volume V is 174.61 Cubic Meters.</t>
  </si>
  <si>
    <t xml:space="preserve">&lt;|begin_of_text|&gt;&lt;|start_header_id|&gt;user&lt;|end_header_id|&gt;
Please calculate the reactor volume with following conditions？
It is planned to carry out the reaction A+B \longrightarrow C in BR. The experimentally determined reaction kinetic equation is -r_{A}=k\times c_{A}^2\times c_{B}^2 kmol/(L*min), the reaction kinetic constant k=0.003.The initial concentration of raw material A c_{A0}9.4 kmol/m3, and the concentration of raw material B is c_{B0}9.64 kmol/m3., the conversion rate is 0.542. The feed volumetric flow rate Q is 0.896 kmol/m3, the auxiliary production time t_{assist} is 0 h, and the loading factor f is 0.49.&lt;|eot_id|&gt;&lt;|start_header_id|&gt;assistant&lt;|end_header_id|&gt;
</t>
  </si>
  <si>
    <t>For the CSTR reactor,-r_{A} =k\times c_{A}^1\times c_{B}^2 kmol/(L*min), c_{A} =c_{A0} \times (1-x_{A} ), c_{B} =c_{B0}- c_{A0} \times x_{A}, the residence time \tau is calculated by \frac{c_{A0} \times x_{f} }{-r_{A} }. And the reactor volume is \tau \times Q The calculated reactor volume V is 11.92 Cubic Meters.</t>
  </si>
  <si>
    <t>For the CSTR reactor,-r_{A} =k\times c_{A}^1\times c_{B}^2 kmol/(L*min), c_{A} =c_{A0} \times (1-x_{A} ), c_{B} =c_{B0}- c_{A0} \times x_{A}, the residence time \tau is calculated by \frac{c_{A0} \times x_{f} }{-r_{A} }. And the reactor volume is \tau \times Q The calculated reactor volume V is 2.746 Cubic Meters.</t>
  </si>
  <si>
    <t xml:space="preserve">&lt;|begin_of_text|&gt;&lt;|start_header_id|&gt;user&lt;|end_header_id|&gt;
Please calculate the reactor volume with following conditions？
It is planned to carry out the reaction A+B \longrightarrow C in CSTR. The experimentally determined reaction kinetic equation is -r_{A}=k\times c_{A}^1\times c_{B}^2 kmol/(L*min), the reaction kinetic constant k=0.008.The initial concentration of raw material A c_{A0}1.65 kmol/m3, and the concentration of raw material B is c_{B0}5.09 kmol/m3., the conversion rate is 0.988. The feed volumetric flow rate Q is 0.832 kmol/m3.&lt;|eot_id|&gt;&lt;|start_header_id|&gt;assistant&lt;|end_header_id|&gt;
</t>
  </si>
  <si>
    <t>For the PFR reactor,-r_{A} =k\times c_{A}^2\times c_{B}^3 kmol/(L*min), c_{A} =c_{A0} \times (1-x_{A} ), c_{B} =c_{B0}- c_{A0} \times x_{A}, the residence time \tau is obtained by c_{A0}\times\int_{0}^{x_{f}}\frac{dx_{A}}{-r_{A}}. And the reactor volume is \tau \times Q The calculated reactor volume V is 2.63 Cubic Meters.</t>
  </si>
  <si>
    <t>For the PFR reactor,-r_{A} =k\times c_{A}^2\times c_{B}^3 kmol/(L*min), c_{A} =c_{A0} \times (1-x_{A} ), c_{B} =c_{B0}- c_{A0} \times x_{A}, the residence time \tau is obtained by c_{A0}\times\int_{0}^{x_{f}}\frac{dx_{A}}{-r_{A}}. And the reactor volume is \tau \times Q The calculated reactor volume V is 0.25 Cubic Meters.</t>
  </si>
  <si>
    <t xml:space="preserve">&lt;|begin_of_text|&gt;&lt;|start_header_id|&gt;user&lt;|end_header_id|&gt;
Please calculate the reactor volume with following conditions？
It is planned to carry out the reaction A+B \longrightarrow C in PFR. The experimentally determined reaction kinetic equation is -r_{A}=k\times c_{A}^2\times c_{B}^3 kmol/(L*min), the reaction kinetic constant k=0.007.The initial concentration of raw material A c_{A0}4.83 kmol/m3, and the concentration of raw material B is c_{B0}4.41 kmol/m3., the conversion rate is 0.808. The feed volumetric flow rate Q is 0.79 kmol/m3.&lt;|eot_id|&gt;&lt;|start_header_id|&gt;assistant&lt;|end_header_id|&gt;
</t>
  </si>
  <si>
    <t>For the CSTR reactor,-r_{A} =k\times c_{A}^1 kmol/(L*min), c_{A} =c_{A0} \times (1-x_{A} ) the residence time \tau is calculated by \frac{c_{A0} \times x_{f} }{-r_{A} }. And the reactor volume is \tau \times Q The calculated reactor volume V is 0.29 Cubic Meters.</t>
  </si>
  <si>
    <t>For the CSTR reactor,-r_{A} =k\times c_{A}^1 kmol/(L*min), c_{A} =c_{A0} \times (1-x_{A} ) the residence time \tau is calculated by \frac{c_{A0} \times x_{f} }{-r_{A} }. And the reactor volume is \tau \times Q The calculated reactor volume V is 0.07 Cubic Meters.</t>
  </si>
  <si>
    <t xml:space="preserve">&lt;|begin_of_text|&gt;&lt;|start_header_id|&gt;user&lt;|end_header_id|&gt;
Please calculate the reactor volume with following conditions？
It is planned to carry out the reaction A+B \longrightarrow C in CSTR. The experimentally determined reaction kinetic equation is -r_{A}=k\times c_{A}^1 kmol/(L*min), the reaction kinetic constant k=0.003.The initial concentration of raw material A c_{A0} is 6.27 kmol/m3., the conversion rate is 0.617. The feed volumetric flow rate Q is 0.032 kmol/m3.&lt;|eot_id|&gt;&lt;|start_header_id|&gt;assistant&lt;|end_header_id|&gt;
</t>
  </si>
  <si>
    <t>For the PFR reactor,-r_{A} =k\times c_{A}^3\times c_{B}^2 kmol/(L*min), c_{A} =c_{A0} \times (1-x_{A} ), c_{B} =c_{B0} - c_{A0} \times x_{A}, the residence time \tau is obtained by c_{A0}\times\int_{0}^{x_{f}}\frac{dx_{A}}{-r_{A}}. The residence time \tau of the PFR reactor is 3.36 h.</t>
  </si>
  <si>
    <t>For the PFR reactor,-r_{A} =k\times c_{A}^3\times c_{B}^2 kmol/(L*min), c_{A} =c_{A0} \times (1-x_{A} ), c_{B} =c_{B0} - c_{A0} \times x_{A}, the residence time \tau is obtained by c_{A0}\times\int_{0}^{x_{f}}\frac{dx_{A}}{-r_{A}}. The residence time \tau of the PFR reactor is 2.62 h.</t>
  </si>
  <si>
    <t xml:space="preserve">&lt;|begin_of_text|&gt;&lt;|start_header_id|&gt;user&lt;|end_header_id|&gt;
Please calculate the residence time with following conditions?
It is planned to carry out the reaction A+B \longrightarrow C in PFR. The experimentally determined reaction kinetic equation is -r_{A}=k\times c_{A}^3\times c_{B}^2 kmol/(L*min), the reaction kinetic constant k=0.006.The initial concentration of raw material A c_{A0}0.68 kmol/m3, and the concentration of raw material B is c_{B0}5.14 kmol/m3., the conversion rate is 0.802. The feed volumetric flow rate Q is 0.599 kmol/m3.&lt;|eot_id|&gt;&lt;|start_header_id|&gt;assistant&lt;|end_header_id|&gt;
</t>
  </si>
  <si>
    <t>For the PFR reactor,-r_{A} =k\times c_{A}^3 kmol/(L*min), c_{A} =c_{A0} \times (1-x_{A} ),the residence time \tau is obtained by c_{A0}\times\int_{0}^{x_{f}}\frac{dx_{A}}{-r_{A}}. And the reactor volume is \tau \times Q The calculated reactor volume V is 0.07 Cubic Meters.</t>
  </si>
  <si>
    <t>For the PFR reactor,-r_{A} =k\times c_{A}^3 kmol/(L*min), c_{A} =c_{A0} \times (1-x_{A} ),the residence time \tau is obtained by c_{A0}\times\int_{0}^{x_{f}}\frac{dx_{A}}{-r_{A}}. And the reactor volume is \tau \times Q The calculated reactor volume V is 0.19 Cubic Meters.</t>
  </si>
  <si>
    <t xml:space="preserve">&lt;|begin_of_text|&gt;&lt;|start_header_id|&gt;user&lt;|end_header_id|&gt;
Please calculate the reactor volume with following conditions？
It is planned to carry out the reaction A+B \longrightarrow C in PFR. The experimentally determined reaction kinetic equation is -r_{A}=k\times c_{A}^3 kmol/(L*min), the reaction kinetic constant k=0.006.The initial concentration of raw material A c_{A0} is 8.8 kmol/m3., the conversion rate is 0.588. The feed volumetric flow rate Q is 0.749 kmol/m3.&lt;|eot_id|&gt;&lt;|start_header_id|&gt;assistant&lt;|end_header_id|&gt;
</t>
  </si>
  <si>
    <t>For the BR reactor,-r_{A} =k\times c_{A}^3\times c_{B}^2 kmol/(L*min), c_{A} =c_{A0} \times (1-x_{A} ), c_{B} =c_{B0} - c_{A0} \times x_{A}, the residence time \tau is obtained by c_{A0}\times\int_{0}^{x_{f}}\frac{dx_{A}}{-r_{A}}. The residence time \tau of the BR reactor is 26.13 h.</t>
  </si>
  <si>
    <t>For the BR reactor,-r_{A} =k\times c_{A}^3\times c_{B}^2 kmol/(L*min), c_{A} =c_{A0} \times (1-x_{A} ), c_{B} =c_{B0} - c_{A0} \times x_{A}, the residence time \tau is obtained by c_{A0}\times\int_{0}^{x_{f}}\frac{dx_{A}}{-r_{A}}. The residence time \tau of the BR reactor is 9818.76 h.</t>
  </si>
  <si>
    <t xml:space="preserve">&lt;|begin_of_text|&gt;&lt;|start_header_id|&gt;user&lt;|end_header_id|&gt;
Please calculate the residence time with following conditions?
It is planned to carry out the reaction A+B \longrightarrow C in BR. The experimentally determined reaction kinetic equation is -r_{A}=k\times c_{A}^3\times c_{B}^2 kmol/(L*min), the reaction kinetic constant k=0.002.The initial concentration of raw material A c_{A0}9.16 kmol/m3, and the concentration of raw material B is c_{B0}4.2 kmol/m3., the conversion rate is 0.974. The feed volumetric flow rate Q is 0.954 kmol/m3, the auxiliary production time t_{assist} is 3 h, and the loading factor f is 0.63.&lt;|eot_id|&gt;&lt;|start_header_id|&gt;assistant&lt;|end_header_id|&gt;
</t>
  </si>
  <si>
    <t>For the PFR reactor,-r_{A} =k\times c_{A}^2 kmol/(L*min), c_{A} =c_{A0} \times (1-x_{A} ),the residence time \tau is obtained by c_{A0}\times\int_{0}^{x_{f}}\frac{dx_{A}}{-r_{A}}. And the reactor volume is \tau \times Q The calculated reactor volume V is 1.06 Cubic Meters.</t>
  </si>
  <si>
    <t>For the PFR reactor,-r_{A} =k\times c_{A}^2 kmol/(L*min), c_{A} =c_{A0} \times (1-x_{A} ),the residence time \tau is obtained by c_{A0}\times\int_{0}^{x_{f}}\frac{dx_{A}}{-r_{A}}. And the reactor volume is \tau \times Q The calculated reactor volume V is 0.94 Cubic Meters.</t>
  </si>
  <si>
    <t xml:space="preserve">&lt;|begin_of_text|&gt;&lt;|start_header_id|&gt;user&lt;|end_header_id|&gt;
Please calculate the reactor volume with following conditions？
It is planned to carry out the reaction A+B \longrightarrow C in PFR. The experimentally determined reaction kinetic equation is -r_{A}=k\times c_{A}^2 kmol/(L*min), the reaction kinetic constant k=0.007.The initial concentration of raw material A c_{A0} is 2.1 kmol/m3., the conversion rate is 0.521. The feed volumetric flow rate Q is 0.859 kmol/m3.&lt;|eot_id|&gt;&lt;|start_header_id|&gt;assistant&lt;|end_header_id|&gt;
</t>
  </si>
  <si>
    <t>For the BR reactor,-r_{A} =k\times c_{A}^2 kmol/(L*min), c_{A} =c_{A0} \times (1-x_{A} ),the residence time \tau is obtained by c_{A0}\times\int_{0}^{x_{f}}\frac{dx_{A}}{-r_{A}}. The residence time \tau of the BR reactor is 33.21 h.</t>
  </si>
  <si>
    <t>For the BR reactor,-r_{A} =k\times c_{A}^2 kmol/(L*min), c_{A} =c_{A0} \times (1-x_{A} ),the residence time \tau is obtained by c_{A0}\times\int_{0}^{x_{f}}\frac{dx_{A}}{-r_{A}}. The residence time \tau of the BR reactor is 18.17 h.</t>
  </si>
  <si>
    <t xml:space="preserve">&lt;|begin_of_text|&gt;&lt;|start_header_id|&gt;user&lt;|end_header_id|&gt;
Please calculate the residence time with following conditions?
It is planned to carry out the reaction A+B \longrightarrow C in BR. The experimentally determined reaction kinetic equation is -r_{A}=k\times c_{A}^2 kmol/(L*min), the reaction kinetic constant k=0.002.The initial concentration of raw material A c_{A0} is 1.4 kmol/m3., the conversion rate is 0.848. The feed volumetric flow rate Q is 0.178 kmol/m3, the auxiliary production time t_{assist} is 3 h, and the loading factor f is 0.43.&lt;|eot_id|&gt;&lt;|start_header_id|&gt;assistant&lt;|end_header_id|&gt;
</t>
  </si>
  <si>
    <t>For the PFR reactor,-r_{A} =k\times c_{A}^1\times c_{B}^1 kmol/(L*min), c_{A} =c_{A0} \times (1-x_{A} ), c_{B} =c_{B0}- c_{A0} \times x_{A}, the residence time \tau is obtained by c_{A0}\times\int_{0}^{x_{f}}\frac{dx_{A}}{-r_{A}}. And the reactor volume is \tau \times Q The calculated reactor volume V is 0.59 Cubic Meters.</t>
  </si>
  <si>
    <t>For the PFR reactor,-r_{A} =k\times c_{A}^1\times c_{B}^1 kmol/(L*min), c_{A} =c_{A0} \times (1-x_{A} ), c_{B} =c_{B0}- c_{A0} \times x_{A}, the residence time \tau is obtained by c_{A0}\times\int_{0}^{x_{f}}\frac{dx_{A}}{-r_{A}}. And the reactor volume is \tau \times Q The calculated reactor volume V is 0.72 Cubic Meters.</t>
  </si>
  <si>
    <t xml:space="preserve">&lt;|begin_of_text|&gt;&lt;|start_header_id|&gt;user&lt;|end_header_id|&gt;
Please calculate the reactor volume with following conditions？
It is planned to carry out the reaction A+B \longrightarrow C in PFR. The experimentally determined reaction kinetic equation is -r_{A}=k\times c_{A}^1\times c_{B}^1 kmol/(L*min), the reaction kinetic constant k=0.008.The initial concentration of raw material A c_{A0}4.13 kmol/m3, and the concentration of raw material B is c_{B0}8.2 kmol/m3., the conversion rate is 0.844. The feed volumetric flow rate Q is 0.877 kmol/m3.&lt;|eot_id|&gt;&lt;|start_header_id|&gt;assistant&lt;|end_header_id|&gt;
</t>
  </si>
  <si>
    <t>For the BR reactor,-r_{A} =k\times c_{A}^2 kmol/(L*min), c_{A} =c_{A0} \times (1-x_{A} ),the residence time \tau is obtained by c_{A0}\times\int_{0}^{x_{f}}\frac{dx_{A}}{-r_{A}}. And the reactor volume is \frac{(\tau + t_{assist} )\times Q}{f} The calculated reactor volume V is 5.84 Cubic Meters.</t>
  </si>
  <si>
    <t>For the BR reactor,-r_{A} =k\times c_{A}^2 kmol/(L*min), c_{A} =c_{A0} \times (1-x_{A} ),the residence time \tau is obtained by c_{A0}\times\int_{0}^{x_{f}}\frac{dx_{A}}{-r_{A}}. And the reactor volume is \frac{(\tau + t_{assist} )\times Q}{f} The calculated reactor volume V is 10.88 Cubic Meters.</t>
  </si>
  <si>
    <t xml:space="preserve">&lt;|begin_of_text|&gt;&lt;|start_header_id|&gt;user&lt;|end_header_id|&gt;
Please calculate the reactor volume with following conditions？
It is planned to carry out the reaction A+B \longrightarrow C in BR. The experimentally determined reaction kinetic equation is -r_{A}=k\times c_{A}^2 kmol/(L*min), the reaction kinetic constant k=0.008.The initial concentration of raw material A c_{A0} is 6.42 kmol/m3., the conversion rate is 0.796. The feed volumetric flow rate Q is 0.965 kmol/m3, the auxiliary production time t_{assist} is 2 h, and the loading factor f is 0.54.&lt;|eot_id|&gt;&lt;|start_header_id|&gt;assistant&lt;|end_header_id|&gt;
</t>
  </si>
  <si>
    <t>For the PFR reactor,-r_{A} =k\times c_{A}^3\times c_{B}^3 kmol/(L*min), c_{A} =c_{A0} \times (1-x_{A} ), c_{B} =c_{B0} - c_{A0} \times x_{A}, the residence time \tau is obtained by c_{A0}\times\int_{0}^{x_{f}}\frac{dx_{A}}{-r_{A}}. The residence time \tau of the PFR reactor is 0.03 h.</t>
  </si>
  <si>
    <t>For the PFR reactor,-r_{A} =k\times c_{A}^3\times c_{B}^3 kmol/(L*min), c_{A} =c_{A0} \times (1-x_{A} ), c_{B} =c_{B0} - c_{A0} \times x_{A}, the residence time \tau is obtained by c_{A0}\times\int_{0}^{x_{f}}\frac{dx_{A}}{-r_{A}}. The residence time \tau of the PFR reactor is 0.18 h.</t>
  </si>
  <si>
    <t xml:space="preserve">&lt;|begin_of_text|&gt;&lt;|start_header_id|&gt;user&lt;|end_header_id|&gt;
Please calculate the residence time with following conditions?
It is planned to carry out the reaction A+B \longrightarrow C in PFR. The experimentally determined reaction kinetic equation is -r_{A}=k\times c_{A}^3\times c_{B}^3 kmol/(L*min), the reaction kinetic constant k=0.006.The initial concentration of raw material A c_{A0}2.41 kmol/m3, and the concentration of raw material B is c_{B0}4.32 kmol/m3., the conversion rate is 0.589. The feed volumetric flow rate Q is 0.977 kmol/m3.&lt;|eot_id|&gt;&lt;|start_header_id|&gt;assistant&lt;|end_header_id|&gt;
</t>
  </si>
  <si>
    <t>For the CSTR reactor,-r_{A} =k\times c_{A}^2\times c_{B}^2 kmol/(L*min), c_{A} =c_{A0} \times (1-x_{A} ), c_{B} =c_{B0}- c_{A0} \times x_{A}, the residence time \tau is calculated by \frac{c_{A0} \times x_{f} }{-r_{A} }. The residence time \tau of the CSTR reactor is 6.2 h.</t>
  </si>
  <si>
    <t>For the CSTR reactor,-r_{A} =k\times c_{A}^2\times c_{B}^2 kmol/(L*min), c_{A} =c_{A0} \times (1-x_{A} ), c_{B} =c_{B0}- c_{A0} \times x_{A}, the residence time \tau is calculated by \frac{c_{A0} \times x_{f} }{-r_{A} }. The residence time \tau of the CSTR reactor is 24.79 h.</t>
  </si>
  <si>
    <t xml:space="preserve">&lt;|begin_of_text|&gt;&lt;|start_header_id|&gt;user&lt;|end_header_id|&gt;
Please calculate the residence time with following conditions?
It is planned to carry out the reaction A+B \longrightarrow C in CSTR. The experimentally determined reaction kinetic equation is -r_{A}=k\times c_{A}^2\times c_{B}^2 kmol/(L*min), the reaction kinetic constant k=0.003.The initial concentration of raw material A c_{A0}3.02 kmol/m3, and the concentration of raw material B is c_{B0}9.31 kmol/m3., the conversion rate is 0.92. The feed volumetric flow rate Q is 0.355 kmol/m3.&lt;|eot_id|&gt;&lt;|start_header_id|&gt;assistant&lt;|end_header_id|&gt;
</t>
  </si>
  <si>
    <t>For the CSTR reactor,-r_{A} =k\times c_{A}^3\times c_{B}^3 kmol/(L*min), c_{A} =c_{A0} \times (1-x_{A} ), c_{B} =c_{B0}- c_{A0} \times x_{A}, the residence time \tau is calculated by \frac{c_{A0} \times x_{f} }{-r_{A} }. The residence time \tau of the CSTR reactor is 9.53 h.</t>
  </si>
  <si>
    <t>For the CSTR reactor,-r_{A} =k\times c_{A}^3\times c_{B}^3 kmol/(L*min), c_{A} =c_{A0} \times (1-x_{A} ), c_{B} =c_{B0}- c_{A0} \times x_{A}, the residence time \tau is calculated by \frac{c_{A0} \times x_{f} }{-r_{A} }. The residence time \tau of the CSTR reactor is 5.54 h.</t>
  </si>
  <si>
    <t xml:space="preserve">&lt;|begin_of_text|&gt;&lt;|start_header_id|&gt;user&lt;|end_header_id|&gt;
Please calculate the residence time with following conditions?
It is planned to carry out the reaction A+B \longrightarrow C in CSTR. The experimentally determined reaction kinetic equation is -r_{A}=k\times c_{A}^3\times c_{B}^3 kmol/(L*min), the reaction kinetic constant k=0.01.The initial concentration of raw material A c_{A0}0.62 kmol/m3, and the concentration of raw material B is c_{B0}4.66 kmol/m3., the conversion rate is 0.826. The feed volumetric flow rate Q is 0.239 kmol/m3.&lt;|eot_id|&gt;&lt;|start_header_id|&gt;assistant&lt;|end_header_id|&gt;
</t>
  </si>
  <si>
    <t>For the PFR reactor,-r_{A} =k\times c_{A}^2 kmol/(L*min), c_{A} =c_{A0} \times (1-x_{A} ),the residence time \tau is obtained by c_{A0}\times\int_{0}^{x_{f}}\frac{dx_{A}}{-r_{A}}. The residence time \tau of the PFR reactor is 1.21 h.</t>
  </si>
  <si>
    <t>For the PFR reactor,-r_{A} =k\times c_{A}^2 kmol/(L*min), c_{A} =c_{A0} \times (1-x_{A} ),the residence time \tau is obtained by c_{A0}\times\int_{0}^{x_{f}}\frac{dx_{A}}{-r_{A}}. The residence time \tau of the PFR reactor is 3.79 h.</t>
  </si>
  <si>
    <t xml:space="preserve">&lt;|begin_of_text|&gt;&lt;|start_header_id|&gt;user&lt;|end_header_id|&gt;
Please calculate the residence time with following conditions?
It is planned to carry out the reaction A+B \longrightarrow C in PFR. The experimentally determined reaction kinetic equation is -r_{A}=k\times c_{A}^2 kmol/(L*min), the reaction kinetic constant k=0.006.The initial concentration of raw material A c_{A0} is 5.56 kmol/m3., the conversion rate is 0.707. The feed volumetric flow rate Q is 0.192 kmol/m3.&lt;|eot_id|&gt;&lt;|start_header_id|&gt;assistant&lt;|end_header_id|&gt;
</t>
  </si>
  <si>
    <t>For the PFR reactor,-r_{A} =k\times c_{A}^2 kmol/(L*min), c_{A} =c_{A0} \times (1-x_{A} ),the residence time \tau is obtained by c_{A0}\times\int_{0}^{x_{f}}\frac{dx_{A}}{-r_{A}}. And the reactor volume is \tau \times Q The calculated reactor volume V is 0.52 Cubic Meters.</t>
  </si>
  <si>
    <t>For the PFR reactor,-r_{A} =k\times c_{A}^2 kmol/(L*min), c_{A} =c_{A0} \times (1-x_{A} ),the residence time \tau is obtained by c_{A0}\times\int_{0}^{x_{f}}\frac{dx_{A}}{-r_{A}}. And the reactor volume is \tau \times Q The calculated reactor volume V is 0.2 Cubic Meters.</t>
  </si>
  <si>
    <t xml:space="preserve">&lt;|begin_of_text|&gt;&lt;|start_header_id|&gt;user&lt;|end_header_id|&gt;
Please calculate the reactor volume with following conditions？
It is planned to carry out the reaction A+B \longrightarrow C in PFR. The experimentally determined reaction kinetic equation is -r_{A}=k\times c_{A}^2 kmol/(L*min), the reaction kinetic constant k=0.006.The initial concentration of raw material A c_{A0} is 2.18 kmol/m3., the conversion rate is 0.85. The feed volumetric flow rate Q is 0.072 kmol/m3.&lt;|eot_id|&gt;&lt;|start_header_id|&gt;assistant&lt;|end_header_id|&gt;
</t>
  </si>
  <si>
    <t>For the BR reactor,-r_{A} =k\times c_{A}^1 kmol/(L*min), c_{A} =c_{A0} \times (1-x_{A} ),the residence time \tau is obtained by c_{A0}\times\int_{0}^{x_{f}}\frac{dx_{A}}{-r_{A}}. And the reactor volume is \frac{(\tau + t_{assist} )\times Q}{f} The calculated reactor volume V is 2.43 Cubic Meters.</t>
  </si>
  <si>
    <t>For the BR reactor,-r_{A} =k\times c_{A}^1 kmol/(L*min), c_{A} =c_{A0} \times (1-x_{A} ),the residence time \tau is obtained by c_{A0}\times\int_{0}^{x_{f}}\frac{dx_{A}}{-r_{A}}. And the reactor volume is \frac{(\tau + t_{assist} )\times Q}{f} The calculated reactor volume V is 5.13 Cubic Meters.</t>
  </si>
  <si>
    <t xml:space="preserve">&lt;|begin_of_text|&gt;&lt;|start_header_id|&gt;user&lt;|end_header_id|&gt;
Please calculate the reactor volume with following conditions？
It is planned to carry out the reaction A+B \longrightarrow C in BR. The experimentally determined reaction kinetic equation is -r_{A}=k\times c_{A}^1 kmol/(L*min), the reaction kinetic constant k=0.006.The initial concentration of raw material A c_{A0} is 4.37 kmol/m3., the conversion rate is 0.521. The feed volumetric flow rate Q is 0.462 kmol/m3, the auxiliary production time t_{assist} is 2 h, and the loading factor f is 0.77.&lt;|eot_id|&gt;&lt;|start_header_id|&gt;assistant&lt;|end_header_id|&gt;
</t>
  </si>
  <si>
    <t>For the PFR reactor,-r_{A} =k\times c_{A}^3 kmol/(L*min), c_{A} =c_{A0} \times (1-x_{A} ),the residence time \tau is obtained by c_{A0}\times\int_{0}^{x_{f}}\frac{dx_{A}}{-r_{A}}. The residence time \tau of the PFR reactor is 0.24 h.</t>
  </si>
  <si>
    <t>For the PFR reactor,-r_{A} =k\times c_{A}^3 kmol/(L*min), c_{A} =c_{A0} \times (1-x_{A} ),the residence time \tau is obtained by c_{A0}\times\int_{0}^{x_{f}}\frac{dx_{A}}{-r_{A}}. The residence time \tau of the PFR reactor is 0.7 h.</t>
  </si>
  <si>
    <t xml:space="preserve">&lt;|begin_of_text|&gt;&lt;|start_header_id|&gt;user&lt;|end_header_id|&gt;
Please calculate the residence time with following conditions?
It is planned to carry out the reaction A+B \longrightarrow C in PFR. The experimentally determined reaction kinetic equation is -r_{A}=k\times c_{A}^3 kmol/(L*min), the reaction kinetic constant k=0.003.The initial concentration of raw material A c_{A0} is 7.96 kmol/m3., the conversion rate is 0.61. The feed volumetric flow rate Q is 0.062 kmol/m3.&lt;|eot_id|&gt;&lt;|start_header_id|&gt;assistant&lt;|end_header_id|&gt;
</t>
  </si>
  <si>
    <t>For the BR reactor,-r_{A} =k\times c_{A}^1\times c_{B}^2 kmol/(L*min), c_{A} =c_{A0} \times (1-x_{A} ), c_{B} =c_{B0} - c_{A0} \times x_{A}, the residence time \tau is obtained by c_{A0}\times\int_{0}^{x_{f}}\frac{dx_{A}}{-r_{A}}. The residence time \tau of the BR reactor is 10.33 h.</t>
  </si>
  <si>
    <t>For the BR reactor,-r_{A} =k\times c_{A}^1\times c_{B}^2 kmol/(L*min), c_{A} =c_{A0} \times (1-x_{A} ), c_{B} =c_{B0} - c_{A0} \times x_{A}, the residence time \tau is obtained by c_{A0}\times\int_{0}^{x_{f}}\frac{dx_{A}}{-r_{A}}. The residence time \tau of the BR reactor is 3.33 h.</t>
  </si>
  <si>
    <t xml:space="preserve">&lt;|begin_of_text|&gt;&lt;|start_header_id|&gt;user&lt;|end_header_id|&gt;
Please calculate the residence time with following conditions?
It is planned to carry out the reaction A+B \longrightarrow C in BR. The experimentally determined reaction kinetic equation is -r_{A}=k\times c_{A}^1\times c_{B}^2 kmol/(L*min), the reaction kinetic constant k=0.008.The initial concentration of raw material A c_{A0}8.74 kmol/m3, and the concentration of raw material B is c_{B0}8.84 kmol/m3., the conversion rate is 0.971. The feed volumetric flow rate Q is 0.594 kmol/m3, the auxiliary production time t_{assist} is 1 h, and the loading factor f is 0.67.&lt;|eot_id|&gt;&lt;|start_header_id|&gt;assistant&lt;|end_header_id|&gt;
</t>
  </si>
  <si>
    <t>For the PFR reactor,-r_{A} =k\times c_{A}^3 kmol/(L*min), c_{A} =c_{A0} \times (1-x_{A} ),the residence time \tau is obtained by c_{A0}\times\int_{0}^{x_{f}}\frac{dx_{A}}{-r_{A}}. And the reactor volume is \tau \times Q The calculated reactor volume V is 0.36 Cubic Meters.</t>
  </si>
  <si>
    <t>For the PFR reactor,-r_{A} =k\times c_{A}^3 kmol/(L*min), c_{A} =c_{A0} \times (1-x_{A} ),the residence time \tau is obtained by c_{A0}\times\int_{0}^{x_{f}}\frac{dx_{A}}{-r_{A}}. And the reactor volume is \tau \times Q The calculated reactor volume V is 1.61 Cubic Meters.</t>
  </si>
  <si>
    <t xml:space="preserve">&lt;|begin_of_text|&gt;&lt;|start_header_id|&gt;user&lt;|end_header_id|&gt;
Please calculate the reactor volume with following conditions？
It is planned to carry out the reaction A+B \longrightarrow C in PFR. The experimentally determined reaction kinetic equation is -r_{A}=k\times c_{A}^3 kmol/(L*min), the reaction kinetic constant k=0.008.The initial concentration of raw material A c_{A0} is 4.13 kmol/m3., the conversion rate is 0.674. The feed volumetric flow rate Q is 0.709 kmol/m3.&lt;|eot_id|&gt;&lt;|start_header_id|&gt;assistant&lt;|end_header_id|&gt;
</t>
  </si>
  <si>
    <t>For the CSTR reactor,-r_{A} =k\times c_{A}^2 kmol/(L*min), c_{A} =c_{A0} \times (1-x_{A} ) the residence time \tau is calculated by \frac{c_{A0} \times x_{f} }{-r_{A} }. And the reactor volume is \tau \times Q The calculated reactor volume V is 31.94 Cubic Meters.</t>
  </si>
  <si>
    <t>For the CSTR reactor,-r_{A} =k\times c_{A}^2 kmol/(L*min), c_{A} =c_{A0} \times (1-x_{A} ) the residence time \tau is calculated by \frac{c_{A0} \times x_{f} }{-r_{A} }. And the reactor volume is \tau \times Q The calculated reactor volume V is 144.81 Cubic Meters.</t>
  </si>
  <si>
    <t xml:space="preserve">&lt;|begin_of_text|&gt;&lt;|start_header_id|&gt;user&lt;|end_header_id|&gt;
Please calculate the reactor volume with following conditions？
It is planned to carry out the reaction A+B \longrightarrow C in CSTR. The experimentally determined reaction kinetic equation is -r_{A}=k\times c_{A}^2 kmol/(L*min), the reaction kinetic constant k=0.01.The initial concentration of raw material A c_{A0} is 3.01 kmol/m3., the conversion rate is 0.877. The feed volumetric flow rate Q is 0.995 kmol/m3.&lt;|eot_id|&gt;&lt;|start_header_id|&gt;assistant&lt;|end_header_id|&gt;
</t>
  </si>
  <si>
    <t>For the CSTR reactor,-r_{A} =k\times c_{A}^1 kmol/(L*min), c_{A} =c_{A0} \times (1-x_{A} ) the residence time \tau is calculated by \frac{c_{A0} \times x_{f} }{-r_{A} }. The residence time \tau of the CSTR reactor is 29.55 h.</t>
  </si>
  <si>
    <t>For the CSTR reactor,-r_{A} =k\times c_{A}^1 kmol/(L*min), c_{A} =c_{A0} \times (1-x_{A} ) the residence time \tau is calculated by \frac{c_{A0} \times x_{f} }{-r_{A} }. The residence time \tau of the CSTR reactor is 26.91 h.</t>
  </si>
  <si>
    <t xml:space="preserve">&lt;|begin_of_text|&gt;&lt;|start_header_id|&gt;user&lt;|end_header_id|&gt;
Please calculate the residence time with following conditions?
It is planned to carry out the reaction A+B \longrightarrow C in CSTR. The experimentally determined reaction kinetic equation is -r_{A}=k\times c_{A}^1 kmol/(L*min), the reaction kinetic constant k=0.002.The initial concentration of raw material A c_{A0} is 5.02 kmol/m3., the conversion rate is 0.78. The feed volumetric flow rate Q is 0.595 kmol/m3.&lt;|eot_id|&gt;&lt;|start_header_id|&gt;assistant&lt;|end_header_id|&gt;
</t>
  </si>
  <si>
    <t>For the CSTR reactor,-r_{A} =k\times c_{A}^2\times c_{B}^1 kmol/(L*min), c_{A} =c_{A0} \times (1-x_{A} ), c_{B} =c_{B0}- c_{A0} \times x_{A}, the residence time \tau is calculated by \frac{c_{A0} \times x_{f} }{-r_{A} }. And the reactor volume is \tau \times Q The calculated reactor volume V is 3.29 Cubic Meters.</t>
  </si>
  <si>
    <t>For the CSTR reactor,-r_{A} =k\times c_{A}^2\times c_{B}^1 kmol/(L*min), c_{A} =c_{A0} \times (1-x_{A} ), c_{B} =c_{B0}- c_{A0} \times x_{A}, the residence time \tau is calculated by \frac{c_{A0} \times x_{f} }{-r_{A} }. And the reactor volume is \tau \times Q The calculated reactor volume V is 0.21 Cubic Meters.</t>
  </si>
  <si>
    <t xml:space="preserve">&lt;|begin_of_text|&gt;&lt;|start_header_id|&gt;user&lt;|end_header_id|&gt;
Please calculate the reactor volume with following conditions？
It is planned to carry out the reaction A+B \longrightarrow C in CSTR. The experimentally determined reaction kinetic equation is -r_{A}=k\times c_{A}^2\times c_{B}^1 kmol/(L*min), the reaction kinetic constant k=0.004.The initial concentration of raw material A c_{A0}1.18 kmol/m3, and the concentration of raw material B is c_{B0}2.68 kmol/m3., the conversion rate is 0.688. The feed volumetric flow rate Q is 0.246 kmol/m3.&lt;|eot_id|&gt;&lt;|start_header_id|&gt;assistant&lt;|end_header_id|&gt;
</t>
  </si>
  <si>
    <t>For the CSTR reactor,-r_{A} =k\times c_{A}^2\times c_{B}^2 kmol/(L*min), c_{A} =c_{A0} \times (1-x_{A} ), c_{B} =c_{B0}- c_{A0} \times x_{A}, the residence time \tau is calculated by \frac{c_{A0} \times x_{f} }{-r_{A} }. And the reactor volume is \tau \times Q The calculated reactor volume V is 9.62 Cubic Meters.</t>
  </si>
  <si>
    <t>For the CSTR reactor,-r_{A} =k\times c_{A}^2\times c_{B}^2 kmol/(L*min), c_{A} =c_{A0} \times (1-x_{A} ), c_{B} =c_{B0}- c_{A0} \times x_{A}, the residence time \tau is calculated by \frac{c_{A0} \times x_{f} }{-r_{A} }. And the reactor volume is \tau \times Q The calculated reactor volume V is 0.34 Cubic Meters.</t>
  </si>
  <si>
    <t xml:space="preserve">&lt;|begin_of_text|&gt;&lt;|start_header_id|&gt;user&lt;|end_header_id|&gt;
Please calculate the reactor volume with following conditions？
It is planned to carry out the reaction A+B \longrightarrow C in CSTR. The experimentally determined reaction kinetic equation is -r_{A}=k\times c_{A}^2\times c_{B}^2 kmol/(L*min), the reaction kinetic constant k=0.004.The initial concentration of raw material A c_{A0}1.91 kmol/m3, and the concentration of raw material B is c_{B0}1.67 kmol/m3., the conversion rate is 0.587. The feed volumetric flow rate Q is 0.386 kmol/m3.&lt;|eot_id|&gt;&lt;|start_header_id|&gt;assistant&lt;|end_header_id|&gt;
</t>
  </si>
  <si>
    <t>For the PFR reactor,-r_{A} =k\times c_{A}^1 kmol/(L*min), c_{A} =c_{A0} \times (1-x_{A} ),the residence time \tau is obtained by c_{A0}\times\int_{0}^{x_{f}}\frac{dx_{A}}{-r_{A}}. The residence time \tau of the PFR reactor is 1.23 h.</t>
  </si>
  <si>
    <t>For the PFR reactor,-r_{A} =k\times c_{A}^1 kmol/(L*min), c_{A} =c_{A0} \times (1-x_{A} ),the residence time \tau is obtained by c_{A0}\times\int_{0}^{x_{f}}\frac{dx_{A}}{-r_{A}}. The residence time \tau of the PFR reactor is 1.35 h.</t>
  </si>
  <si>
    <t xml:space="preserve">&lt;|begin_of_text|&gt;&lt;|start_header_id|&gt;user&lt;|end_header_id|&gt;
Please calculate the residence time with following conditions?
It is planned to carry out the reaction A+B \longrightarrow C in PFR. The experimentally determined reaction kinetic equation is -r_{A}=k\times c_{A}^1 kmol/(L*min), the reaction kinetic constant k=0.01.The initial concentration of raw material A c_{A0} is 3.05 kmol/m3., the conversion rate is 0.521. The feed volumetric flow rate Q is 0.673 kmol/m3.&lt;|eot_id|&gt;&lt;|start_header_id|&gt;assistant&lt;|end_header_id|&gt;
</t>
  </si>
  <si>
    <t>For the BR reactor,-r_{A} =k\times c_{A}^1 kmol/(L*min), c_{A} =c_{A0} \times (1-x_{A} ),the residence time \tau is obtained by c_{A0}\times\int_{0}^{x_{f}}\frac{dx_{A}}{-r_{A}}. The residence time \tau of the BR reactor is 2.15 h.</t>
  </si>
  <si>
    <t>For the BR reactor,-r_{A} =k\times c_{A}^1 kmol/(L*min), c_{A} =c_{A0} \times (1-x_{A} ),the residence time \tau is obtained by c_{A0}\times\int_{0}^{x_{f}}\frac{dx_{A}}{-r_{A}}. The residence time \tau of the BR reactor is 2.92 h.</t>
  </si>
  <si>
    <t xml:space="preserve">&lt;|begin_of_text|&gt;&lt;|start_header_id|&gt;user&lt;|end_header_id|&gt;
Please calculate the residence time with following conditions?
It is planned to carry out the reaction A+B \longrightarrow C in BR. The experimentally determined reaction kinetic equation is -r_{A}=k\times c_{A}^1 kmol/(L*min), the reaction kinetic constant k=0.009.The initial concentration of raw material A c_{A0} is 3.42 kmol/m3., the conversion rate is 0.687. The feed volumetric flow rate Q is 0.462 kmol/m3, the auxiliary production time t_{assist} is 3 h, and the loading factor f is 0.57.&lt;|eot_id|&gt;&lt;|start_header_id|&gt;assistant&lt;|end_header_id|&gt;
</t>
  </si>
  <si>
    <t>For the CSTR reactor,-r_{A} =k\times c_{A}^3\times c_{B}^2 kmol/(L*min), c_{A} =c_{A0} \times (1-x_{A} ), c_{B} =c_{B0}- c_{A0} \times x_{A}, the residence time \tau is calculated by \frac{c_{A0} \times x_{f} }{-r_{A} }. And the reactor volume is \tau \times Q The calculated reactor volume V is 0.86 Cubic Meters.</t>
  </si>
  <si>
    <t>For the CSTR reactor,-r_{A} =k\times c_{A}^3\times c_{B}^2 kmol/(L*min), c_{A} =c_{A0} \times (1-x_{A} ), c_{B} =c_{B0}- c_{A0} \times x_{A}, the residence time \tau is calculated by \frac{c_{A0} \times x_{f} }{-r_{A} }. And the reactor volume is \tau \times Q The calculated reactor volume V is 0.18 Cubic Meters.</t>
  </si>
  <si>
    <t xml:space="preserve">&lt;|begin_of_text|&gt;&lt;|start_header_id|&gt;user&lt;|end_header_id|&gt;
Please calculate the reactor volume with following conditions？
It is planned to carry out the reaction A+B \longrightarrow C in CSTR. The experimentally determined reaction kinetic equation is -r_{A}=k\times c_{A}^3\times c_{B}^2 kmol/(L*min), the reaction kinetic constant k=0.001.The initial concentration of raw material A c_{A0}0.8 kmol/m3, and the concentration of raw material B is c_{B0}8.12 kmol/m3., the conversion rate is 0.571. The feed volumetric flow rate Q is 0.268 kmol/m3.&lt;|eot_id|&gt;&lt;|start_header_id|&gt;assistant&lt;|end_header_id|&gt;
</t>
  </si>
  <si>
    <t>For the CSTR reactor,-r_{A} =k\times c_{A}^2 kmol/(L*min), c_{A} =c_{A0} \times (1-x_{A} ) the residence time \tau is calculated by \frac{c_{A0} \times x_{f} }{-r_{A} }. And the reactor volume is \tau \times Q The calculated reactor volume V is 11462.34 Cubic Meters.</t>
  </si>
  <si>
    <t>For the CSTR reactor,-r_{A} =k\times c_{A}^2 kmol/(L*min), c_{A} =c_{A0} \times (1-x_{A} ) the residence time \tau is calculated by \frac{c_{A0} \times x_{f} }{-r_{A} }. And the reactor volume is \tau \times Q The calculated reactor volume V is 484.24 Cubic Meters.</t>
  </si>
  <si>
    <t xml:space="preserve">&lt;|begin_of_text|&gt;&lt;|start_header_id|&gt;user&lt;|end_header_id|&gt;
Please calculate the reactor volume with following conditions？
It is planned to carry out the reaction A+B \longrightarrow C in CSTR. The experimentally determined reaction kinetic equation is -r_{A}=k\times c_{A}^2 kmol/(L*min), the reaction kinetic constant k=0.005.The initial concentration of raw material A c_{A0} is 9.16 kmol/m3., the conversion rate is 0.996. The feed volumetric flow rate Q is 0.506 kmol/m3.&lt;|eot_id|&gt;&lt;|start_header_id|&gt;assistant&lt;|end_header_id|&gt;
</t>
  </si>
  <si>
    <t>For the PFR reactor,-r_{A} =k\times c_{A}^1\times c_{B}^2 kmol/(L*min), c_{A} =c_{A0} \times (1-x_{A} ), c_{B} =c_{B0} - c_{A0} \times x_{A}, the residence time \tau is obtained by c_{A0}\times\int_{0}^{x_{f}}\frac{dx_{A}}{-r_{A}}. The residence time \tau of the PFR reactor is 0.43 h.</t>
  </si>
  <si>
    <t xml:space="preserve">&lt;|begin_of_text|&gt;&lt;|start_header_id|&gt;user&lt;|end_header_id|&gt;
Please calculate the residence time with following conditions?
It is planned to carry out the reaction A+B \longrightarrow C in PFR. The experimentally determined reaction kinetic equation is -r_{A}=k\times c_{A}^1\times c_{B}^2 kmol/(L*min), the reaction kinetic constant k=0.008.The initial concentration of raw material A c_{A0}3.83 kmol/m3, and the concentration of raw material B is c_{B0}3.72 kmol/m3., the conversion rate is 0.605. The feed volumetric flow rate Q is 0.566 kmol/m3.&lt;|eot_id|&gt;&lt;|start_header_id|&gt;assistant&lt;|end_header_id|&gt;
</t>
  </si>
  <si>
    <t>For the BR reactor,-r_{A} =k\times c_{A}^1 kmol/(L*min), c_{A} =c_{A0} \times (1-x_{A} ),the residence time \tau is obtained by c_{A0}\times\int_{0}^{x_{f}}\frac{dx_{A}}{-r_{A}}. The residence time \tau of the BR reactor is 3.21 h.</t>
  </si>
  <si>
    <t>For the BR reactor,-r_{A} =k\times c_{A}^1 kmol/(L*min), c_{A} =c_{A0} \times (1-x_{A} ),the residence time \tau is obtained by c_{A0}\times\int_{0}^{x_{f}}\frac{dx_{A}}{-r_{A}}. The residence time \tau of the BR reactor is 2.32 h.</t>
  </si>
  <si>
    <t xml:space="preserve">&lt;|begin_of_text|&gt;&lt;|start_header_id|&gt;user&lt;|end_header_id|&gt;
Please calculate the residence time with following conditions?
It is planned to carry out the reaction A+B \longrightarrow C in BR. The experimentally determined reaction kinetic equation is -r_{A}=k\times c_{A}^1 kmol/(L*min), the reaction kinetic constant k=0.007.The initial concentration of raw material A c_{A0} is 5.11 kmol/m3., the conversion rate is 0.74. The feed volumetric flow rate Q is 0.269 kmol/m3, the auxiliary production time t_{assist} is 2 h, and the loading factor f is 0.57.&lt;|eot_id|&gt;&lt;|start_header_id|&gt;assistant&lt;|end_header_id|&gt;
</t>
  </si>
  <si>
    <t>For the CSTR reactor,-r_{A} =k\times c_{A}^3 kmol/(L*min), c_{A} =c_{A0} \times (1-x_{A} ) the residence time \tau is calculated by \frac{c_{A0} \times x_{f} }{-r_{A} }. And the reactor volume is \tau \times Q The calculated reactor volume V is 4.06 Cubic Meters.</t>
  </si>
  <si>
    <t>For the CSTR reactor,-r_{A} =k\times c_{A}^3 kmol/(L*min), c_{A} =c_{A0} \times (1-x_{A} ) the residence time \tau is calculated by \frac{c_{A0} \times x_{f} }{-r_{A} }. And the reactor volume is \tau \times Q The calculated reactor volume V is 2.82 Cubic Meters.</t>
  </si>
  <si>
    <t xml:space="preserve">&lt;|begin_of_text|&gt;&lt;|start_header_id|&gt;user&lt;|end_header_id|&gt;
Please calculate the reactor volume with following conditions？
It is planned to carry out the reaction A+B \longrightarrow C in CSTR. The experimentally determined reaction kinetic equation is -r_{A}=k\times c_{A}^3 kmol/(L*min), the reaction kinetic constant k=0.006.The initial concentration of raw material A c_{A0} is 3.97 kmol/m3., the conversion rate is 0.691. The feed volumetric flow rate Q is 0.984 kmol/m3.&lt;|eot_id|&gt;&lt;|start_header_id|&gt;assistant&lt;|end_header_id|&gt;
</t>
  </si>
  <si>
    <t>For the CSTR reactor,-r_{A} =k\times c_{A}^2 kmol/(L*min), c_{A} =c_{A0} \times (1-x_{A} ) the residence time \tau is calculated by \frac{c_{A0} \times x_{f} }{-r_{A} }. The residence time \tau of the CSTR reactor is 150.9 h.</t>
  </si>
  <si>
    <t>For the CSTR reactor,-r_{A} =k\times c_{A}^2 kmol/(L*min), c_{A} =c_{A0} \times (1-x_{A} ) the residence time \tau is calculated by \frac{c_{A0} \times x_{f} }{-r_{A} }. The residence time \tau of the CSTR reactor is 224.19 h.</t>
  </si>
  <si>
    <t xml:space="preserve">&lt;|begin_of_text|&gt;&lt;|start_header_id|&gt;user&lt;|end_header_id|&gt;
Please calculate the residence time with following conditions?
It is planned to carry out the reaction A+B \longrightarrow C in CSTR. The experimentally determined reaction kinetic equation is -r_{A}=k\times c_{A}^2 kmol/(L*min), the reaction kinetic constant k=0.001.The initial concentration of raw material A c_{A0} is 2.16 kmol/m3., the conversion rate is 0.798. The feed volumetric flow rate Q is 0.4 kmol/m3.&lt;|eot_id|&gt;&lt;|start_header_id|&gt;assistant&lt;|end_header_id|&gt;
</t>
  </si>
  <si>
    <t>For the CSTR reactor,-r_{A} =k\times c_{A}^3 kmol/(L*min), c_{A} =c_{A0} \times (1-x_{A} ) the residence time \tau is calculated by \frac{c_{A0} \times x_{f} }{-r_{A} }. And the reactor volume is \tau \times Q The calculated reactor volume V is 0.26 Cubic Meters.</t>
  </si>
  <si>
    <t>For the CSTR reactor,-r_{A} =k\times c_{A}^3 kmol/(L*min), c_{A} =c_{A0} \times (1-x_{A} ) the residence time \tau is calculated by \frac{c_{A0} \times x_{f} }{-r_{A} }. And the reactor volume is \tau \times Q The calculated reactor volume V is 0.34 Cubic Meters.</t>
  </si>
  <si>
    <t xml:space="preserve">&lt;|begin_of_text|&gt;&lt;|start_header_id|&gt;user&lt;|end_header_id|&gt;
Please calculate the reactor volume with following conditions？
It is planned to carry out the reaction A+B \longrightarrow C in CSTR. The experimentally determined reaction kinetic equation is -r_{A}=k\times c_{A}^3 kmol/(L*min), the reaction kinetic constant k=0.009.The initial concentration of raw material A c_{A0} is 4.44 kmol/m3., the conversion rate is 0.58. The feed volumetric flow rate Q is 0.348 kmol/m3.&lt;|eot_id|&gt;&lt;|start_header_id|&gt;assistant&lt;|end_header_id|&gt;
</t>
  </si>
  <si>
    <t>For the CSTR reactor,-r_{A} =k\times c_{A}^2 kmol/(L*min), c_{A} =c_{A0} \times (1-x_{A} ) the residence time \tau is calculated by \frac{c_{A0} \times x_{f} }{-r_{A} }. The residence time \tau of the CSTR reactor is 24.13 h.</t>
  </si>
  <si>
    <t>For the CSTR reactor,-r_{A} =k\times c_{A}^2 kmol/(L*min), c_{A} =c_{A0} \times (1-x_{A} ) the residence time \tau is calculated by \frac{c_{A0} \times x_{f} }{-r_{A} }. The residence time \tau of the CSTR reactor is 12.23 h.</t>
  </si>
  <si>
    <t xml:space="preserve">&lt;|begin_of_text|&gt;&lt;|start_header_id|&gt;user&lt;|end_header_id|&gt;
Please calculate the residence time with following conditions?
It is planned to carry out the reaction A+B \longrightarrow C in CSTR. The experimentally determined reaction kinetic equation is -r_{A}=k\times c_{A}^2 kmol/(L*min), the reaction kinetic constant k=0.004.The initial concentration of raw material A c_{A0} is 1.89 kmol/m3., the conversion rate is 0.74. The feed volumetric flow rate Q is 0.208 kmol/m3.&lt;|eot_id|&gt;&lt;|start_header_id|&gt;assistant&lt;|end_header_id|&gt;
</t>
  </si>
  <si>
    <t>For the CSTR reactor,-r_{A} =k\times c_{A}^2 kmol/(L*min), c_{A} =c_{A0} \times (1-x_{A} ) the residence time \tau is calculated by \frac{c_{A0} \times x_{f} }{-r_{A} }. The residence time \tau of the CSTR reactor is 1828.26 h.</t>
  </si>
  <si>
    <t>For the CSTR reactor,-r_{A} =k\times c_{A}^2 kmol/(L*min), c_{A} =c_{A0} \times (1-x_{A} ) the residence time \tau is calculated by \frac{c_{A0} \times x_{f} }{-r_{A} }. The residence time \tau of the CSTR reactor is 288.79 h.</t>
  </si>
  <si>
    <t xml:space="preserve">&lt;|begin_of_text|&gt;&lt;|start_header_id|&gt;user&lt;|end_header_id|&gt;
Please calculate the residence time with following conditions?
It is planned to carry out the reaction A+B \longrightarrow C in CSTR. The experimentally determined reaction kinetic equation is -r_{A}=k\times c_{A}^2 kmol/(L*min), the reaction kinetic constant k=0.002.The initial concentration of raw material A c_{A0} is 0.84 kmol/m3., the conversion rate is 0.929. The feed volumetric flow rate Q is 0.728 kmol/m3.&lt;|eot_id|&gt;&lt;|start_header_id|&gt;assistant&lt;|end_header_id|&gt;
</t>
  </si>
  <si>
    <t>For the PFR reactor,-r_{A} =k\times c_{A}^3\times c_{B}^2 kmol/(L*min), c_{A} =c_{A0} \times (1-x_{A} ), c_{B} =c_{B0}- c_{A0} \times x_{A}, the residence time \tau is obtained by c_{A0}\times\int_{0}^{x_{f}}\frac{dx_{A}}{-r_{A}}. And the reactor volume is \tau \times Q The calculated reactor volume V is 0.07 Cubic Meters.</t>
  </si>
  <si>
    <t>For the PFR reactor,-r_{A} =k\times c_{A}^3\times c_{B}^2 kmol/(L*min), c_{A} =c_{A0} \times (1-x_{A} ), c_{B} =c_{B0}- c_{A0} \times x_{A}, the residence time \tau is obtained by c_{A0}\times\int_{0}^{x_{f}}\frac{dx_{A}}{-r_{A}}. And the reactor volume is \tau \times Q The calculated reactor volume V is 0.12 Cubic Meters.</t>
  </si>
  <si>
    <t xml:space="preserve">&lt;|begin_of_text|&gt;&lt;|start_header_id|&gt;user&lt;|end_header_id|&gt;
Please calculate the reactor volume with following conditions？
It is planned to carry out the reaction A+B \longrightarrow C in PFR. The experimentally determined reaction kinetic equation is -r_{A}=k\times c_{A}^3\times c_{B}^2 kmol/(L*min), the reaction kinetic constant k=0.002.The initial concentration of raw material A c_{A0}7.22 kmol/m3, and the concentration of raw material B is c_{B0}4.84 kmol/m3., the conversion rate is 0.516. The feed volumetric flow rate Q is 0.949 kmol/m3.&lt;|eot_id|&gt;&lt;|start_header_id|&gt;assistant&lt;|end_header_id|&gt;
</t>
  </si>
  <si>
    <t xml:space="preserve">&lt;|begin_of_text|&gt;&lt;|start_header_id|&gt;user&lt;|end_header_id|&gt;
Please calculate the reactor volume with following conditions？
It is planned to carry out the reaction A+B \longrightarrow C in BR. The experimentally determined reaction kinetic equation is -r_{A}=k\times c_{A}^3\times c_{B}^2 kmol/(L*min), the reaction kinetic constant k=0.006.The initial concentration of raw material A c_{A0}1.7 kmol/m3, and the concentration of raw material B is c_{B0}4.64 kmol/m3., the conversion rate is 0.691. The feed volumetric flow rate Q is 0.686 kmol/m3, the auxiliary production time t_{assist} is 2 h, and the loading factor f is 0.62.&lt;|eot_id|&gt;&lt;|start_header_id|&gt;assistant&lt;|end_header_id|&gt;
</t>
  </si>
  <si>
    <t>For the PFR reactor,-r_{A} =k\times c_{A}^3\times c_{B}^2 kmol/(L*min), c_{A} =c_{A0} \times (1-x_{A} ), c_{B} =c_{B0}- c_{A0} \times x_{A}, the residence time \tau is obtained by c_{A0}\times\int_{0}^{x_{f}}\frac{dx_{A}}{-r_{A}}. And the reactor volume is \tau \times Q The calculated reactor volume V is 0.15 Cubic Meters.</t>
  </si>
  <si>
    <t>For the PFR reactor,-r_{A} =k\times c_{A}^3\times c_{B}^2 kmol/(L*min), c_{A} =c_{A0} \times (1-x_{A} ), c_{B} =c_{B0}- c_{A0} \times x_{A}, the residence time \tau is obtained by c_{A0}\times\int_{0}^{x_{f}}\frac{dx_{A}}{-r_{A}}. And the reactor volume is \tau \times Q The calculated reactor volume V is 3.41 Cubic Meters.</t>
  </si>
  <si>
    <t xml:space="preserve">&lt;|begin_of_text|&gt;&lt;|start_header_id|&gt;user&lt;|end_header_id|&gt;
Please calculate the reactor volume with following conditions？
It is planned to carry out the reaction A+B \longrightarrow C in PFR. The experimentally determined reaction kinetic equation is -r_{A}=k\times c_{A}^3\times c_{B}^2 kmol/(L*min), the reaction kinetic constant k=0.004.The initial concentration of raw material A c_{A0}9.7 kmol/m3, and the concentration of raw material B is c_{B0}9.52 kmol/m3., the conversion rate is 0.837. The feed volumetric flow rate Q is 0.751 kmol/m3.&lt;|eot_id|&gt;&lt;|start_header_id|&gt;assistant&lt;|end_header_id|&gt;
</t>
  </si>
  <si>
    <t>For the CSTR reactor,-r_{A} =k\times c_{A}^1 kmol/(L*min), c_{A} =c_{A0} \times (1-x_{A} ) the residence time \tau is calculated by \frac{c_{A0} \times x_{f} }{-r_{A} }. The residence time \tau of the CSTR reactor is 11.23 h.</t>
  </si>
  <si>
    <t>For the CSTR reactor,-r_{A} =k\times c_{A}^1 kmol/(L*min), c_{A} =c_{A0} \times (1-x_{A} ) the residence time \tau is calculated by \frac{c_{A0} \times x_{f} }{-r_{A} }. The residence time \tau of the CSTR reactor is 5.62 h.</t>
  </si>
  <si>
    <t xml:space="preserve">&lt;|begin_of_text|&gt;&lt;|start_header_id|&gt;user&lt;|end_header_id|&gt;
Please calculate the residence time with following conditions?
It is planned to carry out the reaction A+B \longrightarrow C in CSTR. The experimentally determined reaction kinetic equation is -r_{A}=k\times c_{A}^1 kmol/(L*min), the reaction kinetic constant k=0.002.The initial concentration of raw material A c_{A0} is 2.99 kmol/m3., the conversion rate is 0.574. The feed volumetric flow rate Q is 0.25 kmol/m3.&lt;|eot_id|&gt;&lt;|start_header_id|&gt;assistant&lt;|end_header_id|&gt;
</t>
  </si>
  <si>
    <t>For the PFR reactor,-r_{A} =k\times c_{A}^2 kmol/(L*min), c_{A} =c_{A0} \times (1-x_{A} ),the residence time \tau is obtained by c_{A0}\times\int_{0}^{x_{f}}\frac{dx_{A}}{-r_{A}}. And the reactor volume is \tau \times Q The calculated reactor volume V is 0.03 Cubic Meters.</t>
  </si>
  <si>
    <t>For the PFR reactor,-r_{A} =k\times c_{A}^2 kmol/(L*min), c_{A} =c_{A0} \times (1-x_{A} ),the residence time \tau is obtained by c_{A0}\times\int_{0}^{x_{f}}\frac{dx_{A}}{-r_{A}}. And the reactor volume is \tau \times Q The calculated reactor volume V is 0.02 Cubic Meters.</t>
  </si>
  <si>
    <t xml:space="preserve">&lt;|begin_of_text|&gt;&lt;|start_header_id|&gt;user&lt;|end_header_id|&gt;
Please calculate the reactor volume with following conditions？
It is planned to carry out the reaction A+B \longrightarrow C in PFR. The experimentally determined reaction kinetic equation is -r_{A}=k\times c_{A}^2 kmol/(L*min), the reaction kinetic constant k=0.008.The initial concentration of raw material A c_{A0} is 4.45 kmol/m3., the conversion rate is 0.715. The feed volumetric flow rate Q is 0.024 kmol/m3.&lt;|eot_id|&gt;&lt;|start_header_id|&gt;assistant&lt;|end_header_id|&gt;
</t>
  </si>
  <si>
    <t>For the BR reactor,-r_{A} =k\times c_{A}^1\times c_{B}^2 kmol/(L*min), c_{A} =c_{A0} \times (1-x_{A} ), c_{B} =c_{B0} - c_{A0} \times x_{A}, the residence time \tau is obtained by c_{A0}\times\int_{0}^{x_{f}}\frac{dx_{A}}{-r_{A}}. The residence time \tau of the BR reactor is 0.86 h.</t>
  </si>
  <si>
    <t>For the BR reactor,-r_{A} =k\times c_{A}^1\times c_{B}^2 kmol/(L*min), c_{A} =c_{A0} \times (1-x_{A} ), c_{B} =c_{B0} - c_{A0} \times x_{A}, the residence time \tau is obtained by c_{A0}\times\int_{0}^{x_{f}}\frac{dx_{A}}{-r_{A}}. The residence time \tau of the BR reactor is 0.62 h.</t>
  </si>
  <si>
    <t xml:space="preserve">&lt;|begin_of_text|&gt;&lt;|start_header_id|&gt;user&lt;|end_header_id|&gt;
Please calculate the residence time with following conditions?
It is planned to carry out the reaction A+B \longrightarrow C in BR. The experimentally determined reaction kinetic equation is -r_{A}=k\times c_{A}^1\times c_{B}^2 kmol/(L*min), the reaction kinetic constant k=0.003.The initial concentration of raw material A c_{A0}6.87 kmol/m3, and the concentration of raw material B is c_{B0}4.69 kmol/m3., the conversion rate is 0.513. The feed volumetric flow rate Q is 0.642 kmol/m3, the auxiliary production time t_{assist} is 4 h, and the loading factor f is 0.78.&lt;|eot_id|&gt;&lt;|start_header_id|&gt;assistant&lt;|end_header_id|&gt;
</t>
  </si>
  <si>
    <t>For the BR reactor,-r_{A} =k\times c_{A}^2\times c_{B}^3 kmol/(L*min), c_{A} =c_{A0} \times (1-x_{A} ), c_{B} =c_{B0} - c_{A0} \times x_{A}, the residence time \tau is obtained by c_{A0}\times\int_{0}^{x_{f}}\frac{dx_{A}}{-r_{A}}. The residence time \tau of the BR reactor is 6.2551629076950104e+16 h.</t>
  </si>
  <si>
    <t>For the BR reactor,-r_{A} =k\times c_{A}^2\times c_{B}^3 kmol/(L*min), c_{A} =c_{A0} \times (1-x_{A} ), c_{B} =c_{B0} - c_{A0} \times x_{A}, the residence time \tau is obtained by c_{A0}\times\int_{0}^{x_{f}}\frac{dx_{A}}{-r_{A}}. The residence time \tau of the BR reactor is 0.04 h.</t>
  </si>
  <si>
    <t xml:space="preserve">&lt;|begin_of_text|&gt;&lt;|start_header_id|&gt;user&lt;|end_header_id|&gt;
Please calculate the residence time with following conditions?
It is planned to carry out the reaction A+B \longrightarrow C in BR. The experimentally determined reaction kinetic equation is -r_{A}=k\times c_{A}^2\times c_{B}^3 kmol/(L*min), the reaction kinetic constant k=0.007.The initial concentration of raw material A c_{A0}8.03 kmol/m3, and the concentration of raw material B is c_{B0}5.57 kmol/m3., the conversion rate is 0.769. The feed volumetric flow rate Q is 0.561 kmol/m3, the auxiliary production time t_{assist} is 5 h, and the loading factor f is 0.47.&lt;|eot_id|&gt;&lt;|start_header_id|&gt;assistant&lt;|end_header_id|&gt;
</t>
  </si>
  <si>
    <t>For the PFR reactor,-r_{A} =k\times c_{A}^2\times c_{B}^2 kmol/(L*min), c_{A} =c_{A0} \times (1-x_{A} ), c_{B} =c_{B0} - c_{A0} \times x_{A}, the residence time \tau is obtained by c_{A0}\times\int_{0}^{x_{f}}\frac{dx_{A}}{-r_{A}}. The residence time \tau of the PFR reactor is 0.37 h.</t>
  </si>
  <si>
    <t>For the PFR reactor,-r_{A} =k\times c_{A}^2\times c_{B}^2 kmol/(L*min), c_{A} =c_{A0} \times (1-x_{A} ), c_{B} =c_{B0} - c_{A0} \times x_{A}, the residence time \tau is obtained by c_{A0}\times\int_{0}^{x_{f}}\frac{dx_{A}}{-r_{A}}. The residence time \tau of the PFR reactor is 0.16 h.</t>
  </si>
  <si>
    <t xml:space="preserve">&lt;|begin_of_text|&gt;&lt;|start_header_id|&gt;user&lt;|end_header_id|&gt;
Please calculate the residence time with following conditions?
It is planned to carry out the reaction A+B \longrightarrow C in PFR. The experimentally determined reaction kinetic equation is -r_{A}=k\times c_{A}^2\times c_{B}^2 kmol/(L*min), the reaction kinetic constant k=0.007.The initial concentration of raw material A c_{A0}2.13 kmol/m3, and the concentration of raw material B is c_{B0}9.57 kmol/m3., the conversion rate is 0.952. The feed volumetric flow rate Q is 0.99 kmol/m3.&lt;|eot_id|&gt;&lt;|start_header_id|&gt;assistant&lt;|end_header_id|&gt;
</t>
  </si>
  <si>
    <t>For the PFR reactor,-r_{A} =k\times c_{A}^3\times c_{B}^1 kmol/(L*min), c_{A} =c_{A0} \times (1-x_{A} ), c_{B} =c_{B0} - c_{A0} \times x_{A}, the residence time \tau is obtained by c_{A0}\times\int_{0}^{x_{f}}\frac{dx_{A}}{-r_{A}}. The residence time \tau of the PFR reactor is 0.88 h.</t>
  </si>
  <si>
    <t>For the PFR reactor,-r_{A} =k\times c_{A}^3\times c_{B}^1 kmol/(L*min), c_{A} =c_{A0} \times (1-x_{A} ), c_{B} =c_{B0} - c_{A0} \times x_{A}, the residence time \tau is obtained by c_{A0}\times\int_{0}^{x_{f}}\frac{dx_{A}}{-r_{A}}. The residence time \tau of the PFR reactor is 1.92 h.</t>
  </si>
  <si>
    <t xml:space="preserve">&lt;|begin_of_text|&gt;&lt;|start_header_id|&gt;user&lt;|end_header_id|&gt;
Please calculate the residence time with following conditions?
It is planned to carry out the reaction A+B \longrightarrow C in PFR. The experimentally determined reaction kinetic equation is -r_{A}=k\times c_{A}^3\times c_{B}^1 kmol/(L*min), the reaction kinetic constant k=0.001.The initial concentration of raw material A c_{A0}5.83 kmol/m3, and the concentration of raw material B is c_{B0}6.02 kmol/m3., the conversion rate is 0.694. The feed volumetric flow rate Q is 0.572 kmol/m3.&lt;|eot_id|&gt;&lt;|start_header_id|&gt;assistant&lt;|end_header_id|&gt;
</t>
  </si>
  <si>
    <t>For the CSTR reactor,-r_{A} =k\times c_{A}^3\times c_{B}^3 kmol/(L*min), c_{A} =c_{A0} \times (1-x_{A} ), c_{B} =c_{B0}- c_{A0} \times x_{A}, the residence time \tau is calculated by \frac{c_{A0} \times x_{f} }{-r_{A} }. The residence time \tau of the CSTR reactor is 5.67 h.</t>
  </si>
  <si>
    <t>For the CSTR reactor,-r_{A} =k\times c_{A}^3\times c_{B}^3 kmol/(L*min), c_{A} =c_{A0} \times (1-x_{A} ), c_{B} =c_{B0}- c_{A0} \times x_{A}, the residence time \tau is calculated by \frac{c_{A0} \times x_{f} }{-r_{A} }. The residence time \tau of the CSTR reactor is 0.13 h.</t>
  </si>
  <si>
    <t xml:space="preserve">&lt;|begin_of_text|&gt;&lt;|start_header_id|&gt;user&lt;|end_header_id|&gt;
Please calculate the residence time with following conditions?
It is planned to carry out the reaction A+B \longrightarrow C in CSTR. The experimentally determined reaction kinetic equation is -r_{A}=k\times c_{A}^3\times c_{B}^3 kmol/(L*min), the reaction kinetic constant k=0.007.The initial concentration of raw material A c_{A0}4.32 kmol/m3, and the concentration of raw material B is c_{B0}3.35 kmol/m3., the conversion rate is 0.626. The feed volumetric flow rate Q is 0.135 kmol/m3.&lt;|eot_id|&gt;&lt;|start_header_id|&gt;assistant&lt;|end_header_id|&gt;
</t>
  </si>
  <si>
    <t>For the CSTR reactor,-r_{A} =k\times c_{A}^2 kmol/(L*min), c_{A} =c_{A0} \times (1-x_{A} ) the residence time \tau is calculated by \frac{c_{A0} \times x_{f} }{-r_{A} }. And the reactor volume is \tau \times Q The calculated reactor volume V is 134.87 Cubic Meters.</t>
  </si>
  <si>
    <t>For the CSTR reactor,-r_{A} =k\times c_{A}^2 kmol/(L*min), c_{A} =c_{A0} \times (1-x_{A} ) the residence time \tau is calculated by \frac{c_{A0} \times x_{f} }{-r_{A} }. And the reactor volume is \tau \times Q The calculated reactor volume V is 19.01 Cubic Meters.</t>
  </si>
  <si>
    <t xml:space="preserve">&lt;|begin_of_text|&gt;&lt;|start_header_id|&gt;user&lt;|end_header_id|&gt;
Please calculate the reactor volume with following conditions？
It is planned to carry out the reaction A+B \longrightarrow C in CSTR. The experimentally determined reaction kinetic equation is -r_{A}=k\times c_{A}^2 kmol/(L*min), the reaction kinetic constant k=0.007.The initial concentration of raw material A c_{A0} is 6.96 kmol/m3., the conversion rate is 0.967. The feed volumetric flow rate Q is 0.444 kmol/m3.&lt;|eot_id|&gt;&lt;|start_header_id|&gt;assistant&lt;|end_header_id|&gt;
</t>
  </si>
  <si>
    <t>For the CSTR reactor,-r_{A} =k\times c_{A}^1 kmol/(L*min), c_{A} =c_{A0} \times (1-x_{A} ) the residence time \tau is calculated by \frac{c_{A0} \times x_{f} }{-r_{A} }. The residence time \tau of the CSTR reactor is 5.56 h.</t>
  </si>
  <si>
    <t>For the CSTR reactor,-r_{A} =k\times c_{A}^1 kmol/(L*min), c_{A} =c_{A0} \times (1-x_{A} ) the residence time \tau is calculated by \frac{c_{A0} \times x_{f} }{-r_{A} }. The residence time \tau of the CSTR reactor is 4.16 h.</t>
  </si>
  <si>
    <t xml:space="preserve">&lt;|begin_of_text|&gt;&lt;|start_header_id|&gt;user&lt;|end_header_id|&gt;
Please calculate the residence time with following conditions?
It is planned to carry out the reaction A+B \longrightarrow C in CSTR. The experimentally determined reaction kinetic equation is -r_{A}=k\times c_{A}^1 kmol/(L*min), the reaction kinetic constant k=0.007.The initial concentration of raw material A c_{A0} is 5.75 kmol/m3., the conversion rate is 0.7. The feed volumetric flow rate Q is 0.687 kmol/m3.&lt;|eot_id|&gt;&lt;|start_header_id|&gt;assistant&lt;|end_header_id|&gt;
</t>
  </si>
  <si>
    <t>For the CSTR reactor,-r_{A} =k\times c_{A}^1\times c_{B}^2 kmol/(L*min), c_{A} =c_{A0} \times (1-x_{A} ), c_{B} =c_{B0}- c_{A0} \times x_{A}, the residence time \tau is calculated by \frac{c_{A0} \times x_{f} }{-r_{A} }. The residence time \tau of the CSTR reactor is 0.34 h.</t>
  </si>
  <si>
    <t>For the CSTR reactor,-r_{A} =k\times c_{A}^1\times c_{B}^2 kmol/(L*min), c_{A} =c_{A0} \times (1-x_{A} ), c_{B} =c_{B0}- c_{A0} \times x_{A}, the residence time \tau is calculated by \frac{c_{A0} \times x_{f} }{-r_{A} }. The residence time \tau of the CSTR reactor is 0.24 h.</t>
  </si>
  <si>
    <t xml:space="preserve">&lt;|begin_of_text|&gt;&lt;|start_header_id|&gt;user&lt;|end_header_id|&gt;
Please calculate the residence time with following conditions?
It is planned to carry out the reaction A+B \longrightarrow C in CSTR. The experimentally determined reaction kinetic equation is -r_{A}=k\times c_{A}^1\times c_{B}^2 kmol/(L*min), the reaction kinetic constant k=0.007.The initial concentration of raw material A c_{A0}2.8 kmol/m3, and the concentration of raw material B is c_{B0}4.05 kmol/m3., the conversion rate is 0.5. The feed volumetric flow rate Q is 0.625 kmol/m3.&lt;|eot_id|&gt;&lt;|start_header_id|&gt;assistant&lt;|end_header_id|&gt;
</t>
  </si>
  <si>
    <t>For the BR reactor,-r_{A} =k\times c_{A}^1 kmol/(L*min), c_{A} =c_{A0} \times (1-x_{A} ),the residence time \tau is obtained by c_{A0}\times\int_{0}^{x_{f}}\frac{dx_{A}}{-r_{A}}. The residence time \tau of the BR reactor is 1.42 h.</t>
  </si>
  <si>
    <t>For the BR reactor,-r_{A} =k\times c_{A}^1 kmol/(L*min), c_{A} =c_{A0} \times (1-x_{A} ),the residence time \tau is obtained by c_{A0}\times\int_{0}^{x_{f}}\frac{dx_{A}}{-r_{A}}. The residence time \tau of the BR reactor is 3.63 h.</t>
  </si>
  <si>
    <t xml:space="preserve">&lt;|begin_of_text|&gt;&lt;|start_header_id|&gt;user&lt;|end_header_id|&gt;
Please calculate the residence time with following conditions?
It is planned to carry out the reaction A+B \longrightarrow C in BR. The experimentally determined reaction kinetic equation is -r_{A}=k\times c_{A}^1 kmol/(L*min), the reaction kinetic constant k=0.009.The initial concentration of raw material A c_{A0} is 2.77 kmol/m3., the conversion rate is 0.535. The feed volumetric flow rate Q is 0.569 kmol/m3, the auxiliary production time t_{assist} is 3 h, and the loading factor f is 0.68.&lt;|eot_id|&gt;&lt;|start_header_id|&gt;assistant&lt;|end_header_id|&gt;
</t>
  </si>
  <si>
    <t>For the BR reactor,-r_{A} =k\times c_{A}^1\times c_{B}^1 kmol/(L*min), c_{A} =c_{A0} \times (1-x_{A} ), c_{B} =c_{B0}- c_{A0} \times x_{A}, the residence time \tau is obtained by c_{A0}\times\int_{0}^{x_{f}}\frac{dx_{A}}{-r_{A}}. And the reactor volume is \frac{(\tau + t_{assist} )\times Q}{f} The calculated reactor volume V is 3.66 Cubic Meters.</t>
  </si>
  <si>
    <t>For the BR reactor,-r_{A} =k\times c_{A}^1\times c_{B}^1 kmol/(L*min), c_{A} =c_{A0} \times (1-x_{A} ), c_{B} =c_{B0}- c_{A0} \times x_{A}, the residence time \tau is obtained by c_{A0}\times\int_{0}^{x_{f}}\frac{dx_{A}}{-r_{A}}. And the reactor volume is \frac{(\tau + t_{assist} )\times Q}{f} The calculated reactor volume V is 2.94 Cubic Meters.</t>
  </si>
  <si>
    <t xml:space="preserve">&lt;|begin_of_text|&gt;&lt;|start_header_id|&gt;user&lt;|end_header_id|&gt;
Please calculate the reactor volume with following conditions？
It is planned to carry out the reaction A+B \longrightarrow C in BR. The experimentally determined reaction kinetic equation is -r_{A}=k\times c_{A}^1\times c_{B}^1 kmol/(L*min), the reaction kinetic constant k=0.01.The initial concentration of raw material A c_{A0}4.11 kmol/m3, and the concentration of raw material B is c_{B0}2.72 kmol/m3., the conversion rate is 0.581. The feed volumetric flow rate Q is 0.39 kmol/m3, the auxiliary production time t_{assist} is 5 h, and the loading factor f is 0.69.&lt;|eot_id|&gt;&lt;|start_header_id|&gt;assistant&lt;|end_header_id|&gt;
</t>
  </si>
  <si>
    <t>For the CSTR reactor,-r_{A} =k\times c_{A}^1\times c_{B}^1 kmol/(L*min), c_{A} =c_{A0} \times (1-x_{A} ), c_{B} =c_{B0}- c_{A0} \times x_{A}, the residence time \tau is calculated by \frac{c_{A0} \times x_{f} }{-r_{A} }. And the reactor volume is \tau \times Q The calculated reactor volume V is 0.07 Cubic Meters.</t>
  </si>
  <si>
    <t>For the CSTR reactor,-r_{A} =k\times c_{A}^1\times c_{B}^1 kmol/(L*min), c_{A} =c_{A0} \times (1-x_{A} ), c_{B} =c_{B0}- c_{A0} \times x_{A}, the residence time \tau is calculated by \frac{c_{A0} \times x_{f} }{-r_{A} }. And the reactor volume is \tau \times Q The calculated reactor volume V is 0.12 Cubic Meters.</t>
  </si>
  <si>
    <t xml:space="preserve">&lt;|begin_of_text|&gt;&lt;|start_header_id|&gt;user&lt;|end_header_id|&gt;
Please calculate the reactor volume with following conditions？
It is planned to carry out the reaction A+B \longrightarrow C in CSTR. The experimentally determined reaction kinetic equation is -r_{A}=k\times c_{A}^1\times c_{B}^1 kmol/(L*min), the reaction kinetic constant k=0.007.The initial concentration of raw material A c_{A0}8.27 kmol/m3, and the concentration of raw material B is c_{B0}8.34 kmol/m3., the conversion rate is 0.545. The feed volumetric flow rate Q is 0.099 kmol/m3.&lt;|eot_id|&gt;&lt;|start_header_id|&gt;assistant&lt;|end_header_id|&gt;
</t>
  </si>
  <si>
    <t>For the BR reactor,-r_{A} =k\times c_{A}^3\times c_{B}^2 kmol/(L*min), c_{A} =c_{A0} \times (1-x_{A} ), c_{B} =c_{B0} - c_{A0} \times x_{A}, the residence time \tau is obtained by c_{A0}\times\int_{0}^{x_{f}}\frac{dx_{A}}{-r_{A}}. The residence time \tau of the BR reactor is 30944864452772.26 h.</t>
  </si>
  <si>
    <t xml:space="preserve">&lt;bos&gt;&lt;start_of_turn&gt;user
Please calculate the residence time with following conditions?
It is planned to carry out the reaction A+B \longrightarrow C in BR. The experimentally determined reaction kinetic equation is -r_{A}=k\times c_{A}^3\times c_{B}^2 kmol/(L*min), the reaction kinetic constant k=0.002.The initial concentration of raw material A c_{A0}9.16 kmol/m3, and the concentration of raw material B is c_{B0}4.2 kmol/m3., the conversion rate is 0.974. The feed volumetric flow rate Q is 0.954 kmol/m3, the auxiliary production time t_{assist} is 3 h, and the loading factor f is 0.63.&lt;end_of_turn&gt;
&lt;start_of_turn&gt;model
</t>
  </si>
  <si>
    <t>For the PFR reactor,-r_{A} =k\times c_{A}^2 kmol/(L*min), c_{A} =c_{A0} \times (1-x_{A} ) ,the residence time \tau is obtained by c_{A0}\times\int_{0}^{x_{f}}\frac{dx_{A}}{-r_{A}}. And the reactor volume is \tau \times Q The calculated reactor volume V is 0.45 Cubic Meters.</t>
  </si>
  <si>
    <t xml:space="preserve">&lt;bos&gt;&lt;start_of_turn&gt;user
Please calculate the reactor volume with following conditions？
It is planned to carry out the reaction A+B \longrightarrow C in PFR. The experimentally determined reaction kinetic equation is -r_{A}=k\times c_{A}^2 kmol/(L*min), the reaction kinetic constant k=0.007.The initial concentration of raw material A c_{A0} is 2.1 kmol/m3., the conversion rate is 0.521. The feed volumetric flow rate Q is 0.859 kmol/m3.&lt;end_of_turn&gt;
&lt;start_of_turn&gt;model
</t>
  </si>
  <si>
    <t>For the BR reactor,-r_{A} =k\times c_{A}^2 kmol/(L*min), c_{A} =c_{A0} \times (1-x_{A} ) ,the residence time \tau is obtained by c_{A0}\times\int_{0}^{x_{f}}\frac{dx_{A}}{-r_{A}}. The residence time \tau of the BR reactor is 45.34 h.</t>
  </si>
  <si>
    <t xml:space="preserve">&lt;bos&gt;&lt;start_of_turn&gt;user
Please calculate the residence time with following conditions?
It is planned to carry out the reaction A+B \longrightarrow C in BR. The experimentally determined reaction kinetic equation is -r_{A}=k\times c_{A}^2 kmol/(L*min), the reaction kinetic constant k=0.002.The initial concentration of raw material A c_{A0} is 1.4 kmol/m3., the conversion rate is 0.848. The feed volumetric flow rate Q is 0.178 kmol/m3, the auxiliary production time t_{assist} is 3 h, and the loading factor f is 0.43.&lt;end_of_turn&gt;
&lt;start_of_turn&gt;model
</t>
  </si>
  <si>
    <t>For the PFR reactor,-r_{A} =k\times c_{A}^1\times c_{B}^1 kmol/(L*min), c_{A} =c_{A0} \times (1-x_{A} ), c_{B} =c_{B0}- c_{A0} \times x_{A}, the residence time \tau is obtained by c_{A0}\times\int_{0}^{x_{f}}\frac{dx_{A}}{-r_{A}}. And the reactor volume is \tau \times Q The calculated reactor volume V is 1.13 Cubic Meters.</t>
  </si>
  <si>
    <t xml:space="preserve">&lt;bos&gt;&lt;start_of_turn&gt;user
Please calculate the reactor volume with following conditions？
It is planned to carry out the reaction A+B \longrightarrow C in PFR. The experimentally determined reaction kinetic equation is -r_{A}=k\times c_{A}^1\times c_{B}^1 kmol/(L*min), the reaction kinetic constant k=0.008.The initial concentration of raw material A c_{A0}4.13 kmol/m3, and the concentration of raw material B is c_{B0}8.2 kmol/m3., the conversion rate is 0.844. The feed volumetric flow rate Q is 0.877 kmol/m3.&lt;end_of_turn&gt;
&lt;start_of_turn&gt;model
</t>
  </si>
  <si>
    <t>For the BR reactor,-r_{A} =k\times c_{A}^2 kmol/(L*min), c_{A} =c_{A0} \times (1-x_{A} ) ,the residence time \tau is obtained by c_{A0}\times\int_{0}^{x_{f}}\frac{dx_{A}}{-r_{A}}. And the reactor volume is \frac{(\tau + t_{assist} )\times Q}{f} The calculated reactor volume V is 27.38 Cubic Meters.</t>
  </si>
  <si>
    <t xml:space="preserve">&lt;bos&gt;&lt;start_of_turn&gt;user
Please calculate the reactor volume with following conditions？
It is planned to carry out the reaction A+B \longrightarrow C in BR. The experimentally determined reaction kinetic equation is -r_{A}=k\times c_{A}^2 kmol/(L*min), the reaction kinetic constant k=0.008.The initial concentration of raw material A c_{A0} is 6.42 kmol/m3., the conversion rate is 0.796. The feed volumetric flow rate Q is 0.965 kmol/m3, the auxiliary production time t_{assist} is 2 h, and the loading factor f is 0.54.&lt;end_of_turn&gt;
&lt;start_of_turn&gt;model
</t>
  </si>
  <si>
    <t>For the PFR reactor,-r_{A} =k\times c_{A}^3\times c_{B}^3 kmol/(L*min), c_{A} =c_{A0} \times (1-x_{A} ), c_{B} =c_{B0} - c_{A0} \times x_{A}, the residence time \tau is obtained by c_{A0}\times\int_{0}^{x_{f}}\frac{dx_{A}}{-r_{A}}. The residence time \tau of the PFR reactor is 0.16 h.</t>
  </si>
  <si>
    <t xml:space="preserve">&lt;bos&gt;&lt;start_of_turn&gt;user
Please calculate the residence time with following conditions?
It is planned to carry out the reaction A+B \longrightarrow C in PFR. The experimentally determined reaction kinetic equation is -r_{A}=k\times c_{A}^3\times c_{B}^3 kmol/(L*min), the reaction kinetic constant k=0.006.The initial concentration of raw material A c_{A0}2.41 kmol/m3, and the concentration of raw material B is c_{B0}4.32 kmol/m3., the conversion rate is 0.589. The feed volumetric flow rate Q is 0.977 kmol/m3.&lt;end_of_turn&gt;
&lt;start_of_turn&gt;model
</t>
  </si>
  <si>
    <t>For the CSTR reactor,-r_{A} =k\times c_{A}^2\times c_{B}^2 kmol/(L*min), c_{A} =c_{A0} \times (1-x_{A} ), c_{B} =c_{B0}- c_{A0} \times x_{A}, the residence time \tau is calculated by \frac{c_{A0} \times x_{f} }{-r_{A} }. The residence time \tau of the CSTR reactor is 22.99 h.</t>
  </si>
  <si>
    <t xml:space="preserve">&lt;bos&gt;&lt;start_of_turn&gt;user
Please calculate the residence time with following conditions?
It is planned to carry out the reaction A+B \longrightarrow C in CSTR. The experimentally determined reaction kinetic equation is -r_{A}=k\times c_{A}^2\times c_{B}^2 kmol/(L*min), the reaction kinetic constant k=0.003.The initial concentration of raw material A c_{A0}3.02 kmol/m3, and the concentration of raw material B is c_{B0}9.31 kmol/m3., the conversion rate is 0.92. The feed volumetric flow rate Q is 0.355 kmol/m3.&lt;end_of_turn&gt;
&lt;start_of_turn&gt;model
</t>
  </si>
  <si>
    <t>For the CSTR reactor,-r_{A} =k\times c_{A}^3\times c_{B}^3 kmol/(L*min), c_{A} =c_{A0} \times (1-x_{A} ), c_{B} =c_{B0}- c_{A0} \times x_{A}, the residence time \tau is calculated by \frac{c_{A0} \times x_{f} }{-r_{A} }. The residence time \tau of the CSTR reactor is 2.61 h.</t>
  </si>
  <si>
    <t xml:space="preserve">&lt;bos&gt;&lt;start_of_turn&gt;user
Please calculate the residence time with following conditions?
It is planned to carry out the reaction A+B \longrightarrow C in CSTR. The experimentally determined reaction kinetic equation is -r_{A}=k\times c_{A}^3\times c_{B}^3 kmol/(L*min), the reaction kinetic constant k=0.01.The initial concentration of raw material A c_{A0}0.62 kmol/m3, and the concentration of raw material B is c_{B0}4.66 kmol/m3., the conversion rate is 0.826. The feed volumetric flow rate Q is 0.239 kmol/m3.&lt;end_of_turn&gt;
&lt;start_of_turn&gt;model
</t>
  </si>
  <si>
    <t>For the PFR reactor,-r_{A} =k\times c_{A}^2 kmol/(L*min), c_{A} =c_{A0} \times (1-x_{A} ) ,the residence time \tau is obtained by c_{A0}\times\int_{0}^{x_{f}}\frac{dx_{A}}{-r_{A}}. The residence time \tau of the PFR reactor is 0.2 h.</t>
  </si>
  <si>
    <t xml:space="preserve">&lt;bos&gt;&lt;start_of_turn&gt;user
Please calculate the residence time with following conditions?
It is planned to carry out the reaction A+B \longrightarrow C in PFR. The experimentally determined reaction kinetic equation is -r_{A}=k\times c_{A}^2 kmol/(L*min), the reaction kinetic constant k=0.006.The initial concentration of raw material A c_{A0} is 5.56 kmol/m3., the conversion rate is 0.707. The feed volumetric flow rate Q is 0.192 kmol/m3.&lt;end_of_turn&gt;
&lt;start_of_turn&gt;model
</t>
  </si>
  <si>
    <t>For the PFR reactor,-r_{A} =k\times c_{A}^2 kmol/(L*min), c_{A} =c_{A0} \times (1-x_{A} ) ,the residence time \tau is obtained by c_{A0}\times\int_{0}^{x_{f}}\frac{dx_{A}}{-r_{A}}. And the reactor volume is \tau \times Q The calculated reactor volume V is 0.49 Cubic Meters.</t>
  </si>
  <si>
    <t xml:space="preserve">&lt;bos&gt;&lt;start_of_turn&gt;user
Please calculate the reactor volume with following conditions？
It is planned to carry out the reaction A+B \longrightarrow C in PFR. The experimentally determined reaction kinetic equation is -r_{A}=k\times c_{A}^2 kmol/(L*min), the reaction kinetic constant k=0.006.The initial concentration of raw material A c_{A0} is 2.18 kmol/m3., the conversion rate is 0.85. The feed volumetric flow rate Q is 0.072 kmol/m3.&lt;end_of_turn&gt;
&lt;start_of_turn&gt;model
</t>
  </si>
  <si>
    <t>For the BR reactor,-r_{A} =k\times c_{A}^1 kmol/(L*min), c_{A} =c_{A0} \times (1-x_{A} ) ,the residence time \tau is obtained by c_{A0}\times\int_{0}^{x_{f}}\frac{dx_{A}}{-r_{A}}. And the reactor volume is \frac{(\tau + t_{assist} )\times Q}{f} The calculated reactor volume V is 4.83 Cubic Meters.</t>
  </si>
  <si>
    <t xml:space="preserve">&lt;bos&gt;&lt;start_of_turn&gt;user
Please calculate the reactor volume with following conditions？
It is planned to carry out the reaction A+B \longrightarrow C in BR. The experimentally determined reaction kinetic equation is -r_{A}=k\times c_{A}^1 kmol/(L*min), the reaction kinetic constant k=0.006.The initial concentration of raw material A c_{A0} is 4.37 kmol/m3., the conversion rate is 0.521. The feed volumetric flow rate Q is 0.462 kmol/m3, the auxiliary production time t_{assist} is 2 h, and the loading factor f is 0.77.&lt;end_of_turn&gt;
&lt;start_of_turn&gt;model
</t>
  </si>
  <si>
    <t>For the PFR reactor,-r_{A} =k\times c_{A}^3 kmol/(L*min), c_{A} =c_{A0} \times (1-x_{A} ) ,the residence time \tau is obtained by c_{A0}\times\int_{0}^{x_{f}}\frac{dx_{A}}{-r_{A}}. The residence time \tau of the PFR reactor is 0.24 h.</t>
  </si>
  <si>
    <t xml:space="preserve">&lt;bos&gt;&lt;start_of_turn&gt;user
Please calculate the residence time with following conditions?
It is planned to carry out the reaction A+B \longrightarrow C in PFR. The experimentally determined reaction kinetic equation is -r_{A}=k\times c_{A}^3 kmol/(L*min), the reaction kinetic constant k=0.003.The initial concentration of raw material A c_{A0} is 7.96 kmol/m3., the conversion rate is 0.61. The feed volumetric flow rate Q is 0.062 kmol/m3.&lt;end_of_turn&gt;
&lt;start_of_turn&gt;model
</t>
  </si>
  <si>
    <t>For the BR reactor,-r_{A} =k\times c_{A}^1\times c_{B}^2 kmol/(L*min), c_{A} =c_{A0} \times (1-x_{A} ), c_{B} =c_{B0} - c_{A0} \times x_{A}, the residence time \tau is obtained by c_{A0}\times\int_{0}^{x_{f}}\frac{dx_{A}}{-r_{A}}. The residence time \tau of the BR reactor is 15.99 h.</t>
  </si>
  <si>
    <t xml:space="preserve">&lt;bos&gt;&lt;start_of_turn&gt;user
Please calculate the residence time with following conditions?
It is planned to carry out the reaction A+B \longrightarrow C in BR. The experimentally determined reaction kinetic equation is -r_{A}=k\times c_{A}^1\times c_{B}^2 kmol/(L*min), the reaction kinetic constant k=0.008.The initial concentration of raw material A c_{A0}8.74 kmol/m3, and the concentration of raw material B is c_{B0}8.84 kmol/m3., the conversion rate is 0.971. The feed volumetric flow rate Q is 0.594 kmol/m3, the auxiliary production time t_{assist} is 1 h, and the loading factor f is 0.67.&lt;end_of_turn&gt;
&lt;start_of_turn&gt;model
</t>
  </si>
  <si>
    <t>For the PFR reactor,-r_{A} =k\times c_{A}^3 kmol/(L*min), c_{A} =c_{A0} \times (1-x_{A} ) ,the residence time \tau is obtained by c_{A0}\times\int_{0}^{x_{f}}\frac{dx_{A}}{-r_{A}}. And the reactor volume is \tau \times Q The calculated reactor volume V is 0.31 Cubic Meters.</t>
  </si>
  <si>
    <t xml:space="preserve">&lt;bos&gt;&lt;start_of_turn&gt;user
Please calculate the reactor volume with following conditions？
It is planned to carry out the reaction A+B \longrightarrow C in PFR. The experimentally determined reaction kinetic equation is -r_{A}=k\times c_{A}^3 kmol/(L*min), the reaction kinetic constant k=0.008.The initial concentration of raw material A c_{A0} is 4.13 kmol/m3., the conversion rate is 0.674. The feed volumetric flow rate Q is 0.709 kmol/m3.&lt;end_of_turn&gt;
&lt;start_of_turn&gt;model
</t>
  </si>
  <si>
    <t>For the CSTR reactor,-r_{A} =k\times c_{A}^2 kmol/(L*min), c_{A} =c_{A0} \times (1-x_{A} ) the residence time \tau is calculated by \frac{c_{A0} \times x_{f} }{-r_{A} }. And the reactor volume is \tau \times Q The calculated reactor volume V is 11.07 Cubic Meters.</t>
  </si>
  <si>
    <t xml:space="preserve">&lt;bos&gt;&lt;start_of_turn&gt;user
Please calculate the reactor volume with following conditions？
It is planned to carry out the reaction A+B \longrightarrow C in CSTR. The experimentally determined reaction kinetic equation is -r_{A}=k\times c_{A}^2 kmol/(L*min), the reaction kinetic constant k=0.01.The initial concentration of raw material A c_{A0} is 3.01 kmol/m3., the conversion rate is 0.877. The feed volumetric flow rate Q is 0.995 kmol/m3.&lt;end_of_turn&gt;
&lt;start_of_turn&gt;model
</t>
  </si>
  <si>
    <t>For the CSTR reactor,-r_{A} =k\times c_{A}^1 kmol/(L*min), c_{A} =c_{A0} \times (1-x_{A} ) the residence time \tau is calculated by \frac{c_{A0} \times x_{f} }{-r_{A} } . The residence time \tau of the CSTR reactor is 23.97 h.</t>
  </si>
  <si>
    <t xml:space="preserve">&lt;bos&gt;&lt;start_of_turn&gt;user
Please calculate the residence time with following conditions?
It is planned to carry out the reaction A+B \longrightarrow C in CSTR. The experimentally determined reaction kinetic equation is -r_{A}=k\times c_{A}^1 kmol/(L*min), the reaction kinetic constant k=0.002.The initial concentration of raw material A c_{A0} is 5.02 kmol/m3., the conversion rate is 0.78. The feed volumetric flow rate Q is 0.595 kmol/m3.&lt;end_of_turn&gt;
&lt;start_of_turn&gt;model
</t>
  </si>
  <si>
    <t>For the CSTR reactor,-r_{A} =k\times c_{A}^2\times c_{B}^1 kmol/(L*min), c_{A} =c_{A0} \times (1-x_{A} ), c_{B} =c_{B0}- c_{A0} \times x_{A}, the residence time \tau is calculated by \frac{c_{A0} \times x_{f} }{-r_{A} }. And the reactor volume is \tau \times Q The calculated reactor volume V is 0.64 Cubic Meters.</t>
  </si>
  <si>
    <t xml:space="preserve">&lt;bos&gt;&lt;start_of_turn&gt;user
Please calculate the reactor volume with following conditions？
It is planned to carry out the reaction A+B \longrightarrow C in CSTR. The experimentally determined reaction kinetic equation is -r_{A}=k\times c_{A}^2\times c_{B}^1 kmol/(L*min), the reaction kinetic constant k=0.004.The initial concentration of raw material A c_{A0}1.18 kmol/m3, and the concentration of raw material B is c_{B0}2.68 kmol/m3., the conversion rate is 0.688. The feed volumetric flow rate Q is 0.246 kmol/m3.&lt;end_of_turn&gt;
&lt;start_of_turn&gt;model
</t>
  </si>
  <si>
    <t>For the CSTR reactor,-r_{A} =k\times c_{A}^2\times c_{B}^2 kmol/(L*min), c_{A} =c_{A0} \times (1-x_{A} ), c_{B} =c_{B0}- c_{A0} \times x_{A}, the residence time \tau is calculated by \frac{c_{A0} \times x_{f} }{-r_{A} }. And the reactor volume is \tau \times Q The calculated reactor volume V is 0.42 Cubic Meters.</t>
  </si>
  <si>
    <t xml:space="preserve">&lt;bos&gt;&lt;start_of_turn&gt;user
Please calculate the reactor volume with following conditions？
It is planned to carry out the reaction A+B \longrightarrow C in CSTR. The experimentally determined reaction kinetic equation is -r_{A}=k\times c_{A}^2\times c_{B}^2 kmol/(L*min), the reaction kinetic constant k=0.004.The initial concentration of raw material A c_{A0}1.91 kmol/m3, and the concentration of raw material B is c_{B0}1.67 kmol/m3., the conversion rate is 0.587. The feed volumetric flow rate Q is 0.386 kmol/m3.&lt;end_of_turn&gt;
&lt;start_of_turn&gt;model
</t>
  </si>
  <si>
    <t>For the PFR reactor,-r_{A} =k\times c_{A}^1 kmol/(L*min), c_{A} =c_{A0} \times (1-x_{A} ) ,the residence time \tau is obtained by c_{A0}\times\int_{0}^{x_{f}}\frac{dx_{A}}{-r_{A}}. The residence time \tau of the PFR reactor is 2.35 h.</t>
  </si>
  <si>
    <t xml:space="preserve">&lt;bos&gt;&lt;start_of_turn&gt;user
Please calculate the residence time with following conditions?
It is planned to carry out the reaction A+B \longrightarrow C in PFR. The experimentally determined reaction kinetic equation is -r_{A}=k\times c_{A}^1 kmol/(L*min), the reaction kinetic constant k=0.01.The initial concentration of raw material A c_{A0} is 3.05 kmol/m3., the conversion rate is 0.521. The feed volumetric flow rate Q is 0.673 kmol/m3.&lt;end_of_turn&gt;
&lt;start_of_turn&gt;model
</t>
  </si>
  <si>
    <t>For the BR reactor,-r_{A} =k\times c_{A}^1 kmol/(L*min), c_{A} =c_{A0} \times (1-x_{A} ) ,the residence time \tau is obtained by c_{A0}\times\int_{0}^{x_{f}}\frac{dx_{A}}{-r_{A}}. The residence time \tau of the BR reactor is 2.5 h.</t>
  </si>
  <si>
    <t xml:space="preserve">&lt;bos&gt;&lt;start_of_turn&gt;user
Please calculate the residence time with following conditions?
It is planned to carry out the reaction A+B \longrightarrow C in BR. The experimentally determined reaction kinetic equation is -r_{A}=k\times c_{A}^1 kmol/(L*min), the reaction kinetic constant k=0.009.The initial concentration of raw material A c_{A0} is 3.42 kmol/m3., the conversion rate is 0.687. The feed volumetric flow rate Q is 0.462 kmol/m3, the auxiliary production time t_{assist} is 3 h, and the loading factor f is 0.57.&lt;end_of_turn&gt;
&lt;start_of_turn&gt;model
</t>
  </si>
  <si>
    <t>For the CSTR reactor,-r_{A} =k\times c_{A}^3\times c_{B}^2 kmol/(L*min), c_{A} =c_{A0} \times (1-x_{A} ), c_{B} =c_{B0}- c_{A0} \times x_{A}, the residence time \tau is calculated by \frac{c_{A0} \times x_{f} }{-r_{A} }. And the reactor volume is \tau \times Q The calculated reactor volume V is 0.17 Cubic Meters.</t>
  </si>
  <si>
    <t xml:space="preserve">&lt;bos&gt;&lt;start_of_turn&gt;user
Please calculate the reactor volume with following conditions？
It is planned to carry out the reaction A+B \longrightarrow C in CSTR. The experimentally determined reaction kinetic equation is -r_{A}=k\times c_{A}^3\times c_{B}^2 kmol/(L*min), the reaction kinetic constant k=0.001.The initial concentration of raw material A c_{A0}0.8 kmol/m3, and the concentration of raw material B is c_{B0}8.12 kmol/m3., the conversion rate is 0.571. The feed volumetric flow rate Q is 0.268 kmol/m3.&lt;end_of_turn&gt;
&lt;start_of_turn&gt;model
</t>
  </si>
  <si>
    <t>For the CSTR reactor,-r_{A} =k\times c_{A}^2 kmol/(L*min), c_{A} =c_{A0} \times (1-x_{A} ) the residence time \tau is calculated by \frac{c_{A0} \times x_{f} }{-r_{A} }. And the reactor volume is \tau \times Q The calculated reactor volume V is 38.68 Cubic Meters.</t>
  </si>
  <si>
    <t xml:space="preserve">&lt;bos&gt;&lt;start_of_turn&gt;user
Please calculate the reactor volume with following conditions？
It is planned to carry out the reaction A+B \longrightarrow C in CSTR. The experimentally determined reaction kinetic equation is -r_{A}=k\times c_{A}^2 kmol/(L*min), the reaction kinetic constant k=0.005.The initial concentration of raw material A c_{A0} is 9.16 kmol/m3., the conversion rate is 0.996. The feed volumetric flow rate Q is 0.506 kmol/m3.&lt;end_of_turn&gt;
&lt;start_of_turn&gt;model
</t>
  </si>
  <si>
    <t>For the PFR reactor,-r_{A} =k\times c_{A}^1\times c_{B}^2 kmol/(L*min), c_{A} =c_{A0} \times (1-x_{A} ), c_{B} =c_{B0} - c_{A0} \times x_{A}, the residence time \tau is obtained by c_{A0}\times\int_{0}^{x_{f}}\frac{dx_{A}}{-r_{A}}. The residence time \tau of the PFR reactor is 0.07 h.</t>
  </si>
  <si>
    <t xml:space="preserve">&lt;bos&gt;&lt;start_of_turn&gt;user
Please calculate the residence time with following conditions?
It is planned to carry out the reaction A+B \longrightarrow C in PFR. The experimentally determined reaction kinetic equation is -r_{A}=k\times c_{A}^1\times c_{B}^2 kmol/(L*min), the reaction kinetic constant k=0.008.The initial concentration of raw material A c_{A0}3.83 kmol/m3, and the concentration of raw material B is c_{B0}3.72 kmol/m3., the conversion rate is 0.605. The feed volumetric flow rate Q is 0.566 kmol/m3.&lt;end_of_turn&gt;
&lt;start_of_turn&gt;model
</t>
  </si>
  <si>
    <t>For the BR reactor,-r_{A} =k\times c_{A}^1 kmol/(L*min), c_{A} =c_{A0} \times (1-x_{A} ) ,the residence time \tau is obtained by c_{A0}\times\int_{0}^{x_{f}}\frac{dx_{A}}{-r_{A}}. The residence time \tau of the BR reactor is 2.36 h.</t>
  </si>
  <si>
    <t xml:space="preserve">&lt;bos&gt;&lt;start_of_turn&gt;user
Please calculate the residence time with following conditions?
It is planned to carry out the reaction A+B \longrightarrow C in BR. The experimentally determined reaction kinetic equation is -r_{A}=k\times c_{A}^1 kmol/(L*min), the reaction kinetic constant k=0.007.The initial concentration of raw material A c_{A0} is 5.11 kmol/m3., the conversion rate is 0.74. The feed volumetric flow rate Q is 0.269 kmol/m3, the auxiliary production time t_{assist} is 2 h, and the loading factor f is 0.57.&lt;end_of_turn&gt;
&lt;start_of_turn&gt;model
</t>
  </si>
  <si>
    <t>For the CSTR reactor,-r_{A} =k\times c_{A}^3 kmol/(L*min), c_{A} =c_{A0} \times (1-x_{A} ) the residence time \tau is calculated by \frac{c_{A0} \times x_{f} }{-r_{A} }. And the reactor volume is \tau \times Q The calculated reactor volume V is 14.19 Cubic Meters.</t>
  </si>
  <si>
    <t xml:space="preserve">&lt;bos&gt;&lt;start_of_turn&gt;user
Please calculate the reactor volume with following conditions？
It is planned to carry out the reaction A+B \longrightarrow C in CSTR. The experimentally determined reaction kinetic equation is -r_{A}=k\times c_{A}^3 kmol/(L*min), the reaction kinetic constant k=0.006.The initial concentration of raw material A c_{A0} is 3.97 kmol/m3., the conversion rate is 0.691. The feed volumetric flow rate Q is 0.984 kmol/m3.&lt;end_of_turn&gt;
&lt;start_of_turn&gt;model
</t>
  </si>
  <si>
    <t>For the CSTR reactor,-r_{A} =k\times c_{A}^2 kmol/(L*min), c_{A} =c_{A0} \times (1-x_{A} ) the residence time \tau is calculated by \frac{c_{A0} \times x_{f} }{-r_{A} } . The residence time \tau of the CSTR reactor is 224.19 h.</t>
  </si>
  <si>
    <t xml:space="preserve">&lt;bos&gt;&lt;start_of_turn&gt;user
Please calculate the residence time with following conditions?
It is planned to carry out the reaction A+B \longrightarrow C in CSTR. The experimentally determined reaction kinetic equation is -r_{A}=k\times c_{A}^2 kmol/(L*min), the reaction kinetic constant k=0.001.The initial concentration of raw material A c_{A0} is 2.16 kmol/m3., the conversion rate is 0.798. The feed volumetric flow rate Q is 0.4 kmol/m3.&lt;end_of_turn&gt;
&lt;start_of_turn&gt;model
</t>
  </si>
  <si>
    <t>For the CSTR reactor,-r_{A} =k\times c_{A}^3 kmol/(L*min), c_{A} =c_{A0} \times (1-x_{A} ) the residence time \tau is calculated by \frac{c_{A0} \times x_{f} }{-r_{A} }. And the reactor volume is \tau \times Q The calculated reactor volume V is 1.13 Cubic Meters.</t>
  </si>
  <si>
    <t xml:space="preserve">&lt;bos&gt;&lt;start_of_turn&gt;user
Please calculate the reactor volume with following conditions？
It is planned to carry out the reaction A+B \longrightarrow C in CSTR. The experimentally determined reaction kinetic equation is -r_{A}=k\times c_{A}^3 kmol/(L*min), the reaction kinetic constant k=0.009.The initial concentration of raw material A c_{A0} is 4.44 kmol/m3., the conversion rate is 0.58. The feed volumetric flow rate Q is 0.348 kmol/m3.&lt;end_of_turn&gt;
&lt;start_of_turn&gt;model
</t>
  </si>
  <si>
    <t>For the CSTR reactor,-r_{A} =k\times c_{A}^2 kmol/(L*min), c_{A} =c_{A0} \times (1-x_{A} ) the residence time \tau is calculated by \frac{c_{A0} \times x_{f} }{-r_{A} } . The residence time \tau of the CSTR reactor is 8.47 h.</t>
  </si>
  <si>
    <t xml:space="preserve">&lt;bos&gt;&lt;start_of_turn&gt;user
Please calculate the residence time with following conditions?
It is planned to carry out the reaction A+B \longrightarrow C in CSTR. The experimentally determined reaction kinetic equation is -r_{A}=k\times c_{A}^2 kmol/(L*min), the reaction kinetic constant k=0.004.The initial concentration of raw material A c_{A0} is 1.89 kmol/m3., the conversion rate is 0.74. The feed volumetric flow rate Q is 0.208 kmol/m3.&lt;end_of_turn&gt;
&lt;start_of_turn&gt;model
</t>
  </si>
  <si>
    <t>For the CSTR reactor,-r_{A} =k\times c_{A}^2 kmol/(L*min), c_{A} =c_{A0} \times (1-x_{A} ) the residence time \tau is calculated by \frac{c_{A0} \times x_{f} }{-r_{A} } . The residence time \tau of the CSTR reactor is 1002.19 h.</t>
  </si>
  <si>
    <t xml:space="preserve">&lt;bos&gt;&lt;start_of_turn&gt;user
Please calculate the residence time with following conditions?
It is planned to carry out the reaction A+B \longrightarrow C in CSTR. The experimentally determined reaction kinetic equation is -r_{A}=k\times c_{A}^2 kmol/(L*min), the reaction kinetic constant k=0.002.The initial concentration of raw material A c_{A0} is 0.84 kmol/m3., the conversion rate is 0.929. The feed volumetric flow rate Q is 0.728 kmol/m3.&lt;end_of_turn&gt;
&lt;start_of_turn&gt;model
</t>
  </si>
  <si>
    <t xml:space="preserve">&lt;bos&gt;&lt;start_of_turn&gt;user
Please calculate the reactor volume with following conditions？
It is planned to carry out the reaction A+B \longrightarrow C in PFR. The experimentally determined reaction kinetic equation is -r_{A}=k\times c_{A}^3\times c_{B}^2 kmol/(L*min), the reaction kinetic constant k=0.002.The initial concentration of raw material A c_{A0}7.22 kmol/m3, and the concentration of raw material B is c_{B0}4.84 kmol/m3., the conversion rate is 0.516. The feed volumetric flow rate Q is 0.949 kmol/m3.&lt;end_of_turn&gt;
&lt;start_of_turn&gt;model
</t>
  </si>
  <si>
    <t>For the BR reactor,-r_{A} =k\times c_{A}^3\times c_{B}^2 kmol/(L*min), c_{A} =c_{A0} \times (1-x_{A} ), c_{B} =c_{B0}- c_{A0} \times x_{A}, the residence time \tau is obtained by c_{A0}\times\int_{0}^{x_{f}}\frac{dx_{A}}{-r_{A}}. And the reactor volume is \frac{(\tau + t_{assist} )\times Q}{f} The calculated reactor volume V is 4.34 Cubic Meters.</t>
  </si>
  <si>
    <t xml:space="preserve">&lt;bos&gt;&lt;start_of_turn&gt;user
Please calculate the reactor volume with following conditions？
It is planned to carry out the reaction A+B \longrightarrow C in BR. The experimentally determined reaction kinetic equation is -r_{A}=k\times c_{A}^3\times c_{B}^2 kmol/(L*min), the reaction kinetic constant k=0.006.The initial concentration of raw material A c_{A0}1.7 kmol/m3, and the concentration of raw material B is c_{B0}4.64 kmol/m3., the conversion rate is 0.691. The feed volumetric flow rate Q is 0.686 kmol/m3, the auxiliary production time t_{assist} is 2 h, and the loading factor f is 0.62.&lt;end_of_turn&gt;
&lt;start_of_turn&gt;model
</t>
  </si>
  <si>
    <t xml:space="preserve">&lt;bos&gt;&lt;start_of_turn&gt;user
Please calculate the reactor volume with following conditions？
It is planned to carry out the reaction A+B \longrightarrow C in PFR. The experimentally determined reaction kinetic equation is -r_{A}=k\times c_{A}^3\times c_{B}^2 kmol/(L*min), the reaction kinetic constant k=0.004.The initial concentration of raw material A c_{A0}9.7 kmol/m3, and the concentration of raw material B is c_{B0}9.52 kmol/m3., the conversion rate is 0.837. The feed volumetric flow rate Q is 0.751 kmol/m3.&lt;end_of_turn&gt;
&lt;start_of_turn&gt;model
</t>
  </si>
  <si>
    <t>For the CSTR reactor,-r_{A} =k\times c_{A}^1 kmol/(L*min), c_{A} =c_{A0} \times (1-x_{A} ) the residence time \tau is calculated by \frac{c_{A0} \times x_{f} }{-r_{A} } . The residence time \tau of the CSTR reactor is 18.27 h.</t>
  </si>
  <si>
    <t xml:space="preserve">&lt;bos&gt;&lt;start_of_turn&gt;user
Please calculate the residence time with following conditions?
It is planned to carry out the reaction A+B \longrightarrow C in CSTR. The experimentally determined reaction kinetic equation is -r_{A}=k\times c_{A}^1 kmol/(L*min), the reaction kinetic constant k=0.002.The initial concentration of raw material A c_{A0} is 2.99 kmol/m3., the conversion rate is 0.574. The feed volumetric flow rate Q is 0.25 kmol/m3.&lt;end_of_turn&gt;
&lt;start_of_turn&gt;model
</t>
  </si>
  <si>
    <t>For the PFR reactor,-r_{A} =k\times c_{A}^2 kmol/(L*min), c_{A} =c_{A0} \times (1-x_{A} ) ,the residence time \tau is obtained by c_{A0}\times\int_{0}^{x_{f}}\frac{dx_{A}}{-r_{A}}. And the reactor volume is \tau \times Q The calculated reactor volume V is 0.17 Cubic Meters.</t>
  </si>
  <si>
    <t xml:space="preserve">&lt;bos&gt;&lt;start_of_turn&gt;user
Please calculate the reactor volume with following conditions？
It is planned to carry out the reaction A+B \longrightarrow C in PFR. The experimentally determined reaction kinetic equation is -r_{A}=k\times c_{A}^2 kmol/(L*min), the reaction kinetic constant k=0.008.The initial concentration of raw material A c_{A0} is 4.45 kmol/m3., the conversion rate is 0.715. The feed volumetric flow rate Q is 0.024 kmol/m3.&lt;end_of_turn&gt;
&lt;start_of_turn&gt;model
</t>
  </si>
  <si>
    <t>For the BR reactor,-r_{A} =k\times c_{A}^1\times c_{B}^2 kmol/(L*min), c_{A} =c_{A0} \times (1-x_{A} ), c_{B} =c_{B0} - c_{A0} \times x_{A}, the residence time \tau is obtained by c_{A0}\times\int_{0}^{x_{f}}\frac{dx_{A}}{-r_{A}}. The residence time \tau of the BR reactor is 0.34 h.</t>
  </si>
  <si>
    <t xml:space="preserve">&lt;bos&gt;&lt;start_of_turn&gt;user
Please calculate the residence time with following conditions?
It is planned to carry out the reaction A+B \longrightarrow C in BR. The experimentally determined reaction kinetic equation is -r_{A}=k\times c_{A}^1\times c_{B}^2 kmol/(L*min), the reaction kinetic constant k=0.003.The initial concentration of raw material A c_{A0}6.87 kmol/m3, and the concentration of raw material B is c_{B0}4.69 kmol/m3., the conversion rate is 0.513. The feed volumetric flow rate Q is 0.642 kmol/m3, the auxiliary production time t_{assist} is 4 h, and the loading factor f is 0.78.&lt;end_of_turn&gt;
&lt;start_of_turn&gt;model
</t>
  </si>
  <si>
    <t>For the BR reactor,-r_{A} =k\times c_{A}^2\times c_{B}^3 kmol/(L*min), c_{A} =c_{A0} \times (1-x_{A} ), c_{B} =c_{B0} - c_{A0} \times x_{A}, the residence time \tau is obtained by c_{A0}\times\int_{0}^{x_{f}}\frac{dx_{A}}{-r_{A}}. The residence time \tau of the BR reactor is 0.73 h.</t>
  </si>
  <si>
    <t xml:space="preserve">&lt;bos&gt;&lt;start_of_turn&gt;user
Please calculate the residence time with following conditions?
It is planned to carry out the reaction A+B \longrightarrow C in BR. The experimentally determined reaction kinetic equation is -r_{A}=k\times c_{A}^2\times c_{B}^3 kmol/(L*min), the reaction kinetic constant k=0.007.The initial concentration of raw material A c_{A0}8.03 kmol/m3, and the concentration of raw material B is c_{B0}5.57 kmol/m3., the conversion rate is 0.769. The feed volumetric flow rate Q is 0.561 kmol/m3, the auxiliary production time t_{assist} is 5 h, and the loading factor f is 0.47.&lt;end_of_turn&gt;
&lt;start_of_turn&gt;model
</t>
  </si>
  <si>
    <t>For the PFR reactor,-r_{A} =k\times c_{A}^2\times c_{B}^2 kmol/(L*min), c_{A} =c_{A0} \times (1-x_{A} ), c_{B} =c_{B0} - c_{A0} \times x_{A}, the residence time \tau is obtained by c_{A0}\times\int_{0}^{x_{f}}\frac{dx_{A}}{-r_{A}}. The residence time \tau of the PFR reactor is 0.18 h.</t>
  </si>
  <si>
    <t xml:space="preserve">&lt;bos&gt;&lt;start_of_turn&gt;user
Please calculate the residence time with following conditions?
It is planned to carry out the reaction A+B \longrightarrow C in PFR. The experimentally determined reaction kinetic equation is -r_{A}=k\times c_{A}^2\times c_{B}^2 kmol/(L*min), the reaction kinetic constant k=0.007.The initial concentration of raw material A c_{A0}2.13 kmol/m3, and the concentration of raw material B is c_{B0}9.57 kmol/m3., the conversion rate is 0.952. The feed volumetric flow rate Q is 0.99 kmol/m3.&lt;end_of_turn&gt;
&lt;start_of_turn&gt;model
</t>
  </si>
  <si>
    <t>For the PFR reactor,-r_{A} =k\times c_{A}^3\times c_{B}^1 kmol/(L*min), c_{A} =c_{A0} \times (1-x_{A} ), c_{B} =c_{B0} - c_{A0} \times x_{A}, the residence time \tau is obtained by c_{A0}\times\int_{0}^{x_{f}}\frac{dx_{A}}{-r_{A}}. The residence time \tau of the PFR reactor is 1.47 h.</t>
  </si>
  <si>
    <t xml:space="preserve">&lt;bos&gt;&lt;start_of_turn&gt;user
Please calculate the residence time with following conditions?
It is planned to carry out the reaction A+B \longrightarrow C in PFR. The experimentally determined reaction kinetic equation is -r_{A}=k\times c_{A}^3\times c_{B}^1 kmol/(L*min), the reaction kinetic constant k=0.001.The initial concentration of raw material A c_{A0}5.83 kmol/m3, and the concentration of raw material B is c_{B0}6.02 kmol/m3., the conversion rate is 0.694. The feed volumetric flow rate Q is 0.572 kmol/m3.&lt;end_of_turn&gt;
&lt;start_of_turn&gt;model
</t>
  </si>
  <si>
    <t xml:space="preserve">&lt;bos&gt;&lt;start_of_turn&gt;user
Please calculate the residence time with following conditions?
It is planned to carry out the reaction A+B \longrightarrow C in CSTR. The experimentally determined reaction kinetic equation is -r_{A}=k\times c_{A}^3\times c_{B}^3 kmol/(L*min), the reaction kinetic constant k=0.007.The initial concentration of raw material A c_{A0}4.32 kmol/m3, and the concentration of raw material B is c_{B0}3.35 kmol/m3., the conversion rate is 0.626. The feed volumetric flow rate Q is 0.135 kmol/m3.&lt;end_of_turn&gt;
&lt;start_of_turn&gt;model
</t>
  </si>
  <si>
    <t>For the CSTR reactor,-r_{A} =k\times c_{A}^2 kmol/(L*min), c_{A} =c_{A0} \times (1-x_{A} ) the residence time \tau is calculated by \frac{c_{A0} \times x_{f} }{-r_{A} }. And the reactor volume is \tau \times Q The calculated reactor volume V is 18.07 Cubic Meters.</t>
  </si>
  <si>
    <t xml:space="preserve">&lt;bos&gt;&lt;start_of_turn&gt;user
Please calculate the reactor volume with following conditions？
It is planned to carry out the reaction A+B \longrightarrow C in CSTR. The experimentally determined reaction kinetic equation is -r_{A}=k\times c_{A}^2 kmol/(L*min), the reaction kinetic constant k=0.007.The initial concentration of raw material A c_{A0} is 6.96 kmol/m3., the conversion rate is 0.967. The feed volumetric flow rate Q is 0.444 kmol/m3.&lt;end_of_turn&gt;
&lt;start_of_turn&gt;model
</t>
  </si>
  <si>
    <t>For the CSTR reactor,-r_{A} =k\times c_{A}^1 kmol/(L*min), c_{A} =c_{A0} \times (1-x_{A} ) the residence time \tau is calculated by \frac{c_{A0} \times x_{f} }{-r_{A} } . The residence time \tau of the CSTR reactor is 2.22 h.</t>
  </si>
  <si>
    <t xml:space="preserve">&lt;bos&gt;&lt;start_of_turn&gt;user
Please calculate the residence time with following conditions?
It is planned to carry out the reaction A+B \longrightarrow C in CSTR. The experimentally determined reaction kinetic equation is -r_{A}=k\times c_{A}^1 kmol/(L*min), the reaction kinetic constant k=0.007.The initial concentration of raw material A c_{A0} is 5.75 kmol/m3., the conversion rate is 0.7. The feed volumetric flow rate Q is 0.687 kmol/m3.&lt;end_of_turn&gt;
&lt;start_of_turn&gt;model
</t>
  </si>
  <si>
    <t>For the CSTR reactor,-r_{A} =k\times c_{A}^1\times c_{B}^2 kmol/(L*min), c_{A} =c_{A0} \times (1-x_{A} ), c_{B} =c_{B0}- c_{A0} \times x_{A}, the residence time \tau is calculated by \frac{c_{A0} \times x_{f} }{-r_{A} }. The residence time \tau of the CSTR reactor is 0.81 h.</t>
  </si>
  <si>
    <t xml:space="preserve">&lt;bos&gt;&lt;start_of_turn&gt;user
Please calculate the residence time with following conditions?
It is planned to carry out the reaction A+B \longrightarrow C in CSTR. The experimentally determined reaction kinetic equation is -r_{A}=k\times c_{A}^1\times c_{B}^2 kmol/(L*min), the reaction kinetic constant k=0.007.The initial concentration of raw material A c_{A0}2.8 kmol/m3, and the concentration of raw material B is c_{B0}4.05 kmol/m3., the conversion rate is 0.5. The feed volumetric flow rate Q is 0.625 kmol/m3.&lt;end_of_turn&gt;
&lt;start_of_turn&gt;model
</t>
  </si>
  <si>
    <t>For the BR reactor,-r_{A} =k\times c_{A}^1 kmol/(L*min), c_{A} =c_{A0} \times (1-x_{A} ) ,the residence time \tau is obtained by c_{A0}\times\int_{0}^{x_{f}}\frac{dx_{A}}{-r_{A}}. The residence time \tau of the BR reactor is 2.51 h.</t>
  </si>
  <si>
    <t xml:space="preserve">&lt;bos&gt;&lt;start_of_turn&gt;user
Please calculate the residence time with following conditions?
It is planned to carry out the reaction A+B \longrightarrow C in BR. The experimentally determined reaction kinetic equation is -r_{A}=k\times c_{A}^1 kmol/(L*min), the reaction kinetic constant k=0.009.The initial concentration of raw material A c_{A0} is 2.77 kmol/m3., the conversion rate is 0.535. The feed volumetric flow rate Q is 0.569 kmol/m3, the auxiliary production time t_{assist} is 3 h, and the loading factor f is 0.68.&lt;end_of_turn&gt;
&lt;start_of_turn&gt;model
</t>
  </si>
  <si>
    <t>For the BR reactor,-r_{A} =k\times c_{A}^1\times c_{B}^1 kmol/(L*min), c_{A} =c_{A0} \times (1-x_{A} ), c_{B} =c_{B0}- c_{A0} \times x_{A}, the residence time \tau is obtained by c_{A0}\times\int_{0}^{x_{f}}\frac{dx_{A}}{-r_{A}}. And the reactor volume is \frac{(\tau + t_{assist} )\times Q}{f} The calculated reactor volume V is 4.85 Cubic Meters.</t>
  </si>
  <si>
    <t xml:space="preserve">&lt;bos&gt;&lt;start_of_turn&gt;user
Please calculate the reactor volume with following conditions？
It is planned to carry out the reaction A+B \longrightarrow C in BR. The experimentally determined reaction kinetic equation is -r_{A}=k\times c_{A}^1\times c_{B}^1 kmol/(L*min), the reaction kinetic constant k=0.01.The initial concentration of raw material A c_{A0}4.11 kmol/m3, and the concentration of raw material B is c_{B0}2.72 kmol/m3., the conversion rate is 0.581. The feed volumetric flow rate Q is 0.39 kmol/m3, the auxiliary production time t_{assist} is 5 h, and the loading factor f is 0.69.&lt;end_of_turn&gt;
&lt;start_of_turn&gt;model
</t>
  </si>
  <si>
    <t>For the CSTR reactor,-r_{A} =k\times c_{A}^1\times c_{B}^1 kmol/(L*min), c_{A} =c_{A0} \times (1-x_{A} ), c_{B} =c_{B0}- c_{A0} \times x_{A}, the residence time \tau is calculated by \frac{c_{A0} \times x_{f} }{-r_{A} }. And the reactor volume is \tau \times Q The calculated reactor volume V is 0.00 Cubic Meters.</t>
  </si>
  <si>
    <t xml:space="preserve">&lt;bos&gt;&lt;start_of_turn&gt;user
Please calculate the reactor volume with following conditions？
It is planned to carry out the reaction A+B \longrightarrow C in CSTR. The experimentally determined reaction kinetic equation is -r_{A}=k\times c_{A}^1\times c_{B}^1 kmol/(L*min), the reaction kinetic constant k=0.007.The initial concentration of raw material A c_{A0}8.27 kmol/m3, and the concentration of raw material B is c_{B0}8.34 kmol/m3., the conversion rate is 0.545. The feed volumetric flow rate Q is 0.099 kmol/m3.&lt;end_of_turn&gt;
&lt;start_of_turn&gt;model
</t>
  </si>
  <si>
    <t>For the CSTR reactor,-r_{A} =k\times c_{A}^3\times c_{B}^2 kmol/(L*min), c_{A} =c_{A0} \times (1-x_{A} ), c_{B} =c_{B0}- c_{A0} \times x_{A}, the residence time \tau is calculated by \frac{c_{A0} \times x_{f} }{-r_{A} }. The residence time \tau of the CSTR reactor is 44.69 h.</t>
  </si>
  <si>
    <t xml:space="preserve">&lt;bos&gt;&lt;start_of_turn&gt;user
Please calculate the residence time with following conditions?
It is planned to carry out the reaction A+B \longrightarrow C in CSTR. The experimentally determined reaction kinetic equation is -r_{A}=k\times c_{A}^3\times c_{B}^2 kmol/(L*min), the reaction kinetic constant k=0.006.The initial concentration of raw material A c_{A0}6.8 kmol/m3, and the concentration of raw material B is c_{B0}1.63 kmol/m3., the conversion rate is 0.907. The feed volumetric flow rate Q is 0.93 kmol/m3.&lt;end_of_turn&gt;
&lt;start_of_turn&gt;model
</t>
  </si>
  <si>
    <t xml:space="preserve">&lt;bos&gt;&lt;start_of_turn&gt;user
Please calculate the reactor volume with following conditions？
It is planned to carry out the reaction A+B \longrightarrow C in BR. The experimentally determined reaction kinetic equation is -r_{A}=k\times c_{A}^2\times c_{B}^1 kmol/(L*min), the reaction kinetic constant k=0.006.The initial concentration of raw material A c_{A0}7.08 kmol/m3, and the concentration of raw material B is c_{B0}1.94 kmol/m3., the conversion rate is 0.542. The feed volumetric flow rate Q is 0.27 kmol/m3, the auxiliary production time t_{assist} is 1 h, and the loading factor f is 0.64.&lt;end_of_turn&gt;
&lt;start_of_turn&gt;model
</t>
  </si>
  <si>
    <t>For the CSTR reactor,-r_{A} =k\times c_{A}^1\times c_{B}^1 kmol/(L*min), c_{A} =c_{A0} \times (1-x_{A} ), c_{B} =c_{B0}- c_{A0} \times x_{A}, the residence time \tau is calculated by \frac{c_{A0} \times x_{f} }{-r_{A} }. The residence time \tau of the CSTR reactor is 9.54 h.</t>
  </si>
  <si>
    <t xml:space="preserve">&lt;bos&gt;&lt;start_of_turn&gt;user
Please calculate the residence time with following conditions?
It is planned to carry out the reaction A+B \longrightarrow C in CSTR. The experimentally determined reaction kinetic equation is -r_{A}=k\times c_{A}^1\times c_{B}^1 kmol/(L*min), the reaction kinetic constant k=0.004.The initial concentration of raw material A c_{A0}4.0 kmol/m3, and the concentration of raw material B is c_{B0}3.75 kmol/m3., the conversion rate is 0.712. The feed volumetric flow rate Q is 0.916 kmol/m3.&lt;end_of_turn&gt;
&lt;start_of_turn&gt;model
</t>
  </si>
  <si>
    <t>For the CSTR reactor,-r_{A} =k\times c_{A}^1\times c_{B}^1 kmol/(L*min), c_{A} =c_{A0} \times (1-x_{A} ), c_{B} =c_{B0}- c_{A0} \times x_{A}, the residence time \tau is calculated by \frac{c_{A0} \times x_{f} }{-r_{A} }. The residence time \tau of the CSTR reactor is 2.93 h.</t>
  </si>
  <si>
    <t xml:space="preserve">&lt;bos&gt;&lt;start_of_turn&gt;user
Please calculate the residence time with following conditions?
It is planned to carry out the reaction A+B \longrightarrow C in CSTR. The experimentally determined reaction kinetic equation is -r_{A}=k\times c_{A}^1\times c_{B}^1 kmol/(L*min), the reaction kinetic constant k=0.008.The initial concentration of raw material A c_{A0}9.93 kmol/m3, and the concentration of raw material B is c_{B0}9.97 kmol/m3., the conversion rate is 0.765. The feed volumetric flow rate Q is 0.337 kmol/m3.&lt;end_of_turn&gt;
&lt;start_of_turn&gt;model
</t>
  </si>
  <si>
    <t>For the PFR reactor,-r_{A} =k\times c_{A}^3\times c_{B}^1 kmol/(L*min), c_{A} =c_{A0} \times (1-x_{A} ), c_{B} =c_{B0} - c_{A0} \times x_{A}, the residence time \tau is obtained by c_{A0}\times\int_{0}^{x_{f}}\frac{dx_{A}}{-r_{A}}. The residence time \tau of the PFR reactor is 3.83 h.</t>
  </si>
  <si>
    <t xml:space="preserve">&lt;bos&gt;&lt;start_of_turn&gt;user
Please calculate the residence time with following conditions?
It is planned to carry out the reaction A+B \longrightarrow C in PFR. The experimentally determined reaction kinetic equation is -r_{A}=k\times c_{A}^3\times c_{B}^1 kmol/(L*min), the reaction kinetic constant k=0.008.The initial concentration of raw material A c_{A0}6.3 kmol/m3, and the concentration of raw material B is c_{B0}5.5 kmol/m3., the conversion rate is 0.696. The feed volumetric flow rate Q is 0.632 kmol/m3.&lt;end_of_turn&gt;
&lt;start_of_turn&gt;model
</t>
  </si>
  <si>
    <t>For the CSTR reactor,-r_{A} =k\times c_{A}^3 kmol/(L*min), c_{A} =c_{A0} \times (1-x_{A} ) the residence time \tau is calculated by \frac{c_{A0} \times x_{f} }{-r_{A} }. And the reactor volume is \tau \times Q The calculated reactor volume V is 18.76 Cubic Meters.</t>
  </si>
  <si>
    <t xml:space="preserve">&lt;bos&gt;&lt;start_of_turn&gt;user
Please calculate the reactor volume with following conditions？
It is planned to carry out the reaction A+B \longrightarrow C in CSTR. The experimentally determined reaction kinetic equation is -r_{A}=k\times c_{A}^3 kmol/(L*min), the reaction kinetic constant k=0.009.The initial concentration of raw material A c_{A0} is 9.85 kmol/m3., the conversion rate is 0.952. The feed volumetric flow rate Q is 0.664 kmol/m3.&lt;end_of_turn&gt;
&lt;start_of_turn&gt;model
</t>
  </si>
  <si>
    <t xml:space="preserve">&lt;bos&gt;&lt;start_of_turn&gt;user
Please calculate the reactor volume with following conditions？
It is planned to carry out the reaction A+B \longrightarrow C in PFR. The experimentally determined reaction kinetic equation is -r_{A}=k\times c_{A}^2 kmol/(L*min), the reaction kinetic constant k=0.003.The initial concentration of raw material A c_{A0} is 4.75 kmol/m3., the conversion rate is 0.725. The feed volumetric flow rate Q is 0.219 kmol/m3.&lt;end_of_turn&gt;
&lt;start_of_turn&gt;model
</t>
  </si>
  <si>
    <t>For the PFR reactor,-r_{A} =k\times c_{A}^2 kmol/(L*min), c_{A} =c_{A0} \times (1-x_{A} ) ,the residence time \tau is obtained by c_{A0}\times\int_{0}^{x_{f}}\frac{dx_{A}}{-r_{A}}. And the reactor volume is \tau \times Q The calculated reactor volume V is 10.58 Cubic Meters.</t>
  </si>
  <si>
    <t xml:space="preserve">&lt;bos&gt;&lt;start_of_turn&gt;user
Please calculate the reactor volume with following conditions？
It is planned to carry out the reaction A+B \longrightarrow C in PFR. The experimentally determined reaction kinetic equation is -r_{A}=k\times c_{A}^2 kmol/(L*min), the reaction kinetic constant k=0.006.The initial concentration of raw material A c_{A0} is 8.01 kmol/m3., the conversion rate is 0.912. The feed volumetric flow rate Q is 0.791 kmol/m3.&lt;end_of_turn&gt;
&lt;start_of_turn&gt;model
</t>
  </si>
  <si>
    <t>For the BR reactor,-r_{A} =k\times c_{A}^2 kmol/(L*min), c_{A} =c_{A0} \times (1-x_{A} ) ,the residence time \tau is obtained by c_{A0}\times\int_{0}^{x_{f}}\frac{dx_{A}}{-r_{A}}. The residence time \tau of the BR reactor is 2.35 h.</t>
  </si>
  <si>
    <t xml:space="preserve">&lt;bos&gt;&lt;start_of_turn&gt;user
Please calculate the residence time with following conditions?
It is planned to carry out the reaction A+B \longrightarrow C in BR. The experimentally determined reaction kinetic equation is -r_{A}=k\times c_{A}^2 kmol/(L*min), the reaction kinetic constant k=0.007.The initial concentration of raw material A c_{A0} is 4.83 kmol/m3., the conversion rate is 0.855. The feed volumetric flow rate Q is 0.467 kmol/m3, the auxiliary production time t_{assist} is 5 h, and the loading factor f is 0.45.&lt;end_of_turn&gt;
&lt;start_of_turn&gt;model
</t>
  </si>
  <si>
    <t>For the PFR reactor,-r_{A} =k\times c_{A}^2\times c_{B}^1 kmol/(L*min), c_{A} =c_{A0} \times (1-x_{A} ), c_{B} =c_{B0} - c_{A0} \times x_{A}, the residence time \tau is obtained by c_{A0}\times\int_{0}^{x_{f}}\frac{dx_{A}}{-r_{A}}. The residence time \tau of the PFR reactor is 14.66 h.</t>
  </si>
  <si>
    <t xml:space="preserve">&lt;bos&gt;&lt;start_of_turn&gt;user
Please calculate the residence time with following conditions?
It is planned to carry out the reaction A+B \longrightarrow C in PFR. The experimentally determined reaction kinetic equation is -r_{A}=k\times c_{A}^2\times c_{B}^1 kmol/(L*min), the reaction kinetic constant k=0.01.The initial concentration of raw material A c_{A0}3.56 kmol/m3, and the concentration of raw material B is c_{B0}3.41 kmol/m3., the conversion rate is 0.868. The feed volumetric flow rate Q is 0.315 kmol/m3.&lt;end_of_turn&gt;
&lt;start_of_turn&gt;model
</t>
  </si>
  <si>
    <t>For the PFR reactor,-r_{A} =k\times c_{A}^3 kmol/(L*min), c_{A} =c_{A0} \times (1-x_{A} ) ,the residence time \tau is obtained by c_{A0}\times\int_{0}^{x_{f}}\frac{dx_{A}}{-r_{A}}. And the reactor volume is \tau \times Q The calculated reactor volume V is 0.76 Cubic Meters.</t>
  </si>
  <si>
    <t xml:space="preserve">&lt;bos&gt;&lt;start_of_turn&gt;user
Please calculate the reactor volume with following conditions？
It is planned to carry out the reaction A+B \longrightarrow C in PFR. The experimentally determined reaction kinetic equation is -r_{A}=k\times c_{A}^3 kmol/(L*min), the reaction kinetic constant k=0.005.The initial concentration of raw material A c_{A0} is 5.92 kmol/m3., the conversion rate is 0.859. The feed volumetric flow rate Q is 0.179 kmol/m3.&lt;end_of_turn&gt;
&lt;start_of_turn&gt;model
</t>
  </si>
  <si>
    <t>For the BR reactor,-r_{A} =k\times c_{A}^2\times c_{B}^3 kmol/(L*min), c_{A} =c_{A0} \times (1-x_{A} ), c_{B} =c_{B0}- c_{A0} \times x_{A}, the residence time \tau is obtained by c_{A0}\times\int_{0}^{x_{f}}\frac{dx_{A}}{-r_{A}}. And the reactor volume is \frac{(\tau + t_{assist} )\times Q}{f} The calculated reactor volume V is 0.48 Cubic Meters.</t>
  </si>
  <si>
    <t xml:space="preserve">&lt;bos&gt;&lt;start_of_turn&gt;user
Please calculate the reactor volume with following conditions？
It is planned to carry out the reaction A+B \longrightarrow C in BR. The experimentally determined reaction kinetic equation is -r_{A}=k\times c_{A}^2\times c_{B}^3 kmol/(L*min), the reaction kinetic constant k=0.008.The initial concentration of raw material A c_{A0}1.71 kmol/m3, and the concentration of raw material B is c_{B0}4.97 kmol/m3., the conversion rate is 0.513. The feed volumetric flow rate Q is 0.433 kmol/m3, the auxiliary production time t_{assist} is 0 h, and the loading factor f is 0.55.&lt;end_of_turn&gt;
&lt;start_of_turn&gt;model
</t>
  </si>
  <si>
    <t>For the CSTR reactor,-r_{A} =k\times c_{A}^1 kmol/(L*min), c_{A} =c_{A0} \times (1-x_{A} ) the residence time \tau is calculated by \frac{c_{A0} \times x_{f} }{-r_{A} } . The residence time \tau of the CSTR reactor is 2.78 h.</t>
  </si>
  <si>
    <t xml:space="preserve">&lt;bos&gt;&lt;start_of_turn&gt;user
Please calculate the residence time with following conditions?
It is planned to carry out the reaction A+B \longrightarrow C in CSTR. The experimentally determined reaction kinetic equation is -r_{A}=k\times c_{A}^1 kmol/(L*min), the reaction kinetic constant k=0.009.The initial concentration of raw material A c_{A0} is 4.33 kmol/m3., the conversion rate is 0.577. The feed volumetric flow rate Q is 0.369 kmol/m3.&lt;end_of_turn&gt;
&lt;start_of_turn&gt;model
</t>
  </si>
  <si>
    <t>For the CSTR reactor,-r_{A} =k\times c_{A}^1 kmol/(L*min), c_{A} =c_{A0} \times (1-x_{A} ) the residence time \tau is calculated by \frac{c_{A0} \times x_{f} }{-r_{A} }. And the reactor volume is \tau \times Q The calculated reactor volume V is 0.96 Cubic Meters.</t>
  </si>
  <si>
    <t xml:space="preserve">&lt;bos&gt;&lt;start_of_turn&gt;user
Please calculate the reactor volume with following conditions？
It is planned to carry out the reaction A+B \longrightarrow C in CSTR. The experimentally determined reaction kinetic equation is -r_{A}=k\times c_{A}^1 kmol/(L*min), the reaction kinetic constant k=0.006.The initial concentration of raw material A c_{A0} is 6.34 kmol/m3., the conversion rate is 0.704. The feed volumetric flow rate Q is 0.388 kmol/m3.&lt;end_of_turn&gt;
&lt;start_of_turn&gt;model
</t>
  </si>
  <si>
    <t>For the BR reactor,-r_{A} =k\times c_{A}^1\times c_{B}^3 kmol/(L*min), c_{A} =c_{A0} \times (1-x_{A} ), c_{B} =c_{B0}- c_{A0} \times x_{A}, the residence time \tau is obtained by c_{A0}\times\int_{0}^{x_{f}}\frac{dx_{A}}{-r_{A}}. And the reactor volume is \frac{(\tau + t_{assist} )\times Q}{f} The calculated reactor volume V is 2.86 Cubic Meters.</t>
  </si>
  <si>
    <t xml:space="preserve">&lt;bos&gt;&lt;start_of_turn&gt;user
Please calculate the reactor volume with following conditions？
It is planned to carry out the reaction A+B \longrightarrow C in BR. The experimentally determined reaction kinetic equation is -r_{A}=k\times c_{A}^1\times c_{B}^3 kmol/(L*min), the reaction kinetic constant k=0.009.The initial concentration of raw material A c_{A0}9.94 kmol/m3, and the concentration of raw material B is c_{B0}5.24 kmol/m3., the conversion rate is 0.797. The feed volumetric flow rate Q is 0.454 kmol/m3, the auxiliary production time t_{assist} is 4 h, and the loading factor f is 0.42.&lt;end_of_turn&gt;
&lt;start_of_turn&gt;model
</t>
  </si>
  <si>
    <t>For the CSTR reactor,-r_{A} =k\times c_{A}^3\times c_{B}^3 kmol/(L*min), c_{A} =c_{A0} \times (1-x_{A} ), c_{B} =c_{B0}- c_{A0} \times x_{A}, the residence time \tau is calculated by \frac{c_{A0} \times x_{f} }{-r_{A} }. The residence time \tau of the CSTR reactor is 2.1 h.</t>
  </si>
  <si>
    <t xml:space="preserve">&lt;bos&gt;&lt;start_of_turn&gt;user
Please calculate the residence time with following conditions?
It is planned to carry out the reaction A+B \longrightarrow C in CSTR. The experimentally determined reaction kinetic equation is -r_{A}=k\times c_{A}^3\times c_{B}^3 kmol/(L*min), the reaction kinetic constant k=0.002.The initial concentration of raw material A c_{A0}2.08 kmol/m3, and the concentration of raw material B is c_{B0}9.07 kmol/m3., the conversion rate is 0.892. The feed volumetric flow rate Q is 0.973 kmol/m3.&lt;end_of_turn&gt;
&lt;start_of_turn&gt;model
</t>
  </si>
  <si>
    <t>For the BR reactor,-r_{A} =k\times c_{A}^1\times c_{B}^2 kmol/(L*min), c_{A} =c_{A0} \times (1-x_{A} ), c_{B} =c_{B0} - c_{A0} \times x_{A}, the residence time \tau is obtained by c_{A0}\times\int_{0}^{x_{f}}\frac{dx_{A}}{-r_{A}}. The residence time \tau of the BR reactor is 15.3 h.</t>
  </si>
  <si>
    <t xml:space="preserve">&lt;bos&gt;&lt;start_of_turn&gt;user
Please calculate the residence time with following conditions?
It is planned to carry out the reaction A+B \longrightarrow C in BR. The experimentally determined reaction kinetic equation is -r_{A}=k\times c_{A}^1\times c_{B}^2 kmol/(L*min), the reaction kinetic constant k=0.005.The initial concentration of raw material A c_{A0}1.9 kmol/m3, and the concentration of raw material B is c_{B0}1.53 kmol/m3., the conversion rate is 0.639. The feed volumetric flow rate Q is 0.335 kmol/m3, the auxiliary production time t_{assist} is 2 h, and the loading factor f is 0.61.&lt;end_of_turn&gt;
&lt;start_of_turn&gt;model
</t>
  </si>
  <si>
    <t>For the PFR reactor,-r_{A} =k\times c_{A}^3\times c_{B}^3 kmol/(L*min), c_{A} =c_{A0} \times (1-x_{A} ), c_{B} =c_{B0} - c_{A0} \times x_{A}, the residence time \tau is obtained by c_{A0}\times\int_{0}^{x_{f}}\frac{dx_{A}}{-r_{A}}. The residence time \tau of the PFR reactor is 0.12 h.</t>
  </si>
  <si>
    <t xml:space="preserve">&lt;bos&gt;&lt;start_of_turn&gt;user
Please calculate the residence time with following conditions?
It is planned to carry out the reaction A+B \longrightarrow C in PFR. The experimentally determined reaction kinetic equation is -r_{A}=k\times c_{A}^3\times c_{B}^3 kmol/(L*min), the reaction kinetic constant k=0.005.The initial concentration of raw material A c_{A0}2.6 kmol/m3, and the concentration of raw material B is c_{B0}3.81 kmol/m3., the conversion rate is 0.515. The feed volumetric flow rate Q is 0.494 kmol/m3.&lt;end_of_turn&gt;
&lt;start_of_turn&gt;model
</t>
  </si>
  <si>
    <t>For the BR reactor,-r_{A} =k\times c_{A}^2 kmol/(L*min), c_{A} =c_{A0} \times (1-x_{A} ) ,the residence time \tau is obtained by c_{A0}\times\int_{0}^{x_{f}}\frac{dx_{A}}{-r_{A}}. And the reactor volume is \frac{(\tau + t_{assist} )\times Q}{f} The calculated reactor volume V is 2.56 Cubic Meters.</t>
  </si>
  <si>
    <t xml:space="preserve">&lt;bos&gt;&lt;start_of_turn&gt;user
Please calculate the reactor volume with following conditions？
It is planned to carry out the reaction A+B \longrightarrow C in BR. The experimentally determined reaction kinetic equation is -r_{A}=k\times c_{A}^2 kmol/(L*min), the reaction kinetic constant k=0.01.The initial concentration of raw material A c_{A0} is 7.15 kmol/m3., the conversion rate is 0.617. The feed volumetric flow rate Q is 0.673 kmol/m3, the auxiliary production time t_{assist} is 1 h, and the loading factor f is 0.48.&lt;end_of_turn&gt;
&lt;start_of_turn&gt;model
</t>
  </si>
  <si>
    <t xml:space="preserve">&lt;bos&gt;&lt;start_of_turn&gt;user
Please calculate the reactor volume with following conditions？
It is planned to carry out the reaction A+B \longrightarrow C in CSTR. The experimentally determined reaction kinetic equation is -r_{A}=k\times c_{A}^3 kmol/(L*min), the reaction kinetic constant k=0.01.The initial concentration of raw material A c_{A0} is 4.84 kmol/m3., the conversion rate is 0.678. The feed volumetric flow rate Q is 0.197 kmol/m3.&lt;end_of_turn&gt;
&lt;start_of_turn&gt;model
</t>
  </si>
  <si>
    <t>For the CSTR reactor,-r_{A} =k\times c_{A}^1 kmol/(L*min), c_{A} =c_{A0} \times (1-x_{A} ) the residence time \tau is calculated by \frac{c_{A0} \times x_{f} }{-r_{A} }. And the reactor volume is \tau \times Q The calculated reactor volume V is 9.18 Cubic Meters.</t>
  </si>
  <si>
    <t xml:space="preserve">&lt;bos&gt;&lt;start_of_turn&gt;user
Please calculate the reactor volume with following conditions？
It is planned to carry out the reaction A+B \longrightarrow C in CSTR. The experimentally determined reaction kinetic equation is -r_{A}=k\times c_{A}^1 kmol/(L*min), the reaction kinetic constant k=0.002.The initial concentration of raw material A c_{A0} is 5.26 kmol/m3., the conversion rate is 0.755. The feed volumetric flow rate Q is 0.598 kmol/m3.&lt;end_of_turn&gt;
&lt;start_of_turn&gt;model
</t>
  </si>
  <si>
    <t>For the PFR reactor,-r_{A} =k\times c_{A}^2 kmol/(L*min), c_{A} =c_{A0} \times (1-x_{A} ) ,the residence time \tau is obtained by c_{A0}\times\int_{0}^{x_{f}}\frac{dx_{A}}{-r_{A}}. And the reactor volume is \tau \times Q The calculated reactor volume V is 2.29 Cubic Meters.</t>
  </si>
  <si>
    <t xml:space="preserve">&lt;bos&gt;&lt;start_of_turn&gt;user
Please calculate the reactor volume with following conditions？
It is planned to carry out the reaction A+B \longrightarrow C in PFR. The experimentally determined reaction kinetic equation is -r_{A}=k\times c_{A}^2 kmol/(L*min), the reaction kinetic constant k=0.007.The initial concentration of raw material A c_{A0} is 2.75 kmol/m3., the conversion rate is 0.796. The feed volumetric flow rate Q is 0.936 kmol/m3.&lt;end_of_turn&gt;
&lt;start_of_turn&gt;model
</t>
  </si>
  <si>
    <t xml:space="preserve">&lt;bos&gt;&lt;start_of_turn&gt;user
Please calculate the residence time with following conditions?
It is planned to carry out the reaction A+B \longrightarrow C in BR. The experimentally determined reaction kinetic equation is -r_{A}=k\times c_{A}^1\times c_{B}^2 kmol/(L*min), the reaction kinetic constant k=0.009.The initial concentration of raw material A c_{A0}4.91 kmol/m3, and the concentration of raw material B is c_{B0}8.83 kmol/m3., the conversion rate is 0.58. The feed volumetric flow rate Q is 0.291 kmol/m3, the auxiliary production time t_{assist} is 5 h, and the loading factor f is 0.64.&lt;end_of_turn&gt;
&lt;start_of_turn&gt;model
</t>
  </si>
  <si>
    <t xml:space="preserve">&lt;bos&gt;&lt;start_of_turn&gt;user
Please calculate the residence time with following conditions?
It is planned to carry out the reaction A+B \longrightarrow C in BR. The experimentally determined reaction kinetic equation is -r_{A}=k\times c_{A}^1\times c_{B}^3 kmol/(L*min), the reaction kinetic constant k=0.004.The initial concentration of raw material A c_{A0}2.92 kmol/m3, and the concentration of raw material B is c_{B0}9.7 kmol/m3., the conversion rate is 0.575. The feed volumetric flow rate Q is 0.873 kmol/m3, the auxiliary production time t_{assist} is 0 h, and the loading factor f is 0.53.&lt;end_of_turn&gt;
&lt;start_of_turn&gt;model
</t>
  </si>
  <si>
    <t>For the PFR reactor,-r_{A} =k\times c_{A}^3 kmol/(L*min), c_{A} =c_{A0} \times (1-x_{A} ) ,the residence time \tau is obtained by c_{A0}\times\int_{0}^{x_{f}}\frac{dx_{A}}{-r_{A}}. And the reactor volume is \tau \times Q The calculated reactor volume V is 3.33 Cubic Meters.</t>
  </si>
  <si>
    <t xml:space="preserve">&lt;bos&gt;&lt;start_of_turn&gt;user
Please calculate the reactor volume with following conditions？
It is planned to carry out the reaction A+B \longrightarrow C in PFR. The experimentally determined reaction kinetic equation is -r_{A}=k\times c_{A}^3 kmol/(L*min), the reaction kinetic constant k=0.001.The initial concentration of raw material A c_{A0} is 1.76 kmol/m3., the conversion rate is 0.836. The feed volumetric flow rate Q is 0.868 kmol/m3.&lt;end_of_turn&gt;
&lt;start_of_turn&gt;model
</t>
  </si>
  <si>
    <t>For the CSTR reactor,-r_{A} =k\times c_{A}^1 kmol/(L*min), c_{A} =c_{A0} \times (1-x_{A} ) the residence time \tau is calculated by \frac{c_{A0} \times x_{f} }{-r_{A} } . The residence time \tau of the CSTR reactor is 18.74 h.</t>
  </si>
  <si>
    <t xml:space="preserve">&lt;bos&gt;&lt;start_of_turn&gt;user
Please calculate the residence time with following conditions?
It is planned to carry out the reaction A+B \longrightarrow C in CSTR. The experimentally determined reaction kinetic equation is -r_{A}=k\times c_{A}^1 kmol/(L*min), the reaction kinetic constant k=0.007.The initial concentration of raw material A c_{A0} is 3.67 kmol/m3., the conversion rate is 0.874. The feed volumetric flow rate Q is 0.281 kmol/m3.&lt;end_of_turn&gt;
&lt;start_of_turn&gt;model
</t>
  </si>
  <si>
    <t>For the PFR reactor,-r_{A} =k\times c_{A}^3\times c_{B}^2 kmol/(L*min), c_{A} =c_{A0} \times (1-x_{A} ), c_{B} =c_{B0} - c_{A0} \times x_{A}, the residence time \tau is obtained by c_{A0}\times\int_{0}^{x_{f}}\frac{dx_{A}}{-r_{A}}. The residence time \tau of the PFR reactor is 0.07 h.</t>
  </si>
  <si>
    <t xml:space="preserve">&lt;bos&gt;&lt;start_of_turn&gt;user
Please calculate the residence time with following conditions?
It is planned to carry out the reaction A+B \longrightarrow C in PFR. The experimentally determined reaction kinetic equation is -r_{A}=k\times c_{A}^3\times c_{B}^2 kmol/(L*min), the reaction kinetic constant k=0.008.The initial concentration of raw material A c_{A0}2.61 kmol/m3, and the concentration of raw material B is c_{B0}2.95 kmol/m3., the conversion rate is 0.61. The feed volumetric flow rate Q is 0.383 kmol/m3.&lt;end_of_turn&gt;
&lt;start_of_turn&gt;model
</t>
  </si>
  <si>
    <t>For the BR reactor,-r_{A} =k\times c_{A}^2\times c_{B}^2 kmol/(L*min), c_{A} =c_{A0} \times (1-x_{A} ), c_{B} =c_{B0} - c_{A0} \times x_{A}, the residence time \tau is obtained by c_{A0}\times\int_{0}^{x_{f}}\frac{dx_{A}}{-r_{A}}. The residence time \tau of the BR reactor is 15987310.44 h.</t>
  </si>
  <si>
    <t xml:space="preserve">&lt;bos&gt;&lt;start_of_turn&gt;user
Please calculate the residence time with following conditions?
It is planned to carry out the reaction A+B \longrightarrow C in BR. The experimentally determined reaction kinetic equation is -r_{A}=k\times c_{A}^2\times c_{B}^2 kmol/(L*min), the reaction kinetic constant k=0.009.The initial concentration of raw material A c_{A0}1.64 kmol/m3, and the concentration of raw material B is c_{B0}1.21 kmol/m3., the conversion rate is 0.844. The feed volumetric flow rate Q is 0.839 kmol/m3, the auxiliary production time t_{assist} is 0 h, and the loading factor f is 0.7.&lt;end_of_turn&gt;
&lt;start_of_turn&gt;model
</t>
  </si>
  <si>
    <t>For the BR reactor,-r_{A} =k\times c_{A}^2\times c_{B}^3 kmol/(L*min), c_{A} =c_{A0} \times (1-x_{A} ), c_{B} =c_{B0}- c_{A0} \times x_{A}, the residence time \tau is obtained by c_{A0}\times\int_{0}^{x_{f}}\frac{dx_{A}}{-r_{A}}. And the reactor volume is \frac{(\tau + t_{assist} )\times Q}{f} The calculated reactor volume V is 0.76 Cubic Meters.</t>
  </si>
  <si>
    <t xml:space="preserve">&lt;bos&gt;&lt;start_of_turn&gt;user
Please calculate the reactor volume with following conditions？
It is planned to carry out the reaction A+B \longrightarrow C in BR. The experimentally determined reaction kinetic equation is -r_{A}=k\times c_{A}^2\times c_{B}^3 kmol/(L*min), the reaction kinetic constant k=0.002.The initial concentration of raw material A c_{A0}7.21 kmol/m3, and the concentration of raw material B is c_{B0}5.67 kmol/m3., the conversion rate is 0.518. The feed volumetric flow rate Q is 0.141 kmol/m3, the auxiliary production time t_{assist} is 1 h, and the loading factor f is 0.6.&lt;end_of_turn&gt;
&lt;start_of_turn&gt;model
</t>
  </si>
  <si>
    <t>For the BR reactor,-r_{A} =k\times c_{A}^2 kmol/(L*min), c_{A} =c_{A0} \times (1-x_{A} ) ,the residence time \tau is obtained by c_{A0}\times\int_{0}^{x_{f}}\frac{dx_{A}}{-r_{A}}. The residence time \tau of the BR reactor is 1.39 h.</t>
  </si>
  <si>
    <t xml:space="preserve">&lt;bos&gt;&lt;start_of_turn&gt;user
Please calculate the residence time with following conditions?
It is planned to carry out the reaction A+B \longrightarrow C in BR. The experimentally determined reaction kinetic equation is -r_{A}=k\times c_{A}^2 kmol/(L*min), the reaction kinetic constant k=0.008.The initial concentration of raw material A c_{A0} is 6.95 kmol/m3., the conversion rate is 0.639. The feed volumetric flow rate Q is 0.139 kmol/m3, the auxiliary production time t_{assist} is 0 h, and the loading factor f is 0.71.&lt;end_of_turn&gt;
&lt;start_of_turn&gt;model
</t>
  </si>
  <si>
    <t>For the CSTR reactor,-r_{A} =k\times c_{A}^1 kmol/(L*min), c_{A} =c_{A0} \times (1-x_{A} ) the residence time \tau is calculated by \frac{c_{A0} \times x_{f} }{-r_{A} }. And the reactor volume is \tau \times Q The calculated reactor volume V is 82.66 Cubic Meters.</t>
  </si>
  <si>
    <t xml:space="preserve">&lt;bos&gt;&lt;start_of_turn&gt;user
Please calculate the reactor volume with following conditions？
It is planned to carry out the reaction A+B \longrightarrow C in CSTR. The experimentally determined reaction kinetic equation is -r_{A}=k\times c_{A}^1 kmol/(L*min), the reaction kinetic constant k=0.008.The initial concentration of raw material A c_{A0} is 8.95 kmol/m3., the conversion rate is 0.996. The feed volumetric flow rate Q is 0.475 kmol/m3.&lt;end_of_turn&gt;
&lt;start_of_turn&gt;model
</t>
  </si>
  <si>
    <t>For the CSTR reactor,-r_{A} =k\times c_{A}^3\times c_{B}^3 kmol/(L*min), c_{A} =c_{A0} \times (1-x_{A} ), c_{B} =c_{B0}- c_{A0} \times x_{A}, the residence time \tau is calculated by \frac{c_{A0} \times x_{f} }{-r_{A} }. And the reactor volume is \tau \times Q The calculated reactor volume V is 3.09 Cubic Meters.</t>
  </si>
  <si>
    <t xml:space="preserve">&lt;bos&gt;&lt;start_of_turn&gt;user
Please calculate the reactor volume with following conditions？
It is planned to carry out the reaction A+B \longrightarrow C in CSTR. The experimentally determined reaction kinetic equation is -r_{A}=k\times c_{A}^3\times c_{B}^3 kmol/(L*min), the reaction kinetic constant k=0.009.The initial concentration of raw material A c_{A0}0.62 kmol/m3, and the concentration of raw material B is c_{B0}6.07 kmol/m3., the conversion rate is 0.719. The feed volumetric flow rate Q is 0.958 kmol/m3.&lt;end_of_turn&gt;
&lt;start_of_turn&gt;model
</t>
  </si>
  <si>
    <t>For the PFR reactor,-r_{A} =k\times c_{A}^2 kmol/(L*min), c_{A} =c_{A0} \times (1-x_{A} ) ,the residence time \tau is obtained by c_{A0}\times\int_{0}^{x_{f}}\frac{dx_{A}}{-r_{A}}. And the reactor volume is \tau \times Q The calculated reactor volume V is 31.01 Cubic Meters.</t>
  </si>
  <si>
    <t xml:space="preserve">&lt;bos&gt;&lt;start_of_turn&gt;user
Please calculate the reactor volume with following conditions？
It is planned to carry out the reaction A+B \longrightarrow C in PFR. The experimentally determined reaction kinetic equation is -r_{A}=k\times c_{A}^2 kmol/(L*min), the reaction kinetic constant k=0.001.The initial concentration of raw material A c_{A0} is 4.23 kmol/m3., the conversion rate is 0.964. The feed volumetric flow rate Q is 0.99 kmol/m3.&lt;end_of_turn&gt;
&lt;start_of_turn&gt;model
</t>
  </si>
  <si>
    <t>For the BR reactor,-r_{A} =k\times c_{A}^2 kmol/(L*min), c_{A} =c_{A0} \times (1-x_{A} ) ,the residence time \tau is obtained by c_{A0}\times\int_{0}^{x_{f}}\frac{dx_{A}}{-r_{A}}. And the reactor volume is \frac{(\tau + t_{assist} )\times Q}{f} The calculated reactor volume V is 10.68 Cubic Meters.</t>
  </si>
  <si>
    <t xml:space="preserve">&lt;bos&gt;&lt;start_of_turn&gt;user
Please calculate the reactor volume with following conditions？
It is planned to carry out the reaction A+B \longrightarrow C in BR. The experimentally determined reaction kinetic equation is -r_{A}=k\times c_{A}^2 kmol/(L*min), the reaction kinetic constant k=0.009.The initial concentration of raw material A c_{A0} is 0.95 kmol/m3., the conversion rate is 0.573. The feed volumetric flow rate Q is 0.895 kmol/m3, the auxiliary production time t_{assist} is 1 h, and the loading factor f is 0.72.&lt;end_of_turn&gt;
&lt;start_of_turn&gt;model
</t>
  </si>
  <si>
    <t>For the PFR reactor,-r_{A} =k\times c_{A}^2 kmol/(L*min), c_{A} =c_{A0} \times (1-x_{A} ) ,the residence time \tau is obtained by c_{A0}\times\int_{0}^{x_{f}}\frac{dx_{A}}{-r_{A}}. The residence time \tau of the PFR reactor is 0.53 h.</t>
  </si>
  <si>
    <t xml:space="preserve">&lt;bos&gt;&lt;start_of_turn&gt;user
Please calculate the residence time with following conditions?
It is planned to carry out the reaction A+B \longrightarrow C in PFR. The experimentally determined reaction kinetic equation is -r_{A}=k\times c_{A}^2 kmol/(L*min), the reaction kinetic constant k=0.006.The initial concentration of raw material A c_{A0} is 8.69 kmol/m3., the conversion rate is 0.728. The feed volumetric flow rate Q is 0.825 kmol/m3.&lt;end_of_turn&gt;
&lt;start_of_turn&gt;model
</t>
  </si>
  <si>
    <t>For the CSTR reactor,-r_{A} =k\times c_{A}^2 kmol/(L*min), c_{A} =c_{A0} \times (1-x_{A} ) the residence time \tau is calculated by \frac{c_{A0} \times x_{f} }{-r_{A} } . The residence time \tau of the CSTR reactor is 2.78 h.</t>
  </si>
  <si>
    <t xml:space="preserve">&lt;bos&gt;&lt;start_of_turn&gt;user
Please calculate the residence time with following conditions?
It is planned to carry out the reaction A+B \longrightarrow C in CSTR. The experimentally determined reaction kinetic equation is -r_{A}=k\times c_{A}^2 kmol/(L*min), the reaction kinetic constant k=0.01.The initial concentration of raw material A c_{A0} is 5.2 kmol/m3., the conversion rate is 0.85. The feed volumetric flow rate Q is 0.305 kmol/m3.&lt;end_of_turn&gt;
&lt;start_of_turn&gt;model
</t>
  </si>
  <si>
    <t>For the PFR reactor,-r_{A} =k\times c_{A}^3 kmol/(L*min), c_{A} =c_{A0} \times (1-x_{A} ) ,the residence time \tau is obtained by c_{A0}\times\int_{0}^{x_{f}}\frac{dx_{A}}{-r_{A}}. The residence time \tau of the PFR reactor is 2.17 h.</t>
  </si>
  <si>
    <t xml:space="preserve">&lt;bos&gt;&lt;start_of_turn&gt;user
Please calculate the residence time with following conditions?
It is planned to carry out the reaction A+B \longrightarrow C in PFR. The experimentally determined reaction kinetic equation is -r_{A}=k\times c_{A}^3 kmol/(L*min), the reaction kinetic constant k=0.007.The initial concentration of raw material A c_{A0} is 9.44 kmol/m3., the conversion rate is 0.986. The feed volumetric flow rate Q is 0.224 kmol/m3.&lt;end_of_turn&gt;
&lt;start_of_turn&gt;model
</t>
  </si>
  <si>
    <t>For the BR reactor,-r_{A} =k\times c_{A}^2\times c_{B}^2 kmol/(L*min), c_{A} =c_{A0} \times (1-x_{A} ), c_{B} =c_{B0} - c_{A0} \times x_{A}, the residence time \tau is obtained by c_{A0}\times\int_{0}^{x_{f}}\frac{dx_{A}}{-r_{A}}. The residence time \tau of the BR reactor is 0.16 h.</t>
  </si>
  <si>
    <t xml:space="preserve">&lt;bos&gt;&lt;start_of_turn&gt;user
Please calculate the residence time with following conditions?
It is planned to carry out the reaction A+B \longrightarrow C in BR. The experimentally determined reaction kinetic equation is -r_{A}=k\times c_{A}^2\times c_{B}^2 kmol/(L*min), the reaction kinetic constant k=0.005.The initial concentration of raw material A c_{A0}2.41 kmol/m3, and the concentration of raw material B is c_{B0}6.35 kmol/m3., the conversion rate is 0.62. The feed volumetric flow rate Q is 0.668 kmol/m3, the auxiliary production time t_{assist} is 2 h, and the loading factor f is 0.74.&lt;end_of_turn&gt;
&lt;start_of_turn&gt;model
</t>
  </si>
  <si>
    <t xml:space="preserve">&lt;bos&gt;&lt;start_of_turn&gt;user
Please calculate the residence time with following conditions?
It is planned to carry out the reaction A+B \longrightarrow C in CSTR. The experimentally determined reaction kinetic equation is -r_{A}=k\times c_{A}^3\times c_{B}^2 kmol/(L*min), the reaction kinetic constant k=0.007.The initial concentration of raw material A c_{A0}1.23 kmol/m3, and the concentration of raw material B is c_{B0}7.43 kmol/m3., the conversion rate is 0.97. The feed volumetric flow rate Q is 0.154 kmol/m3.&lt;end_of_turn&gt;
&lt;start_of_turn&gt;model
</t>
  </si>
  <si>
    <t>For the BR reactor,-r_{A} =k\times c_{A}^2\times c_{B}^2 kmol/(L*min), c_{A} =c_{A0} \times (1-x_{A} ), c_{B} =c_{B0}- c_{A0} \times x_{A}, the residence time \tau is obtained by c_{A0}\times\int_{0}^{x_{f}}\frac{dx_{A}}{-r_{A}}. And the reactor volume is \frac{(\tau + t_{assist} )\times Q}{f} The calculated reactor volume V is 0.23 Cubic Meters.</t>
  </si>
  <si>
    <t xml:space="preserve">&lt;bos&gt;&lt;start_of_turn&gt;user
Please calculate the reactor volume with following conditions？
It is planned to carry out the reaction A+B \longrightarrow C in BR. The experimentally determined reaction kinetic equation is -r_{A}=k\times c_{A}^2\times c_{B}^2 kmol/(L*min), the reaction kinetic constant k=0.003.The initial concentration of raw material A c_{A0}9.4 kmol/m3, and the concentration of raw material B is c_{B0}9.64 kmol/m3., the conversion rate is 0.542. The feed volumetric flow rate Q is 0.896 kmol/m3, the auxiliary production time t_{assist} is 0 h, and the loading factor f is 0.49.&lt;end_of_turn&gt;
&lt;start_of_turn&gt;model
</t>
  </si>
  <si>
    <t>For the CSTR reactor,-r_{A} =k\times c_{A}^1\times c_{B}^2 kmol/(L*min), c_{A} =c_{A0} \times (1-x_{A} ), c_{B} =c_{B0}- c_{A0} \times x_{A}, the residence time \tau is calculated by \frac{c_{A0} \times x_{f} }{-r_{A} }. And the reactor volume is \tau \times Q The calculated reactor volume V is 151230.82 Cubic Meters.</t>
  </si>
  <si>
    <t xml:space="preserve">&lt;bos&gt;&lt;start_of_turn&gt;user
Please calculate the reactor volume with following conditions？
It is planned to carry out the reaction A+B \longrightarrow C in CSTR. The experimentally determined reaction kinetic equation is -r_{A}=k\times c_{A}^1\times c_{B}^2 kmol/(L*min), the reaction kinetic constant k=0.008.The initial concentration of raw material A c_{A0}1.65 kmol/m3, and the concentration of raw material B is c_{B0}5.09 kmol/m3., the conversion rate is 0.988. The feed volumetric flow rate Q is 0.832 kmol/m3.&lt;end_of_turn&gt;
&lt;start_of_turn&gt;model
</t>
  </si>
  <si>
    <t>For the PFR reactor,-r_{A} =k\times c_{A}^2\times c_{B}^3 kmol/(L*min), c_{A} =c_{A0} \times (1-x_{A} ), c_{B} =c_{B0}- c_{A0} \times x_{A}, the residence time \tau is obtained by c_{A0}\times\int_{0}^{x_{f}}\frac{dx_{A}}{-r_{A}}. And the reactor volume is \tau \times Q The calculated reactor volume V is 0.58 Cubic Meters.</t>
  </si>
  <si>
    <t xml:space="preserve">&lt;bos&gt;&lt;start_of_turn&gt;user
Please calculate the reactor volume with following conditions？
It is planned to carry out the reaction A+B \longrightarrow C in PFR. The experimentally determined reaction kinetic equation is -r_{A}=k\times c_{A}^2\times c_{B}^3 kmol/(L*min), the reaction kinetic constant k=0.007.The initial concentration of raw material A c_{A0}4.83 kmol/m3, and the concentration of raw material B is c_{B0}4.41 kmol/m3., the conversion rate is 0.808. The feed volumetric flow rate Q is 0.79 kmol/m3.&lt;end_of_turn&gt;
&lt;start_of_turn&gt;model
</t>
  </si>
  <si>
    <t>For the CSTR reactor,-r_{A} =k\times c_{A}^1 kmol/(L*min), c_{A} =c_{A0} \times (1-x_{A} ) the residence time \tau is calculated by \frac{c_{A0} \times x_{f} }{-r_{A} }. And the reactor volume is \tau \times Q The calculated reactor volume V is 0.39 Cubic Meters.</t>
  </si>
  <si>
    <t xml:space="preserve">&lt;bos&gt;&lt;start_of_turn&gt;user
Please calculate the reactor volume with following conditions？
It is planned to carry out the reaction A+B \longrightarrow C in CSTR. The experimentally determined reaction kinetic equation is -r_{A}=k\times c_{A}^1 kmol/(L*min), the reaction kinetic constant k=0.003.The initial concentration of raw material A c_{A0} is 6.27 kmol/m3., the conversion rate is 0.617. The feed volumetric flow rate Q is 0.032 kmol/m3.&lt;end_of_turn&gt;
&lt;start_of_turn&gt;model
</t>
  </si>
  <si>
    <t>For the PFR reactor,-r_{A} =k\times c_{A}^3\times c_{B}^2 kmol/(L*min), c_{A} =c_{A0} \times (1-x_{A} ), c_{B} =c_{B0} - c_{A0} \times x_{A}, the residence time \tau is obtained by c_{A0}\times\int_{0}^{x_{f}}\frac{dx_{A}}{-r_{A}}. The residence time \tau of the PFR reactor is 2.3 h.</t>
  </si>
  <si>
    <t xml:space="preserve">&lt;bos&gt;&lt;start_of_turn&gt;user
Please calculate the residence time with following conditions?
It is planned to carry out the reaction A+B \longrightarrow C in PFR. The experimentally determined reaction kinetic equation is -r_{A}=k\times c_{A}^3\times c_{B}^2 kmol/(L*min), the reaction kinetic constant k=0.006.The initial concentration of raw material A c_{A0}0.68 kmol/m3, and the concentration of raw material B is c_{B0}5.14 kmol/m3., the conversion rate is 0.802. The feed volumetric flow rate Q is 0.599 kmol/m3.&lt;end_of_turn&gt;
&lt;start_of_turn&gt;model
</t>
  </si>
  <si>
    <t>For the PFR reactor,-r_{A} =k\times c_{A}^3 kmol/(L*min), c_{A} =c_{A0} \times (1-x_{A} ) ,the residence time \tau is obtained by c_{A0}\times\int_{0}^{x_{f}}\frac{dx_{A}}{-r_{A}}. And the reactor volume is \tau \times Q The calculated reactor volume V is 0.33 Cubic Meters.</t>
  </si>
  <si>
    <t xml:space="preserve">&lt;bos&gt;&lt;start_of_turn&gt;user
Please calculate the reactor volume with following conditions？
It is planned to carry out the reaction A+B \longrightarrow C in PFR. The experimentally determined reaction kinetic equation is -r_{A}=k\times c_{A}^3 kmol/(L*min), the reaction kinetic constant k=0.006.The initial concentration of raw material A c_{A0} is 8.8 kmol/m3., the conversion rate is 0.588. The feed volumetric flow rate Q is 0.749 kmol/m3.&lt;end_of_turn&gt;
&lt;start_of_turn&gt;model
</t>
  </si>
  <si>
    <t>&lt;think&gt;
&lt;/think&gt;
For the CSTR reactor,-r_{A} =k\times c_{A}^3\times c_{B}^2 kmol/(L*min), c_{A} =c_{A0} \times (1-x_{A} ), c_{B} =c_{B0}- c_{A0} \times x_{A}, the residence time \tau is calculated by \frac{c_{A0} \times x_{f} }{-r_{A} }. The residence time \tau of the CSTR reactor is 3.29 h.</t>
  </si>
  <si>
    <t>&lt;think&gt;
&lt;/think&gt;
For the CSTR reactor,-r_{A} =k\times c_{A}^3\times c_{B}^2 kmol/(L*min), c_{A} =c_{A0} \times (1-x_{A} ), c_{B} =c_{B0}, x_{f} =1-x_{A},the residence time \tau is calculated by \frac{c_{A0} \times x_{f} \times \int_{0}^{c_{A0}}\frac{dc_{A}}{c_{A0}^3 \times c_{B0}^2 \times k} - \frac{c_{A}}{c_{A0}^3 \times c_{B0}^2 \times k}}{ -r_{A} } }{-r_{A} } is obtained by the integral algorithm. The residence time \tau of the CSTR reactor is 0.07 h.</t>
  </si>
  <si>
    <t>&lt;｜begin▁of▁sentence｜&gt;&lt;｜User｜&gt;Please calculate the residence time with following conditions?
It is planned to carry out the reaction A+B \longrightarrow C in CSTR. The experimentally determined reaction kinetic equation is -r_{A}=k\times c_{A}^3\times c_{B}^2 kmol/(L*min), the reaction kinetic constant k=0.006.The initial concentration of raw material A c_{A0}6.8 kmol/m3, and the concentration of raw material B is c_{B0}1.63 kmol/m3., the conversion rate is 0.907. The feed volumetric flow rate Q is 0.93 kmol/m3.&lt;｜Assistant｜&gt;</t>
  </si>
  <si>
    <t>&lt;think&gt;
&lt;/think&gt;
For the BR reactor,-r_{A} =k\times c_{A}^2\times c_{B}^1 kmol/(L*min), c_{A} =c_{A0} \times (1-x_{A} ), c_{B} =c_{B0}- c_{A0} \times x_{A}, the residence time \tau is obtained by c_{A0}\times\int_{0}^{x_{f}}\frac{dx_{A}}{-r_{A}}. And the reactor volume is \frac{(\tau + t_{assist} )\times Q}{f} The calculated reactor volume V is 0.39 Cubic Meters.</t>
  </si>
  <si>
    <t>&lt;think&gt;
&lt;/think&gt;
For the BR reactor,-r_{A} =k\times c_{A}^2\times c_{B}^1 kmol/(L*min), c_{A} =c_{A0} \times (1-x_{A} ), c_{B} =c_{B0}- c_{A0} \times x_{A}, the residence time \tau is obtained by c_{A0}\times\int_{0}^{x_{f}}\frac{dx_{A}}{-r_{A}}. And the reactor volume is \frac{(\tau + t_{assist} )\times Q}{f} The calculated reactor volume V is 0.87 Cubic Meters.</t>
  </si>
  <si>
    <t>&lt;｜begin▁of▁sentence｜&gt;&lt;｜User｜&gt;Please calculate the reactor volume with following conditions？
It is planned to carry out the reaction A+B \longrightarrow C in BR. The experimentally determined reaction kinetic equation is -r_{A}=k\times c_{A}^2\times c_{B}^1 kmol/(L*min), the reaction kinetic constant k=0.006.The initial concentration of raw material A c_{A0}7.08 kmol/m3, and the concentration of raw material B is c_{B0}1.94 kmol/m3., the conversion rate is 0.542. The feed volumetric flow rate Q is 0.27 kmol/m3, the auxiliary production time t_{assist} is 1 h, and the loading factor f is 0.64.&lt;｜Assistant｜&gt;</t>
  </si>
  <si>
    <t>&lt;think&gt;
&lt;/think&gt;
For the CSTR reactor,-r_{A} =k\times c_{A}^1\times c_{B}^1 kmol/(L*min), c_{A} =c_{A0} \times (1-x_{A} ), c_{B} =c_{B0}- c_{A0} \times x_{A}, the residence time \tau is calculated by \frac{c_{A0} \times x_{f} }{-r_{A} }. The residence time \tau of the CSTR reactor is 11.42 h.</t>
  </si>
  <si>
    <t>&lt;think&gt;
&lt;/think&gt;
For the CSTR reactor,-r_{A} =k\times c_{A}^1\times c_{B}^1 kmol/(L*min), c_{A} =c_{A0} \times (1-x_{A} ), c_{B} =c_{B0}- c_{A0} \times x_{A}, the residence time \tau is calculated by \frac{c_{A0} \times x_{f} }{-r_{A} }. The residence time \tau of the CSTR reactor is 0.11 h.</t>
  </si>
  <si>
    <t>&lt;｜begin▁of▁sentence｜&gt;&lt;｜User｜&gt;Please calculate the residence time with following conditions?
It is planned to carry out the reaction A+B \longrightarrow C in CSTR. The experimentally determined reaction kinetic equation is -r_{A}=k\times c_{A}^1\times c_{B}^1 kmol/(L*min), the reaction kinetic constant k=0.004.The initial concentration of raw material A c_{A0}4.0 kmol/m3, and the concentration of raw material B is c_{B0}3.75 kmol/m3., the conversion rate is 0.712. The feed volumetric flow rate Q is 0.916 kmol/m3.&lt;｜Assistant｜&gt;</t>
  </si>
  <si>
    <t>&lt;think&gt;
&lt;/think&gt;
For the CSTR reactor,-r_{A} =k\times c_{A}^1\times c_{B}^1 kmol/(L*min), c_{A} =c_{A0} \times (1-x_{A} ), c_{B} =c_{B0}- c_{A0} \times x_{A}, the residence time \tau is calculated by \frac{c_{A0} \times x_{f} }{-r_{A} }. The residence time \tau of the CSTR reactor is 2.86 h.</t>
  </si>
  <si>
    <t>&lt;think&gt;
&lt;/think&gt;
For the CSTR reactor,-r_{A} =k\times c_{A}^1\times c_{B}^1 kmol/(L*min), c_{A} =c_{A0} \times (1-x_{A} ), c_{B} =c_{B0}- c_{A0} \times x_{A}, the residence time \tau is calculated by \frac{c_{A0} \times x_{f} }{-r_{A} }. The residence time \tau of the CSTR reactor is 3.01 h.</t>
  </si>
  <si>
    <t>&lt;｜begin▁of▁sentence｜&gt;&lt;｜User｜&gt;Please calculate the residence time with following conditions?
It is planned to carry out the reaction A+B \longrightarrow C in CSTR. The experimentally determined reaction kinetic equation is -r_{A}=k\times c_{A}^1\times c_{B}^1 kmol/(L*min), the reaction kinetic constant k=0.008.The initial concentration of raw material A c_{A0}9.93 kmol/m3, and the concentration of raw material B is c_{B0}9.97 kmol/m3., the conversion rate is 0.765. The feed volumetric flow rate Q is 0.337 kmol/m3.&lt;｜Assistant｜&gt;</t>
  </si>
  <si>
    <t>&lt;think&gt;
&lt;/think&gt;
For the PFR reactor,-r_{A} =k\times c_{A}^3\times c_{B}^1 kmol/(L*min), c_{A} =c_{A0} \times (1-x_{A} ), c_{B} =c_{B0} - c_{A0} \times x_{A}, the residence time \tau is obtained by c_{A0}\times\int_{0}^{x_{f}}\frac{dx_{A}}{-r_{A}}. The residence time \tau of the PFR reactor is 0.14 h.</t>
  </si>
  <si>
    <t>&lt;think&gt;
&lt;/think&gt;
For the PFR reactor,-r_{A} =k\times c_{A}^3\times c_{B}^1 kmol/(L*min), c_{A} =c_{A0} \times (1-x_{A} ), c_{B} =c_{B0} - c_{A0} \times x_{A}, the residence time \tau is obtained by c_{A0}\times\int_{0}^{x_{f}}\frac{dx_{A}}{-r_{A}}. The residence time \tau of the PFR reactor is 0.15 h.</t>
  </si>
  <si>
    <t>&lt;｜begin▁of▁sentence｜&gt;&lt;｜User｜&gt;Please calculate the residence time with following conditions?
It is planned to carry out the reaction A+B \longrightarrow C in PFR. The experimentally determined reaction kinetic equation is -r_{A}=k\times c_{A}^3\times c_{B}^1 kmol/(L*min), the reaction kinetic constant k=0.008.The initial concentration of raw material A c_{A0}6.3 kmol/m3, and the concentration of raw material B is c_{B0}5.5 kmol/m3., the conversion rate is 0.696. The feed volumetric flow rate Q is 0.632 kmol/m3.&lt;｜Assistant｜&gt;</t>
  </si>
  <si>
    <t>&lt;think&gt;
&lt;/think&gt;
For the CSTR reactor,-r_{A} =k\times c_{A}^3 kmol/(L*min), c_{A} =c_{A0} \times (1-x_{A} ) the residence time \tau is calculated by \frac{c_{A0} \times x_{f} }{-r_{A} }. And the reactor volume is \tau \times Q The calculated reactor volume V is 109.1 Cubic Meters.</t>
  </si>
  <si>
    <t>&lt;think&gt;
&lt;/think&gt;
For the CSTR reactor,-r_{A} =k\times c_{A}^3 kmol/(L*min), c_{A} =c_{A0} \times (1-x_{A} ) the residence time \tau is calculated by \frac{c_{A0} \times x_{f} }{-r_{A} }. And the reactor volume is \tau \times Q The calculated reactor volume V is 285.72 Cubic Meters.</t>
  </si>
  <si>
    <t>&lt;｜begin▁of▁sentence｜&gt;&lt;｜User｜&gt;Please calculate the reactor volume with following conditions？
It is planned to carry out the reaction A+B \longrightarrow C in CSTR. The experimentally determined reaction kinetic equation is -r_{A}=k\times c_{A}^3 kmol/(L*min), the reaction kinetic constant k=0.009.The initial concentration of raw material A c_{A0} is 9.85 kmol/m3., the conversion rate is 0.952. The feed volumetric flow rate Q is 0.664 kmol/m3.&lt;｜Assistant｜&gt;</t>
  </si>
  <si>
    <t>&lt;think&gt;
&lt;/think&gt;
For the PFR reactor,-r_{A} =k\times c_{A}^2 kmol/(L*min), c_{A} =c_{A0} \times (1-x_{A} ) ,the residence time \tau is obtained by c_{A0}\times\int_{0}^{x_{f}}\frac{dx_{A}}{-r_{A}}. And the reactor volume is \tau \times Q The calculated reactor volume V is 0.68 Cubic Meters.</t>
  </si>
  <si>
    <t>&lt;think&gt;
&lt;/think&gt;
The reactor volume is 0.12 Cubic Meters.</t>
  </si>
  <si>
    <t>&lt;｜begin▁of▁sentence｜&gt;&lt;｜User｜&gt;Please calculate the reactor volume with following conditions？
It is planned to carry out the reaction A+B \longrightarrow C in PFR. The experimentally determined reaction kinetic equation is -r_{A}=k\times c_{A}^2 kmol/(L*min), the reaction kinetic constant k=0.003.The initial concentration of raw material A c_{A0} is 4.75 kmol/m3., the conversion rate is 0.725. The feed volumetric flow rate Q is 0.219 kmol/m3.&lt;｜Assistant｜&gt;</t>
  </si>
  <si>
    <t>&lt;think&gt;
&lt;/think&gt;
For the PFR reactor,-r_{A} =k\times c_{A}^2 kmol/(L*min), c_{A} =c_{A0} \times (1-x_{A} ) ,the residence time \tau is obtained by c_{A0}\times\int_{0}^{x_{f}}\frac{dx_{A}}{-r_{A}}. And the reactor volume is \tau \times Q The calculated reactor volume V is 2.84 Cubic Meters.</t>
  </si>
  <si>
    <t>&lt;think&gt;
&lt;/think&gt;
The reactor volume is 0.02 Cubic Meters.</t>
  </si>
  <si>
    <t>&lt;｜begin▁of▁sentence｜&gt;&lt;｜User｜&gt;Please calculate the reactor volume with following conditions？
It is planned to carry out the reaction A+B \longrightarrow C in PFR. The experimentally determined reaction kinetic equation is -r_{A}=k\times c_{A}^2 kmol/(L*min), the reaction kinetic constant k=0.006.The initial concentration of raw material A c_{A0} is 8.01 kmol/m3., the conversion rate is 0.912. The feed volumetric flow rate Q is 0.791 kmol/m3.&lt;｜Assistant｜&gt;</t>
  </si>
  <si>
    <t>&lt;think&gt;
&lt;/think&gt;
For the BR reactor,-r_{A} =k\times c_{A}^2 kmol/(L*min), c_{A} =c_{A0} \times (1-x_{A} ) ,the residence time \tau is obtained by c_{A0}\times\int_{0}^{x_{f}}\frac{dx_{A}}{-r_{A}}. The residence time \tau of the BR reactor is 2.91 h.</t>
  </si>
  <si>
    <t>&lt;think&gt;
&lt;/think&gt;
For the BR reactor,-r_{A} =k\times c_{A}^2 kmol/(L*min), c_{A} =c_{A0} \times (1-x_{A} ) ,the residence time \tau is obtained by c_{A0}\times\int_{0}^{x_{f}}\frac{dx_{A}}{-r_{A}}. The residence time \tau of the BR reactor is 4.35 h.</t>
  </si>
  <si>
    <t>&lt;｜begin▁of▁sentence｜&gt;&lt;｜User｜&gt;Please calculate the residence time with following conditions?
It is planned to carry out the reaction A+B \longrightarrow C in BR. The experimentally determined reaction kinetic equation is -r_{A}=k\times c_{A}^2 kmol/(L*min), the reaction kinetic constant k=0.007.The initial concentration of raw material A c_{A0} is 4.83 kmol/m3., the conversion rate is 0.855. The feed volumetric flow rate Q is 0.467 kmol/m3, the auxiliary production time t_{assist} is 5 h, and the loading factor f is 0.45.&lt;｜Assistant｜&gt;</t>
  </si>
  <si>
    <t>&lt;think&gt;
&lt;/think&gt;
For the PFR reactor,-r_{A} =k\times c_{A}^2\times c_{B}^1 kmol/(L*min), c_{A} =c_{A0} \times (1-x_{A} ), c_{B} =c_{B0} - c_{A0} \times x_{A}, the residence time \tau is obtained by c_{A0}\times\int_{0}^{x_{f}}\frac{dx_{A}}{-r_{A}}. The residence time \tau of the PFR reactor is 4.77 h.</t>
  </si>
  <si>
    <t>&lt;think&gt;
&lt;/think&gt;
For the PFR reactor,-r_{A} =k\times c_{A}^2\times c_{B}^1 kmol/(L*min), c_{A} =c_{A0} \times (1-x_{A} ), c_{B} =c_{B0} - c_{A0} \times x_{A}, the residence time \tau is obtained by c_{A0}\times\int_{0}^{x_{f}}\frac{dx_{A}}{-r_{A}}. The residence time \tau of the PFR reactor is 0.4 h.</t>
  </si>
  <si>
    <t>&lt;｜begin▁of▁sentence｜&gt;&lt;｜User｜&gt;Please calculate the residence time with following conditions?
It is planned to carry out the reaction A+B \longrightarrow C in PFR. The experimentally determined reaction kinetic equation is -r_{A}=k\times c_{A}^2\times c_{B}^1 kmol/(L*min), the reaction kinetic constant k=0.01.The initial concentration of raw material A c_{A0}3.56 kmol/m3, and the concentration of raw material B is c_{B0}3.41 kmol/m3., the conversion rate is 0.868. The feed volumetric flow rate Q is 0.315 kmol/m3.&lt;｜Assistant｜&gt;</t>
  </si>
  <si>
    <t>&lt;think&gt;
&lt;/think&gt;
For the PFR reactor,-r_{A} =k\times c_{A}^3 kmol/(L*min), c_{A} =c_{A0} \times (1-x_{A} ) ,the residence time \tau is obtained by c_{A0}\times\int_{0}^{x_{f}}\frac{dx_{A}}{-r_{A}}. And the reactor volume is \tau \times Q The calculated reactor volume V is 0.42 Cubic Meters.</t>
  </si>
  <si>
    <t>&lt;think&gt;
&lt;/think&gt;
The reactor volume is 0.21 Cubic Meters.</t>
  </si>
  <si>
    <t>&lt;｜begin▁of▁sentence｜&gt;&lt;｜User｜&gt;Please calculate the reactor volume with following conditions？
It is planned to carry out the reaction A+B \longrightarrow C in PFR. The experimentally determined reaction kinetic equation is -r_{A}=k\times c_{A}^3 kmol/(L*min), the reaction kinetic constant k=0.005.The initial concentration of raw material A c_{A0} is 5.92 kmol/m3., the conversion rate is 0.859. The feed volumetric flow rate Q is 0.179 kmol/m3.&lt;｜Assistant｜&gt;</t>
  </si>
  <si>
    <t>&lt;think&gt;
&lt;/think&gt;
For the BR reactor,-r_{A} =k\times c_{A}^2\times c_{B}^3 kmol/(L*min), c_{A} =c_{A0} \times (1-x_{A} ), c_{B} =c_{B0}- c_{A0} \times x_{A}, the residence time \tau is obtained by c_{A0}\times\int_{0}^{x_{f}}\frac{dx_{A}}{-r_{A}}. And the reactor volume is \frac{(\tau + t_{assist} )\times Q}{f} The calculated reactor volume V is 0.01 Cubic Meters.</t>
  </si>
  <si>
    <t>&lt;think&gt;
&lt;/think&gt;
For the BR reactor,-r_{A} =k\times c_{A}^2\times c_{B}^3 kmol/(L*min), c_{A} =c_{A0} \times (1-x_{A} ), c_{B} =c_{B0}- c_{A0} \times x_{A}, the residence time \tau is obtained by c_{A0}\times\int_{0}^{x_{f}}\frac{dx_{A}}{-r_{A}}. And the reactor volume is \frac{(\tau + t_{assist} )\times Q}{f} The calculated reactor volume V is 0.05 Cubic Meters.</t>
  </si>
  <si>
    <t>&lt;｜begin▁of▁sentence｜&gt;&lt;｜User｜&gt;Please calculate the reactor volume with following conditions？
It is planned to carry out the reaction A+B \longrightarrow C in BR. The experimentally determined reaction kinetic equation is -r_{A}=k\times c_{A}^2\times c_{B}^3 kmol/(L*min), the reaction kinetic constant k=0.008.The initial concentration of raw material A c_{A0}1.71 kmol/m3, and the concentration of raw material B is c_{B0}4.97 kmol/m3., the conversion rate is 0.513. The feed volumetric flow rate Q is 0.433 kmol/m3, the auxiliary production time t_{assist} is 0 h, and the loading factor f is 0.55.&lt;｜Assistant｜&gt;</t>
  </si>
  <si>
    <t>&lt;think&gt;
&lt;/think&gt;
For the CSTR reactor,-r_{A} =k\times c_{A}^1 kmol/(L*min), c_{A} =c_{A0} \times (1-x_{A} ) the residence time \tau is calculated by \frac{c_{A0} \times x_{f} }{-r_{A} } . The residence time \tau of the CSTR reactor is 2.53 h.</t>
  </si>
  <si>
    <t>&lt;think&gt;
&lt;/think&gt;
For the CSTR reactor,-r_{A} =k\times c_{A}^1 kmol/(L*min), c_{A} =c_{A0} \times (1-x_{A} ) the residence time \tau is calculated by \frac{c_{A0} \times x_{f} }{-r_{A} }. The residence time \tau of the CSTR reactor is 2.24 h.</t>
  </si>
  <si>
    <t>&lt;｜begin▁of▁sentence｜&gt;&lt;｜User｜&gt;Please calculate the residence time with following conditions?
It is planned to carry out the reaction A+B \longrightarrow C in CSTR. The experimentally determined reaction kinetic equation is -r_{A}=k\times c_{A}^1 kmol/(L*min), the reaction kinetic constant k=0.009.The initial concentration of raw material A c_{A0} is 4.33 kmol/m3., the conversion rate is 0.577. The feed volumetric flow rate Q is 0.369 kmol/m3.&lt;｜Assistant｜&gt;</t>
  </si>
  <si>
    <t>&lt;think&gt;
&lt;/think&gt;
For the CSTR reactor,-r_{A} =k\times c_{A}^1 kmol/(L*min), c_{A} =c_{A0} \times (1-x_{A} ) the residence time \tau is calculated by \frac{c_{A0} \times x_{f} }{-r_{A} }. And the reactor volume is \tau \times Q The calculated reactor volume V is 2.56 Cubic Meters.</t>
  </si>
  <si>
    <t>&lt;think&gt;
&lt;/think&gt;
For the CSTR reactor,-r_{A} =k\times c_{A}^1 kmol/(L*min), c_{A} =c_{A0} \times (1-x_{A} ) the residence time \tau is calculated by \frac{c_{A0} \times x_{f} }{-r_{A} }. And the reactor volume is \tau \times Q The calculated reactor volume V is 1.86 Cubic Meters.</t>
  </si>
  <si>
    <t>&lt;｜begin▁of▁sentence｜&gt;&lt;｜User｜&gt;Please calculate the reactor volume with following conditions？
It is planned to carry out the reaction A+B \longrightarrow C in CSTR. The experimentally determined reaction kinetic equation is -r_{A}=k\times c_{A}^1 kmol/(L*min), the reaction kinetic constant k=0.006.The initial concentration of raw material A c_{A0} is 6.34 kmol/m3., the conversion rate is 0.704. The feed volumetric flow rate Q is 0.388 kmol/m3.&lt;｜Assistant｜&gt;</t>
  </si>
  <si>
    <t>&lt;think&gt;
&lt;/think&gt;
For the BR reactor,-r_{A} =k\times c_{A}^1\times c_{B}^3 kmol/(L*min), c_{A} =c_{A0} \times (1-x_{A} ), c_{B} =c_{B0}- c_{A0} \times x_{A}, the residence time \tau is obtained by c_{A0}\times\int_{0}^{x_{f}}\frac{dx_{A}}{-r_{A}}. And the reactor volume is \frac{(\tau + t_{assist} )\times Q}{f} The calculated reactor volume V is 938051.65 Cubic Meters.</t>
  </si>
  <si>
    <t>&lt;think&gt;
&lt;/think&gt;
For the BR reactor,-r_{A} =k\times c_{A}^1\times c_{B}^3 kmol/(L*min), c_{A} =c_{A0} \times (1-x_{A} ), c_{B} =c_{B0}- c_{A0} \times x_{A}, the residence time \tau is obtained by c_{A0}\times\int_{0}^{x_{f}}\frac{dx_{A}}{-r_{A}}. And the reactor volume is \frac{(\tau + t_{assist} )\times Q}{f} The calculated reactor volume V is 2.79 Cubic Meters.</t>
  </si>
  <si>
    <t>&lt;｜begin▁of▁sentence｜&gt;&lt;｜User｜&gt;Please calculate the reactor volume with following conditions？
It is planned to carry out the reaction A+B \longrightarrow C in BR. The experimentally determined reaction kinetic equation is -r_{A}=k\times c_{A}^1\times c_{B}^3 kmol/(L*min), the reaction kinetic constant k=0.009.The initial concentration of raw material A c_{A0}9.94 kmol/m3, and the concentration of raw material B is c_{B0}5.24 kmol/m3., the conversion rate is 0.797. The feed volumetric flow rate Q is 0.454 kmol/m3, the auxiliary production time t_{assist} is 4 h, and the loading factor f is 0.42.&lt;｜Assistant｜&gt;</t>
  </si>
  <si>
    <t>&lt;think&gt;
&lt;/think&gt;
For the CSTR reactor,-r_{A} =k\times c_{A}^3\times c_{B}^3 kmol/(L*min), c_{A} =c_{A0} \times (1-x_{A} ), c_{B} =c_{B0}- c_{A0} \times x_{A}, the residence time \tau is calculated by \frac{c_{A0} \times x_{f} }{-r_{A} }. The residence time \tau of the CSTR reactor is 3.63 h.</t>
  </si>
  <si>
    <t>&lt;think&gt;
&lt;/think&gt;
For the CSTR reactor,-r_{A} =k\times c_{A}^3\times c_{B}^3 kmol/(L*min), c_{A} =c_{A0} \times (1-x_{A} ), c_{B} =c_{B0}- c_{A0} \times x_{A}, the residence time \tau is calculated by \frac{c_{A0} \times x_{f} }{-r_{A} }. The residence time \tau of the CSTR reactor is 32.84 h.</t>
  </si>
  <si>
    <t>&lt;｜begin▁of▁sentence｜&gt;&lt;｜User｜&gt;Please calculate the residence time with following conditions?
It is planned to carry out the reaction A+B \longrightarrow C in CSTR. The experimentally determined reaction kinetic equation is -r_{A}=k\times c_{A}^3\times c_{B}^3 kmol/(L*min), the reaction kinetic constant k=0.002.The initial concentration of raw material A c_{A0}2.08 kmol/m3, and the concentration of raw material B is c_{B0}9.07 kmol/m3., the conversion rate is 0.892. The feed volumetric flow rate Q is 0.973 kmol/m3.&lt;｜Assistant｜&gt;</t>
  </si>
  <si>
    <t>&lt;think&gt;
&lt;/think&gt;
For the BR reactor,-r_{A} =k\times c_{A}^1\times c_{B}^2 kmol/(L*min), c_{A} =c_{A0} \times (1-x_{A} ), c_{B} =c_{B0} - c_{A0} \times x_{A}, the residence time \tau is obtained by c_{A0}\times\int_{0}^{x_{f}}\frac{dx_{A}}{-r_{A}}. The residence time \tau of the BR reactor is 9.03 h.</t>
  </si>
  <si>
    <t>&lt;think&gt;
&lt;/think&gt;
For the BR reactor,-r_{A} =k\times c_{A}^1\times c_{B}^2 kmol/(L*min), c_{A} =c_{A0} \times (1-x_{A} ), c_{B} =c_{B0} - c_{A0} \times x_{A}, the residence time \tau is obtained by c_{A0}\times\int_{0}^{x_{f}}\frac{dx_{A}}{-r_{A}}. The residence time \tau of the BR reactor is 1.25 h.</t>
  </si>
  <si>
    <t>&lt;｜begin▁of▁sentence｜&gt;&lt;｜User｜&gt;Please calculate the residence time with following conditions?
It is planned to carry out the reaction A+B \longrightarrow C in BR. The experimentally determined reaction kinetic equation is -r_{A}=k\times c_{A}^1\times c_{B}^2 kmol/(L*min), the reaction kinetic constant k=0.005.The initial concentration of raw material A c_{A0}1.9 kmol/m3, and the concentration of raw material B is c_{B0}1.53 kmol/m3., the conversion rate is 0.639. The feed volumetric flow rate Q is 0.335 kmol/m3, the auxiliary production time t_{assist} is 2 h, and the loading factor f is 0.61.&lt;｜Assistant｜&gt;</t>
  </si>
  <si>
    <t>&lt;think&gt;
&lt;/think&gt;
For the PFR reactor,-r_{A} =k\times c_{A}^3\times c_{B}^3 kmol/(L*min), c_{A} =c_{A0} \times (1-x_{A} ), c_{B} =c_{B0} - c_{A0} \times x_{A}, the residence time \tau is obtained by c_{A0}\times\int_{0}^{x_{f}}\frac{dx_{A}}{-r_{A}}. The residence time \tau of the PFR reactor is 0.04 h.</t>
  </si>
  <si>
    <t>&lt;think&gt;
&lt;/think&gt;
For the PFR reactor,-r_{A} =k\times c_{A}^3\times c_{B}^3 kmol/(L*min), c_{A} =c_{A0} \times (1-x_{A} ), c_{B} =c_{B0} - c_{A0} \times x_{A}, the residence time \tau is obtained by c_{A0}\times\int_{0}^{x_{f}}\frac{dx_{A}}{-r_{A}}. The residence time \tau of the PFR reactor is 0.01 h.</t>
  </si>
  <si>
    <t>&lt;｜begin▁of▁sentence｜&gt;&lt;｜User｜&gt;Please calculate the residence time with following conditions?
It is planned to carry out the reaction A+B \longrightarrow C in PFR. The experimentally determined reaction kinetic equation is -r_{A}=k\times c_{A}^3\times c_{B}^3 kmol/(L*min), the reaction kinetic constant k=0.005.The initial concentration of raw material A c_{A0}2.6 kmol/m3, and the concentration of raw material B is c_{B0}3.81 kmol/m3., the conversion rate is 0.515. The feed volumetric flow rate Q is 0.494 kmol/m3.&lt;｜Assistant｜&gt;</t>
  </si>
  <si>
    <t>&lt;think&gt;
&lt;/think&gt;
For the BR reactor,-r_{A} =k\times c_{A}^2 kmol/(L*min), c_{A} =c_{A0} \times (1-x_{A} ) ,the residence time \tau is obtained by c_{A0}\times\int_{0}^{x_{f}}\frac{dx_{A}}{-r_{A}}. And the reactor volume is \frac{(\tau + t_{assist} )\times Q}{f} The calculated reactor volume V is 1.93 Cubic Meters.</t>
  </si>
  <si>
    <t>&lt;think&gt;
&lt;/think&gt;
For the BR reactor,-r_{A} =k\times c_{A}^2 kmol/(L*min), c_{A} =c_{A0} \times (1-x_{A} ) ,the residence time \tau is obtained by c_{A0}\times\int_{0}^{x_{f}}\frac{dx_{A}}{-r_{A}}. And the reactor volume is \frac{(\tau + t_{assist} )\times Q}{f} The calculated reactor volume V is 2.85 Cubic Meters.</t>
  </si>
  <si>
    <t>&lt;｜begin▁of▁sentence｜&gt;&lt;｜User｜&gt;Please calculate the reactor volume with following conditions？
It is planned to carry out the reaction A+B \longrightarrow C in BR. The experimentally determined reaction kinetic equation is -r_{A}=k\times c_{A}^2 kmol/(L*min), the reaction kinetic constant k=0.01.The initial concentration of raw material A c_{A0} is 7.15 kmol/m3., the conversion rate is 0.617. The feed volumetric flow rate Q is 0.673 kmol/m3, the auxiliary production time t_{assist} is 1 h, and the loading factor f is 0.48.&lt;｜Assistant｜&gt;</t>
  </si>
  <si>
    <t>&lt;think&gt;
&lt;/think&gt;
For the CSTR reactor,-r_{A} =k\times c_{A}^3 kmol/(L*min), c_{A} =c_{A0} \times (1-x_{A} ) the residence time \tau is calculated by \frac{c_{A0} \times x_{f} }{-r_{A} }. And the reactor volume is \tau \times Q The calculated reactor volume V is 0.28 Cubic Meters.</t>
  </si>
  <si>
    <t>&lt;think&gt;
&lt;/think&gt;
The reactor volume is 0.36 Cubic Meters.</t>
  </si>
  <si>
    <t>&lt;｜begin▁of▁sentence｜&gt;&lt;｜User｜&gt;Please calculate the reactor volume with following conditions？
It is planned to carry out the reaction A+B \longrightarrow C in CSTR. The experimentally determined reaction kinetic equation is -r_{A}=k\times c_{A}^3 kmol/(L*min), the reaction kinetic constant k=0.01.The initial concentration of raw material A c_{A0} is 4.84 kmol/m3., the conversion rate is 0.678. The feed volumetric flow rate Q is 0.197 kmol/m3.&lt;｜Assistant｜&gt;</t>
  </si>
  <si>
    <t>&lt;think&gt;
&lt;/think&gt;
For the CSTR reactor,-r_{A} =k\times c_{A}^1 kmol/(L*min), c_{A} =c_{A0} \times (1-x_{A} ) the residence time \tau is calculated by \frac{c_{A0} \times x_{f} }{-r_{A} }. And the reactor volume is \tau \times Q The calculated reactor volume V is 15.36 Cubic Meters.</t>
  </si>
  <si>
    <t>&lt;｜begin▁of▁sentence｜&gt;&lt;｜User｜&gt;Please calculate the reactor volume with following conditions？
It is planned to carry out the reaction A+B \longrightarrow C in CSTR. The experimentally determined reaction kinetic equation is -r_{A}=k\times c_{A}^1 kmol/(L*min), the reaction kinetic constant k=0.002.The initial concentration of raw material A c_{A0} is 5.26 kmol/m3., the conversion rate is 0.755. The feed volumetric flow rate Q is 0.598 kmol/m3.&lt;｜Assistant｜&gt;</t>
  </si>
  <si>
    <t>&lt;think&gt;
&lt;/think&gt;
For the PFR reactor,-r_{A} =k\times c_{A}^2 kmol/(L*min), c_{A} =c_{A0} \times (1-x_{A} ) ,the residence time \tau is obtained by c_{A0}\times\int_{0}^{x_{f}}\frac{dx_{A}}{-r_{A}}. And the reactor volume is \tau \times Q The calculated reactor volume V is 3.16 Cubic Meters.</t>
  </si>
  <si>
    <t>&lt;think&gt;
&lt;/think&gt;
The reactor volume is 0.25 Cubic Meters.</t>
  </si>
  <si>
    <t>&lt;｜begin▁of▁sentence｜&gt;&lt;｜User｜&gt;Please calculate the reactor volume with following conditions？
It is planned to carry out the reaction A+B \longrightarrow C in PFR. The experimentally determined reaction kinetic equation is -r_{A}=k\times c_{A}^2 kmol/(L*min), the reaction kinetic constant k=0.007.The initial concentration of raw material A c_{A0} is 2.75 kmol/m3., the conversion rate is 0.796. The feed volumetric flow rate Q is 0.936 kmol/m3.&lt;｜Assistant｜&gt;</t>
  </si>
  <si>
    <t>&lt;think&gt;
&lt;/think&gt;
For the BR reactor,-r_{A} =k\times c_{A}^1\times c_{B}^2 kmol/(L*min), c_{A} =c_{A0} \times (1-x_{A} ), c_{B} =c_{B0} - c_{A0} \times x_{A}, the residence time \tau is obtained by c_{A0}\times\int_{0}^{x_{f}}\frac{dx_{A}}{-r_{A}}. The residence time \tau of the BR reactor is 0.03 h.</t>
  </si>
  <si>
    <t>&lt;think&gt;
&lt;/think&gt;
For the BR reactor,-r_{A} =k\times c_{A}^1\times c_{B}^2 kmol/(L*min), c_{A} =c_{A0} \times (1-x_{A} ), c_{B} =c_{B0} - c_{A0} \times x_{A}, the residence time \tau is obtained by c_{A0}\times\int_{0}^{x_{f}}\frac{dx_{A}}{-r_{A}}. The residence time \tau of the BR reactor is 0.01 h.</t>
  </si>
  <si>
    <t>&lt;｜begin▁of▁sentence｜&gt;&lt;｜User｜&gt;Please calculate the residence time with following conditions?
It is planned to carry out the reaction A+B \longrightarrow C in BR. The experimentally determined reaction kinetic equation is -r_{A}=k\times c_{A}^1\times c_{B}^2 kmol/(L*min), the reaction kinetic constant k=0.009.The initial concentration of raw material A c_{A0}4.91 kmol/m3, and the concentration of raw material B is c_{B0}8.83 kmol/m3., the conversion rate is 0.58. The feed volumetric flow rate Q is 0.291 kmol/m3, the auxiliary production time t_{assist} is 5 h, and the loading factor f is 0.64.&lt;｜Assistant｜&gt;</t>
  </si>
  <si>
    <t>&lt;think&gt;
&lt;/think&gt;
For the BR reactor,-r_{A} =k\times c_{A}^1\times c_{B}^3 kmol/(L*min), c_{A} =c_{A0} \times (1-x_{A} ), c_{B} =c_{B0} - c_{A0} \times x_{A}, the residence time \tau is obtained by c_{A0}\times\int_{0}^{x_{f}}\frac{dx_{A}}{-r_{A}}. The residence time \tau of the BR reactor is 0.01 h.</t>
  </si>
  <si>
    <t>&lt;think&gt;
&lt;/think&gt;
For the BR reactor,-r_{A} =k\times c_{A}^1\times c_{B}^3 kmol/(L*min), c_{A} =c_{A0} \times (1-x_{A} ), c_{B} =c_{B0} - c_{A0} \times x_{A}, the residence time \tau is obtained by c_{A0}\times\int_{0}^{x_{f}}\frac{dx_{A}}{-r_{A}}. The residence time \tau of the BR reactor is 0.3 h.</t>
  </si>
  <si>
    <t>&lt;｜begin▁of▁sentence｜&gt;&lt;｜User｜&gt;Please calculate the residence time with following conditions?
It is planned to carry out the reaction A+B \longrightarrow C in BR. The experimentally determined reaction kinetic equation is -r_{A}=k\times c_{A}^1\times c_{B}^3 kmol/(L*min), the reaction kinetic constant k=0.004.The initial concentration of raw material A c_{A0}2.92 kmol/m3, and the concentration of raw material B is c_{B0}9.7 kmol/m3., the conversion rate is 0.575. The feed volumetric flow rate Q is 0.873 kmol/m3, the auxiliary production time t_{assist} is 0 h, and the loading factor f is 0.53.&lt;｜Assistant｜&gt;</t>
  </si>
  <si>
    <t>&lt;think&gt;
&lt;/think&gt;
For the PFR reactor,-r_{A} =k\times c_{A}^3 kmol/(L*min), c_{A} =c_{A0} \times (1-x_{A} ) ,the residence time \tau is obtained by c_{A0}\times\int_{0}^{x_{f}}\frac{dx_{A}}{-r_{A}}. And the reactor volume is \tau \times Q The calculated reactor volume V is 84.49 Cubic Meters.</t>
  </si>
  <si>
    <t>&lt;think&gt;
&lt;/think&gt;
The reactor volume is 1.88 Cubic Meters.</t>
  </si>
  <si>
    <t>&lt;｜begin▁of▁sentence｜&gt;&lt;｜User｜&gt;Please calculate the reactor volume with following conditions？
It is planned to carry out the reaction A+B \longrightarrow C in PFR. The experimentally determined reaction kinetic equation is -r_{A}=k\times c_{A}^3 kmol/(L*min), the reaction kinetic constant k=0.001.The initial concentration of raw material A c_{A0} is 1.76 kmol/m3., the conversion rate is 0.836. The feed volumetric flow rate Q is 0.868 kmol/m3.&lt;｜Assistant｜&gt;</t>
  </si>
  <si>
    <t>&lt;think&gt;
&lt;/think&gt;
For the CSTR reactor,-r_{A} =k\times c_{A}^1 kmol/(L*min), c_{A} =c_{A0} \times (1-x_{A} ) the residence time \tau is calculated by \frac{c_{A0} \times x_{f} }{-r_{A} } . The residence time \tau of the CSTR reactor is 16.52 h.</t>
  </si>
  <si>
    <t>&lt;think&gt;
&lt;/think&gt;
For the CSTR reactor,-r_{A} =k\times c_{A}^1 kmol/(L*min), c_{A} =c_{A0} \times (1-x_{A} ) the residence time \tau is calculated by \frac{c_{A0} \times x_{f} }{-r_{A} }. The residence time \tau of the CSTR reactor is 12.26 h.</t>
  </si>
  <si>
    <t>&lt;｜begin▁of▁sentence｜&gt;&lt;｜User｜&gt;Please calculate the residence time with following conditions?
It is planned to carry out the reaction A+B \longrightarrow C in CSTR. The experimentally determined reaction kinetic equation is -r_{A}=k\times c_{A}^1 kmol/(L*min), the reaction kinetic constant k=0.007.The initial concentration of raw material A c_{A0} is 3.67 kmol/m3., the conversion rate is 0.874. The feed volumetric flow rate Q is 0.281 kmol/m3.&lt;｜Assistant｜&gt;</t>
  </si>
  <si>
    <t>&lt;think&gt;
&lt;/think&gt;
For the PFR reactor,-r_{A} =k\times c_{A}^3\times c_{B}^2 kmol/(L*min), c_{A} =c_{A0} \times (1-x_{A} ), c_{B} =c_{B0} - c_{A0} \times x_{A}, the residence time \tau is obtained by c_{A0}\times\int_{0}^{x_{f}}\frac{dx_{A}}{-r_{A}}. The residence time \tau of the PFR reactor is 0.29 h.</t>
  </si>
  <si>
    <t>&lt;think&gt;
&lt;/think&gt;
For the PFR reactor,-r_{A} =k\times c_{A}^3\times c_{B}^2 kmol/(L*min), c_{A} =c_{A0} \times (1-x_{A} ), c_{B} =c_{B0} - c_{A0} \times x_{A}, the residence time \tau is obtained by c_{A0}\times\int_{0}^{x_{f}}\frac{dx_{A}}{-r_{A}}. The residence time \tau of the PFR reactor is 0.34 h.</t>
  </si>
  <si>
    <t>&lt;｜begin▁of▁sentence｜&gt;&lt;｜User｜&gt;Please calculate the residence time with following conditions?
It is planned to carry out the reaction A+B \longrightarrow C in PFR. The experimentally determined reaction kinetic equation is -r_{A}=k\times c_{A}^3\times c_{B}^2 kmol/(L*min), the reaction kinetic constant k=0.008.The initial concentration of raw material A c_{A0}2.61 kmol/m3, and the concentration of raw material B is c_{B0}2.95 kmol/m3., the conversion rate is 0.61. The feed volumetric flow rate Q is 0.383 kmol/m3.&lt;｜Assistant｜&gt;</t>
  </si>
  <si>
    <t>&lt;think&gt;
&lt;/think&gt;
For the BR reactor,-r_{A} =k\times c_{A}^2\times c_{B}^2 kmol/(L*min), c_{A} =c_{A0} \times (1-x_{A} ), c_{B} =c_{B0} - c_{A0} \times x_{A}, the residence time \tau is obtained by c_{A0}\times\int_{0}^{x_{f}}\frac{dx_{A}}{-r_{A}}. The residence time \tau of the BR reactor is 245824486.11 h.</t>
  </si>
  <si>
    <t>&lt;think&gt;
&lt;/think&gt;
For the BR reactor,-r_{A} =k\times c_{A}^2\times c_{B}^2 kmol/(L*min), c_{A} =c_{A0} \times (1-x_{A} ), c_{B} =c_{B0} - c_{A0} \times x_{A}, the residence time \tau is obtained by c_{A0}\times\int_{0}^{x_{f}}\frac{dx_{A}}{-r_{A}}. The residence time \tau of the BR reactor is 0.06 h.</t>
  </si>
  <si>
    <t>&lt;｜begin▁of▁sentence｜&gt;&lt;｜User｜&gt;Please calculate the residence time with following conditions?
It is planned to carry out the reaction A+B \longrightarrow C in BR. The experimentally determined reaction kinetic equation is -r_{A}=k\times c_{A}^2\times c_{B}^2 kmol/(L*min), the reaction kinetic constant k=0.009.The initial concentration of raw material A c_{A0}1.64 kmol/m3, and the concentration of raw material B is c_{B0}1.21 kmol/m3., the conversion rate is 0.844. The feed volumetric flow rate Q is 0.839 kmol/m3, the auxiliary production time t_{assist} is 0 h, and the loading factor f is 0.7.&lt;｜Assistant｜&gt;</t>
  </si>
  <si>
    <t>&lt;think&gt;
&lt;/think&gt;
For the BR reactor,-r_{A} =k\times c_{A}^2\times c_{B}^3 kmol/(L*min), c_{A} =c_{A0} \times (1-x_{A} ), c_{B} =c_{B0}- c_{A0} \times x_{A}, the residence time \tau is obtained by c_{A0}\times\int_{0}^{x_{f}}\frac{dx_{A}}{-r_{A}}. And the reactor volume is \frac{(\tau + t_{assist} )\times Q}{f} The calculated reactor volume V is 0.25 Cubic Meters.</t>
  </si>
  <si>
    <t>&lt;think&gt;
&lt;/think&gt;
For the BR reactor,-r_{A} =k\times c_{A}^2\times c_{B}^3 kmol/(L*min), c_{A} =c_{A0} \times (1-x_{A} ), c_{B} =c_{B0}- c_{A0} \times x_{A}, the residence time \tau is obtained by c_{A0}\times\int_{0}^{x_{f}}\frac{dx_{A}}{-r_{A}}. And the reactor volume is \frac{(\tau + t_{assist} )\times Q}{f} The calculated reactor volume V is 0.34 Cubic Meters.</t>
  </si>
  <si>
    <t>&lt;｜begin▁of▁sentence｜&gt;&lt;｜User｜&gt;Please calculate the reactor volume with following conditions？
It is planned to carry out the reaction A+B \longrightarrow C in BR. The experimentally determined reaction kinetic equation is -r_{A}=k\times c_{A}^2\times c_{B}^3 kmol/(L*min), the reaction kinetic constant k=0.002.The initial concentration of raw material A c_{A0}7.21 kmol/m3, and the concentration of raw material B is c_{B0}5.67 kmol/m3., the conversion rate is 0.518. The feed volumetric flow rate Q is 0.141 kmol/m3, the auxiliary production time t_{assist} is 1 h, and the loading factor f is 0.6.&lt;｜Assistant｜&gt;</t>
  </si>
  <si>
    <t>&lt;think&gt;
&lt;/think&gt;
For the BR reactor,-r_{A} =k\times c_{A}^2 kmol/(L*min), c_{A} =c_{A0} \times (1-x_{A} ) ,the residence time \tau is obtained by c_{A0}\times\int_{0}^{x_{f}}\frac{dx_{A}}{-r_{A}}. The residence time \tau of the BR reactor is 0.53 h.</t>
  </si>
  <si>
    <t>&lt;think&gt;
&lt;/think&gt;
For the BR reactor,-r_{A} =k\times c_{A}^2 kmol/(L*min), c_{A} =c_{A0} \times (1-x_{A} ) ,the residence time \tau is obtained by c_{A0}\times\int_{0}^{x_{f}}\frac{dx_{A}}{-r_{A}}. The residence time \tau of the BR reactor is 0.14 h.</t>
  </si>
  <si>
    <t>&lt;｜begin▁of▁sentence｜&gt;&lt;｜User｜&gt;Please calculate the residence time with following conditions?
It is planned to carry out the reaction A+B \longrightarrow C in BR. The experimentally determined reaction kinetic equation is -r_{A}=k\times c_{A}^2 kmol/(L*min), the reaction kinetic constant k=0.008.The initial concentration of raw material A c_{A0} is 6.95 kmol/m3., the conversion rate is 0.639. The feed volumetric flow rate Q is 0.139 kmol/m3, the auxiliary production time t_{assist} is 0 h, and the loading factor f is 0.71.&lt;｜Assistant｜&gt;</t>
  </si>
  <si>
    <t>&lt;think&gt;
&lt;/think&gt;
For the CSTR reactor,-r_{A} =k\times c_{A}^1 kmol/(L*min), c_{A} =c_{A0} \times (1-x_{A} ) the residence time \tau is calculated by \frac{c_{A0} \times x_{f} }{-r_{A} }. And the reactor volume is \tau \times Q The calculated reactor volume V is 246.41 Cubic Meters.</t>
  </si>
  <si>
    <t>&lt;think&gt;
&lt;/think&gt;
The reactor volume is 0.31 Cubic Meters.</t>
  </si>
  <si>
    <t>&lt;｜begin▁of▁sentence｜&gt;&lt;｜User｜&gt;Please calculate the reactor volume with following conditions？
It is planned to carry out the reaction A+B \longrightarrow C in CSTR. The experimentally determined reaction kinetic equation is -r_{A}=k\times c_{A}^1 kmol/(L*min), the reaction kinetic constant k=0.008.The initial concentration of raw material A c_{A0} is 8.95 kmol/m3., the conversion rate is 0.996. The feed volumetric flow rate Q is 0.475 kmol/m3.&lt;｜Assistant｜&gt;</t>
  </si>
  <si>
    <t>&lt;think&gt;
&lt;/think&gt;
For the CSTR reactor,-r_{A} =k\times c_{A}^3\times c_{B}^3 kmol/(L*min), c_{A} =c_{A0} \times (1-x_{A} ), c_{B} =c_{B0}- c_{A0} \times x_{A}, the residence time \tau is calculated by \frac{c_{A0} \times x_{f} }{-r_{A} }. And the reactor volume is \tau \times Q The calculated reactor volume V is 0.84 Cubic Meters.</t>
  </si>
  <si>
    <t>&lt;think&gt;
&lt;/think&gt;
For the CSTR reactor,-r_{A} =k\times c_{A}^3\times c_{B}^3 kmol/(L*min), c_{A} =c_{A0} \times (1-x_{A} ), c_{B} =c_{B0}- c_{A0} \times x_{A}, the residence time \tau is calculated by \frac{c_{A0} \times x_{f} }{-r_{A} }. And the reactor volume is \tau \times Q The calculated reactor volume V is 0.36 Cubic Meters.</t>
  </si>
  <si>
    <t>&lt;｜begin▁of▁sentence｜&gt;&lt;｜User｜&gt;Please calculate the reactor volume with following conditions？
It is planned to carry out the reaction A+B \longrightarrow C in CSTR. The experimentally determined reaction kinetic equation is -r_{A}=k\times c_{A}^3\times c_{B}^3 kmol/(L*min), the reaction kinetic constant k=0.009.The initial concentration of raw material A c_{A0}0.62 kmol/m3, and the concentration of raw material B is c_{B0}6.07 kmol/m3., the conversion rate is 0.719. The feed volumetric flow rate Q is 0.958 kmol/m3.&lt;｜Assistant｜&gt;</t>
  </si>
  <si>
    <t>&lt;think&gt;
&lt;/think&gt;
For the PFR reactor,-r_{A} =k\times c_{A}^2 kmol/(L*min), c_{A} =c_{A0} \times (1-x_{A} ) ,the residence time \tau is obtained by c_{A0}\times\int_{0}^{x_{f}}\frac{dx_{A}}{-r_{A}}. And the reactor volume is \tau \times Q The calculated reactor volume V is 104.45 Cubic Meters.</t>
  </si>
  <si>
    <t>&lt;think&gt;
&lt;/think&gt;
The reactor volume is 0.98 m³.</t>
  </si>
  <si>
    <t>&lt;｜begin▁of▁sentence｜&gt;&lt;｜User｜&gt;Please calculate the reactor volume with following conditions？
It is planned to carry out the reaction A+B \longrightarrow C in PFR. The experimentally determined reaction kinetic equation is -r_{A}=k\times c_{A}^2 kmol/(L*min), the reaction kinetic constant k=0.001.The initial concentration of raw material A c_{A0} is 4.23 kmol/m3., the conversion rate is 0.964. The feed volumetric flow rate Q is 0.99 kmol/m3.&lt;｜Assistant｜&gt;</t>
  </si>
  <si>
    <t>&lt;think&gt;
&lt;/think&gt;
For the BR reactor,-r_{A} =k\times c_{A}^2 kmol/(L*min), c_{A} =c_{A0} \times (1-x_{A} ) ,the residence time \tau is obtained by c_{A0}\times\int_{0}^{x_{f}}\frac{dx_{A}}{-r_{A}}. And the reactor volume is \frac{(\tau + t_{assist} )\times Q}{f} The calculated reactor volume V is 4.49 Cubic Meters.</t>
  </si>
  <si>
    <t>&lt;think&gt;
&lt;/think&gt;
For the BR reactor,-r_{A} =k\times c_{A}^2 kmol/(L*min), c_{A} =c_{A0} \times (1-x_{A} ) ,the residence time \tau is obtained by c_{A0}\times\int_{0}^{x_{f}}\frac{dx_{A}}{-r_{A}}. And the reactor volume is \frac{(\tau + t_{assist} )\times Q}{f} The calculated reactor volume V is 11.47 Cubic Meters.</t>
  </si>
  <si>
    <t>&lt;｜begin▁of▁sentence｜&gt;&lt;｜User｜&gt;Please calculate the reactor volume with following conditions？
It is planned to carry out the reaction A+B \longrightarrow C in BR. The experimentally determined reaction kinetic equation is -r_{A}=k\times c_{A}^2 kmol/(L*min), the reaction kinetic constant k=0.009.The initial concentration of raw material A c_{A0} is 0.95 kmol/m3., the conversion rate is 0.573. The feed volumetric flow rate Q is 0.895 kmol/m3, the auxiliary production time t_{assist} is 1 h, and the loading factor f is 0.72.&lt;｜Assistant｜&gt;</t>
  </si>
  <si>
    <t>&lt;think&gt;
&lt;/think&gt;
For the PFR reactor,-r_{A} =k\times c_{A}^2 kmol/(L*min), c_{A} =c_{A0} \times (1-x_{A} ) ,the residence time \tau is obtained by c_{A0}\times\int_{0}^{x_{f}}\frac{dx_{A}}{-r_{A}}. The residence time \tau of the PFR reactor is 0.86 h.</t>
  </si>
  <si>
    <t>&lt;think&gt;
&lt;/think&gt;
For the PFR reactor,-r_{A} =k\times c_{A}^2 kmol/(L*min), c_{A} =c_{A0} \times (1-x_{A} ) ,the residence time \tau is obtained by c_{A0}\times\int_{0}^{x_{f}}\frac{dx_{A}}{-r_{A}}. The residence time \tau of the PFR reactor is 0.33 h.</t>
  </si>
  <si>
    <t>&lt;｜begin▁of▁sentence｜&gt;&lt;｜User｜&gt;Please calculate the residence time with following conditions?
It is planned to carry out the reaction A+B \longrightarrow C in PFR. The experimentally determined reaction kinetic equation is -r_{A}=k\times c_{A}^2 kmol/(L*min), the reaction kinetic constant k=0.006.The initial concentration of raw material A c_{A0} is 8.69 kmol/m3., the conversion rate is 0.728. The feed volumetric flow rate Q is 0.825 kmol/m3.&lt;｜Assistant｜&gt;</t>
  </si>
  <si>
    <t>&lt;think&gt;
&lt;/think&gt;
For the CSTR reactor,-r_{A} =k\times c_{A}^2 kmol/(L*min), c_{A} =c_{A0} \times (1-x_{A} ) the residence time \tau is calculated by \frac{c_{A0} \times x_{f} }{-r_{A} } . The residence time \tau of the CSTR reactor is 12.11 h.</t>
  </si>
  <si>
    <t>&lt;think&gt;
&lt;/think&gt;
For the CSTR reactor,-r_{A} =k\times c_{A}^2 kmol/(L*min), c_{A} =c_{A0} \times (1-x_{A} ) the residence time \tau is calculated by \frac{c_{A0} \times x_{f} }{-r_{A} } . The residence time \tau of the CSTR reactor is 31.1 h.</t>
  </si>
  <si>
    <t>&lt;｜begin▁of▁sentence｜&gt;&lt;｜User｜&gt;Please calculate the residence time with following conditions?
It is planned to carry out the reaction A+B \longrightarrow C in CSTR. The experimentally determined reaction kinetic equation is -r_{A}=k\times c_{A}^2 kmol/(L*min), the reaction kinetic constant k=0.01.The initial concentration of raw material A c_{A0} is 5.2 kmol/m3., the conversion rate is 0.85. The feed volumetric flow rate Q is 0.305 kmol/m3.&lt;｜Assistant｜&gt;</t>
  </si>
  <si>
    <t>&lt;think&gt;
&lt;/think&gt;
For the PFR reactor,-r_{A} =k\times c_{A}^3 kmol/(L*min), c_{A} =c_{A0} \times (1-x_{A} ) ,the residence time \tau is obtained by c_{A0}\times\int_{0}^{x_{f}}\frac{dx_{A}}{-r_{A}}. The residence time \tau of the PFR reactor is 68.15 h.</t>
  </si>
  <si>
    <t>&lt;think&gt;
&lt;/think&gt;
For the PFR reactor,-r_{A} =k\times c_{A}^3 kmol/(L*min), c_{A} =c_{A0} \times (1-x_{A} ) ,the residence time \tau is obtained by c_{A0}\times\int_{0}^{x_{f}}\frac{dx_{A}}{-r_{A}}. The residence time \tau of the PFR reactor is 25.4 h.</t>
  </si>
  <si>
    <t>&lt;｜begin▁of▁sentence｜&gt;&lt;｜User｜&gt;Please calculate the residence time with following conditions?
It is planned to carry out the reaction A+B \longrightarrow C in PFR. The experimentally determined reaction kinetic equation is -r_{A}=k\times c_{A}^3 kmol/(L*min), the reaction kinetic constant k=0.007.The initial concentration of raw material A c_{A0} is 9.44 kmol/m3., the conversion rate is 0.986. The feed volumetric flow rate Q is 0.224 kmol/m3.&lt;｜Assistant｜&gt;</t>
  </si>
  <si>
    <t>&lt;think&gt;
&lt;/think&gt;
For the BR reactor,-r_{A} =k\times c_{A}^2\times c_{B}^2 kmol/(L*min), c_{A} =c_{A0} \times (1-x_{A} ), c_{B} =c_{B0} - c_{A0} \times x_{A}, the residence time \tau is obtained by c_{A0}\times\int_{0}^{x_{f}}\frac{dx_{A}}{-r_{A}}. The residence time \tau of the BR reactor is 0.08 h.</t>
  </si>
  <si>
    <t>&lt;think&gt;
&lt;/think&gt;
For the BR reactor,-r_{A} =k\times c_{A}^2\times c_{B}^2 kmol/(L*min), c_{A} =c_{A0} \times (1-x_{A} ), c_{B} =c_{B0} - c_{A0} \times x_{A}, the residence time \tau is obtained by c_{A0}\times\int_{0}^{x_{f}}\frac{dx_{A}}{-r_{A}}. The residence time \tau of the BR reactor is 0.14 h.</t>
  </si>
  <si>
    <t>&lt;｜begin▁of▁sentence｜&gt;&lt;｜User｜&gt;Please calculate the residence time with following conditions?
It is planned to carry out the reaction A+B \longrightarrow C in BR. The experimentally determined reaction kinetic equation is -r_{A}=k\times c_{A}^2\times c_{B}^2 kmol/(L*min), the reaction kinetic constant k=0.005.The initial concentration of raw material A c_{A0}2.41 kmol/m3, and the concentration of raw material B is c_{B0}6.35 kmol/m3., the conversion rate is 0.62. The feed volumetric flow rate Q is 0.668 kmol/m3, the auxiliary production time t_{assist} is 2 h, and the loading factor f is 0.74.&lt;｜Assistant｜&gt;</t>
  </si>
  <si>
    <t>&lt;think&gt;
&lt;/think&gt;
For the CSTR reactor,-r_{A} =k\times c_{A}^3\times c_{B}^2 kmol/(L*min), c_{A} =c_{A0} \times (1-x_{A} ), c_{B} =c_{B0}- c_{A0} \times x_{A}, the residence time \tau is calculated by \frac{c_{A0} \times x_{f} }{-r_{A} }. The residence time \tau of the CSTR reactor is 1453.49 h.</t>
  </si>
  <si>
    <t>&lt;think&gt;
&lt;/think&gt;
For the CSTR reactor,-r_{A} =k\times c_{A}^3\times c_{B}^2 kmol/(L*min), c_{A} =c_{A0} \times (1-x_{A} ), c_{B} =c_{B0}- c_{A0} \times x_{A}, the residence time \tau is calculated by \frac{c_{A0} \times x_{f} }{-r_{A} }. The residence time \tau of the CSTR reactor is 0.02 h.</t>
  </si>
  <si>
    <t>&lt;｜begin▁of▁sentence｜&gt;&lt;｜User｜&gt;Please calculate the residence time with following conditions?
It is planned to carry out the reaction A+B \longrightarrow C in CSTR. The experimentally determined reaction kinetic equation is -r_{A}=k\times c_{A}^3\times c_{B}^2 kmol/(L*min), the reaction kinetic constant k=0.007.The initial concentration of raw material A c_{A0}1.23 kmol/m3, and the concentration of raw material B is c_{B0}7.43 kmol/m3., the conversion rate is 0.97. The feed volumetric flow rate Q is 0.154 kmol/m3.&lt;｜Assistant｜&gt;</t>
  </si>
  <si>
    <t>&lt;think&gt;
&lt;/think&gt;
For the BR reactor,-r_{A} =k\times c_{A}^2\times c_{B}^2 kmol/(L*min), c_{A} =c_{A0} \times (1-x_{A} ), c_{B} =c_{B0}- c_{A0} \times x_{A}, the residence time \tau is obtained by c_{A0}\times\int_{0}^{x_{f}}\frac{dx_{A}}{-r_{A}}. And the reactor volume is \frac{(\tau + t_{assist} )\times Q}{f} The calculated reactor volume V is 0.04 Cubic Meters.</t>
  </si>
  <si>
    <t>&lt;think&gt;
&lt;/think&gt;
For the BR reactor,-r_{A} =k\times c_{A}^2\times c_{B}^2 kmol/(L*min), c_{A} =c_{A0} \times (1-x_{A} ), c_{B} =c_{B0}- c_{A0} \times x_{A}, the residence time \tau is obtained by c_{A0}\times\int_{0}^{x_{f}}\frac{dx_{A}}{-r_{A}}. And the reactor volume is \frac{(\tau + t_{assist} )\times Q}{f} The calculated reactor volume V is 2.83 Cubic Meters.</t>
  </si>
  <si>
    <t>&lt;｜begin▁of▁sentence｜&gt;&lt;｜User｜&gt;Please calculate the reactor volume with following conditions？
It is planned to carry out the reaction A+B \longrightarrow C in BR. The experimentally determined reaction kinetic equation is -r_{A}=k\times c_{A}^2\times c_{B}^2 kmol/(L*min), the reaction kinetic constant k=0.003.The initial concentration of raw material A c_{A0}9.4 kmol/m3, and the concentration of raw material B is c_{B0}9.64 kmol/m3., the conversion rate is 0.542. The feed volumetric flow rate Q is 0.896 kmol/m3, the auxiliary production time t_{assist} is 0 h, and the loading factor f is 0.49.&lt;｜Assistant｜&gt;</t>
  </si>
  <si>
    <t>&lt;think&gt;
&lt;/think&gt;
For the CSTR reactor,-r_{A} =k\times c_{A}^1\times c_{B}^2 kmol/(L*min), c_{A} =c_{A0} \times (1-x_{A} ), c_{B} =c_{B0}- c_{A0} \times x_{A}, the residence time \tau is calculated by \frac{c_{A0} \times x_{f} }{-r_{A} }. And the reactor volume is \tau \times Q The calculated reactor volume V is 11.92 Cubic Meters.</t>
  </si>
  <si>
    <t>&lt;think&gt;
&lt;/think&gt;
For the CSTR reactor,-r_{A} =k\times c_{A}^1\times c_{B}^2 kmol/(L*min), c_{A} =c_{A0} \times (1-x_{A} ), c_{B} =c_{B0}, the residence time \tau is calculated by \frac{c_{A0} \times x_{f} }{-r_{A} }. And the reactor volume is \tau \times Q The calculated reactor volume V is 1.93 Cubic Meters.</t>
  </si>
  <si>
    <t>&lt;｜begin▁of▁sentence｜&gt;&lt;｜User｜&gt;Please calculate the reactor volume with following conditions？
It is planned to carry out the reaction A+B \longrightarrow C in CSTR. The experimentally determined reaction kinetic equation is -r_{A}=k\times c_{A}^1\times c_{B}^2 kmol/(L*min), the reaction kinetic constant k=0.008.The initial concentration of raw material A c_{A0}1.65 kmol/m3, and the concentration of raw material B is c_{B0}5.09 kmol/m3., the conversion rate is 0.988. The feed volumetric flow rate Q is 0.832 kmol/m3.&lt;｜Assistant｜&gt;</t>
  </si>
  <si>
    <t>&lt;think&gt;
&lt;/think&gt;
For the PFR reactor,-r_{A} =k\times c_{A}^2\times c_{B}^3 kmol/(L*min), c_{A} =c_{A0} \times (1-x_{A} ), c_{B} =c_{B0}- c_{A0} \times x_{A}, the residence time \tau is obtained by c_{A0}\times\int_{0}^{x_{f}}\frac{dx_{A}}{-r_{A}}. And the reactor volume is \tau \times Q The calculated reactor volume V is 2.63 Cubic Meters.</t>
  </si>
  <si>
    <t>&lt;think&gt;
&lt;/think&gt;
For the PFR reactor,-r_{A} =k\times c_{A}^2\times c_{B}^3 kmol/(L*min), c_{A} =c_{A0} \times (1-x_{A} ), c_{B} =c_{B0}- c_{A0} \times x_{A}, the residence time \tau is obtained by c_{A0}\times\int_{0}^{x_{f}}\frac{dx_{A}}{-r_{A}}. And the reactor volume is \tau \times Q The calculated reactor volume V is 0.02 Cubic Meters.</t>
  </si>
  <si>
    <t>&lt;｜begin▁of▁sentence｜&gt;&lt;｜User｜&gt;Please calculate the reactor volume with following conditions？
It is planned to carry out the reaction A+B \longrightarrow C in PFR. The experimentally determined reaction kinetic equation is -r_{A}=k\times c_{A}^2\times c_{B}^3 kmol/(L*min), the reaction kinetic constant k=0.007.The initial concentration of raw material A c_{A0}4.83 kmol/m3, and the concentration of raw material B is c_{B0}4.41 kmol/m3., the conversion rate is 0.808. The feed volumetric flow rate Q is 0.79 kmol/m3.&lt;｜Assistant｜&gt;</t>
  </si>
  <si>
    <t>&lt;think&gt;
&lt;/think&gt;
For the CSTR reactor,-r_{A} =k\times c_{A}^1 kmol/(L*min), c_{A} =c_{A0} \times (1-x_{A} ) the residence time \tau is calculated by \frac{c_{A0} \times x_{f} }{-r_{A} }. And the reactor volume is \tau \times Q The calculated reactor volume V is 0.29 Cubic Meters.</t>
  </si>
  <si>
    <t>&lt;think&gt;
&lt;/think&gt;
For the CSTR reactor,-r_{A} =k\times c_{A}^1 kmol/(L*min), c_{A} =c_{A0} \times (1-x_{A} ) the residence time \tau is calculated by \frac{c_{A0} \times x_{f} }{-r_{A} }. And the reactor volume is \tau \times Q The calculated reactor volume V is 0.06 Cubic Meters.</t>
  </si>
  <si>
    <t>&lt;｜begin▁of▁sentence｜&gt;&lt;｜User｜&gt;Please calculate the reactor volume with following conditions？
It is planned to carry out the reaction A+B \longrightarrow C in CSTR. The experimentally determined reaction kinetic equation is -r_{A}=k\times c_{A}^1 kmol/(L*min), the reaction kinetic constant k=0.003.The initial concentration of raw material A c_{A0} is 6.27 kmol/m3., the conversion rate is 0.617. The feed volumetric flow rate Q is 0.032 kmol/m3.&lt;｜Assistant｜&gt;</t>
  </si>
  <si>
    <t>&lt;think&gt;
&lt;/think&gt;
For the PFR reactor,-r_{A} =k\times c_{A}^3\times c_{B}^2 kmol/(L*min), c_{A} =c_{A0} \times (1-x_{A} ), c_{B} =c_{B0} - c_{A0} \times x_{A}, the residence time \tau is obtained by c_{A0}\times\int_{0}^{x_{f}}\frac{dx_{A}}{-r_{A}}. The residence time \tau of the PFR reactor is 3.36 h.</t>
  </si>
  <si>
    <t>&lt;think&gt;
&lt;/think&gt;
For the PFR reactor,-r_{A} =k\times c_{A}^3\times c_{B}^2 kmol/(L*min), c_{A} =c_{A0} \times (1-x_{A} ), c_{B} =c_{B0} - c_{A0} \times x_{A}, the residence time \tau is obtained by c_{A0}\times\int_{0}^{x_{f}}\frac{dx_{A}}{-r_{A}}. The residence time \tau of the PFR reactor is 0.03 h.</t>
  </si>
  <si>
    <t>&lt;｜begin▁of▁sentence｜&gt;&lt;｜User｜&gt;Please calculate the residence time with following conditions?
It is planned to carry out the reaction A+B \longrightarrow C in PFR. The experimentally determined reaction kinetic equation is -r_{A}=k\times c_{A}^3\times c_{B}^2 kmol/(L*min), the reaction kinetic constant k=0.006.The initial concentration of raw material A c_{A0}0.68 kmol/m3, and the concentration of raw material B is c_{B0}5.14 kmol/m3., the conversion rate is 0.802. The feed volumetric flow rate Q is 0.599 kmol/m3.&lt;｜Assistant｜&gt;</t>
  </si>
  <si>
    <t>&lt;think&gt;
&lt;/think&gt;
For the PFR reactor,-r_{A} =k\times c_{A}^3 kmol/(L*min), c_{A} =c_{A0} \times (1-x_{A} ) ,the residence time \tau is obtained by c_{A0}\times\int_{0}^{x_{f}}\frac{dx_{A}}{-r_{A}}. And the reactor volume is \tau \times Q The calculated reactor volume V is 0.07 Cubic Meters.</t>
  </si>
  <si>
    <t>&lt;think&gt;
&lt;/think&gt;
For the PFR reactor,-r_{A} =k\times c_{A}^3 kmol/(L*min), c_{A} =c_{A0} \times (1-x_{A} ) ,the residence time \tau is obtained by c_{A0}\times\int_{0}^{x_{f}}\frac{dx_{A}}{-r_{A}}. And the reactor volume is \tau \times Q The calculated reactor volume V is 0.06 Cubic Meters.</t>
  </si>
  <si>
    <t>&lt;｜begin▁of▁sentence｜&gt;&lt;｜User｜&gt;Please calculate the reactor volume with following conditions？
It is planned to carry out the reaction A+B \longrightarrow C in PFR. The experimentally determined reaction kinetic equation is -r_{A}=k\times c_{A}^3 kmol/(L*min), the reaction kinetic constant k=0.006.The initial concentration of raw material A c_{A0} is 8.8 kmol/m3., the conversion rate is 0.588. The feed volumetric flow rate Q is 0.749 kmol/m3.&lt;｜Assistant｜&gt;</t>
  </si>
  <si>
    <t>&lt;think&gt;
&lt;/think&gt;
For the BR reactor,-r_{A} =k\times c_{A}^3\times c_{B}^2 kmol/(L*min), c_{A} =c_{A0} \times (1-x_{A} ), c_{B} =c_{B0} - c_{A0} \times x_{A}, the residence time \tau is obtained by c_{A0}\times\int_{0}^{x_{f}}\frac{dx_{A}}{-r_{A}}. The residence time \tau of the BR reactor is 26.13 h.</t>
  </si>
  <si>
    <t>&lt;think&gt;
&lt;/think&gt;
For the BR reactor,-r_{A} =k\times c_{A}^3\times c_{B}^2 kmol/(L*min), c_{A} =c_{A0} \times (1-x_{A} ), c_{B} =c_{B0} - c_{A0} \times x_{A}, the residence time \tau is obtained by c_{A0}\times\int_{0}^{x_{f}}\frac{dx_{A}}{-r_{A}}. The residence time \tau of the BR reactor is 21864.1 h.</t>
  </si>
  <si>
    <t>&lt;｜begin▁of▁sentence｜&gt;&lt;｜User｜&gt;Please calculate the residence time with following conditions?
It is planned to carry out the reaction A+B \longrightarrow C in BR. The experimentally determined reaction kinetic equation is -r_{A}=k\times c_{A}^3\times c_{B}^2 kmol/(L*min), the reaction kinetic constant k=0.002.The initial concentration of raw material A c_{A0}9.16 kmol/m3, and the concentration of raw material B is c_{B0}4.2 kmol/m3., the conversion rate is 0.974. The feed volumetric flow rate Q is 0.954 kmol/m3, the auxiliary production time t_{assist} is 3 h, and the loading factor f is 0.63.&lt;｜Assistant｜&gt;</t>
  </si>
  <si>
    <t>&lt;think&gt;
&lt;/think&gt;
For the PFR reactor,-r_{A} =k\times c_{A}^2 kmol/(L*min), c_{A} =c_{A0} \times (1-x_{A} ) ,the residence time \tau is obtained by c_{A0}\times\int_{0}^{x_{f}}\frac{dx_{A}}{-r_{A}}. And the reactor volume is \tau \times Q The calculated reactor volume V is 1.06 Cubic Meters.</t>
  </si>
  <si>
    <t>&lt;think&gt;
&lt;/think&gt;
The reactor volume is 0.51 Cubic Meters.</t>
  </si>
  <si>
    <t>&lt;｜begin▁of▁sentence｜&gt;&lt;｜User｜&gt;Please calculate the reactor volume with following conditions？
It is planned to carry out the reaction A+B \longrightarrow C in PFR. The experimentally determined reaction kinetic equation is -r_{A}=k\times c_{A}^2 kmol/(L*min), the reaction kinetic constant k=0.007.The initial concentration of raw material A c_{A0} is 2.1 kmol/m3., the conversion rate is 0.521. The feed volumetric flow rate Q is 0.859 kmol/m3.&lt;｜Assistant｜&gt;</t>
  </si>
  <si>
    <t>&lt;think&gt;
&lt;/think&gt;
For the BR reactor,-r_{A} =k\times c_{A}^2 kmol/(L*min), c_{A} =c_{A0} \times (1-x_{A} ) ,the residence time \tau is obtained by c_{A0}\times\int_{0}^{x_{f}}\frac{dx_{A}}{-r_{A}}. The residence time \tau of the BR reactor is 33.21 h.</t>
  </si>
  <si>
    <t>&lt;think&gt;
&lt;/think&gt;
For the BR reactor,-r_{A} =k\times c_{A}^2 kmol/(L*min), c_{A} =c_{A0} \times (1-x_{A} ) ,the residence time \tau is obtained by c_{A0}\times\int_{0}^{x_{f}}\frac{dx_{A}}{-r_{A}}. The residence time \tau of the BR reactor is 2.46 h.</t>
  </si>
  <si>
    <t>&lt;｜begin▁of▁sentence｜&gt;&lt;｜User｜&gt;Please calculate the residence time with following conditions?
It is planned to carry out the reaction A+B \longrightarrow C in BR. The experimentally determined reaction kinetic equation is -r_{A}=k\times c_{A}^2 kmol/(L*min), the reaction kinetic constant k=0.002.The initial concentration of raw material A c_{A0} is 1.4 kmol/m3., the conversion rate is 0.848. The feed volumetric flow rate Q is 0.178 kmol/m3, the auxiliary production time t_{assist} is 3 h, and the loading factor f is 0.43.&lt;｜Assistant｜&gt;</t>
  </si>
  <si>
    <t>&lt;think&gt;
&lt;/think&gt;
For the PFR reactor,-r_{A} =k\times c_{A}^1\times c_{B}^1 kmol/(L*min), c_{A} =c_{A0} \times (1-x_{A} ), c_{B} =c_{B0}- c_{A0} \times x_{A}, the residence time \tau is obtained by c_{A0}\times\int_{0}^{x_{f}}\frac{dx_{A}}{-r_{A}}. And the reactor volume is \tau \times Q The calculated reactor volume V is 0.59 Cubic Meters.</t>
  </si>
  <si>
    <t>&lt;think&gt;
&lt;/think&gt;
For the PFR reactor,-r_{A} =k\times c_{A}^1\times c_{B}^1 kmol/(L*min), c_{A} =c_{A0} \times (1-x_{A} ), c_{B} =c_{B0}- c_{A0} \times x_{A}, the residence time \tau is obtained by c_{A0}\times\int_{0}^{x_{f}}\frac{dx_{A}}{-r_{A}}. And the reactor volume is \tau \times Q The calculated reactor volume V is 1.36 Cubic Meters.</t>
  </si>
  <si>
    <t>&lt;｜begin▁of▁sentence｜&gt;&lt;｜User｜&gt;Please calculate the reactor volume with following conditions？
It is planned to carry out the reaction A+B \longrightarrow C in PFR. The experimentally determined reaction kinetic equation is -r_{A}=k\times c_{A}^1\times c_{B}^1 kmol/(L*min), the reaction kinetic constant k=0.008.The initial concentration of raw material A c_{A0}4.13 kmol/m3, and the concentration of raw material B is c_{B0}8.2 kmol/m3., the conversion rate is 0.844. The feed volumetric flow rate Q is 0.877 kmol/m3.&lt;｜Assistant｜&gt;</t>
  </si>
  <si>
    <t>&lt;think&gt;
&lt;/think&gt;
For the BR reactor,-r_{A} =k\times c_{A}^2 kmol/(L*min), c_{A} =c_{A0} \times (1-x_{A} ) ,the residence time \tau is obtained by c_{A0}\times\int_{0}^{x_{f}}\frac{dx_{A}}{-r_{A}}. And the reactor volume is \frac{(\tau + t_{assist} )\times Q}{f} The calculated reactor volume V is 5.84 Cubic Meters.</t>
  </si>
  <si>
    <t xml:space="preserve">&lt;think&gt;
&lt;/think&gt;
The reactor volume is 0.17 Cubic Meters.
</t>
  </si>
  <si>
    <t>&lt;｜begin▁of▁sentence｜&gt;&lt;｜User｜&gt;Please calculate the reactor volume with following conditions？
It is planned to carry out the reaction A+B \longrightarrow C in BR. The experimentally determined reaction kinetic equation is -r_{A}=k\times c_{A}^2 kmol/(L*min), the reaction kinetic constant k=0.008.The initial concentration of raw material A c_{A0} is 6.42 kmol/m3., the conversion rate is 0.796. The feed volumetric flow rate Q is 0.965 kmol/m3, the auxiliary production time t_{assist} is 2 h, and the loading factor f is 0.54.&lt;｜Assistant｜&gt;</t>
  </si>
  <si>
    <t>&lt;think&gt;
&lt;/think&gt;
For the PFR reactor,-r_{A} =k\times c_{A}^3\times c_{B}^3 kmol/(L*min), c_{A} =c_{A0} \times (1-x_{A} ), c_{B} =c_{B0} - c_{A0} \times x_{A}, the residence time \tau is obtained by c_{A0}\times\int_{0}^{x_{f}}\frac{dx_{A}}{-r_{A}}. The residence time \tau of the PFR reactor is 0.03 h.</t>
  </si>
  <si>
    <t>&lt;｜begin▁of▁sentence｜&gt;&lt;｜User｜&gt;Please calculate the residence time with following conditions?
It is planned to carry out the reaction A+B \longrightarrow C in PFR. The experimentally determined reaction kinetic equation is -r_{A}=k\times c_{A}^3\times c_{B}^3 kmol/(L*min), the reaction kinetic constant k=0.006.The initial concentration of raw material A c_{A0}2.41 kmol/m3, and the concentration of raw material B is c_{B0}4.32 kmol/m3., the conversion rate is 0.589. The feed volumetric flow rate Q is 0.977 kmol/m3.&lt;｜Assistant｜&gt;</t>
  </si>
  <si>
    <t>&lt;think&gt;
&lt;/think&gt;
For the CSTR reactor,-r_{A} =k\times c_{A}^2\times c_{B}^2 kmol/(L*min), c_{A} =c_{A0} \times (1-x_{A} ), c_{B} =c_{B0}- c_{A0} \times x_{A}, the residence time \tau is calculated by \frac{c_{A0} \times x_{f} }{-r_{A} }. The residence time \tau of the CSTR reactor is 6.2 h.</t>
  </si>
  <si>
    <t>&lt;think&gt;
&lt;/think&gt;
For the CSTR reactor,-r_{A} =k\times c_{A}^2\times c_{B}^2 kmol/(L*min), c_{A} =c_{A0} \times (1-x_{A} ), c_{B} =c_{B0}- c_{A0} \times x_{A}, the residence time \tau is calculated by \frac{c_{A0} \times x_{f} }{-r_{A} }. The residence time \tau of the CSTR reactor is 2.81 h.</t>
  </si>
  <si>
    <t>&lt;｜begin▁of▁sentence｜&gt;&lt;｜User｜&gt;Please calculate the residence time with following conditions?
It is planned to carry out the reaction A+B \longrightarrow C in CSTR. The experimentally determined reaction kinetic equation is -r_{A}=k\times c_{A}^2\times c_{B}^2 kmol/(L*min), the reaction kinetic constant k=0.003.The initial concentration of raw material A c_{A0}3.02 kmol/m3, and the concentration of raw material B is c_{B0}9.31 kmol/m3., the conversion rate is 0.92. The feed volumetric flow rate Q is 0.355 kmol/m3.&lt;｜Assistant｜&gt;</t>
  </si>
  <si>
    <t>&lt;think&gt;
&lt;/think&gt;
For the CSTR reactor,-r_{A} =k\times c_{A}^3\times c_{B}^3 kmol/(L*min), c_{A} =c_{A0} \times (1-x_{A} ), c_{B} =c_{B0}- c_{A0} \times x_{A}, the residence time \tau is calculated by \frac{c_{A0} \times x_{f} }{-r_{A} }. The residence time \tau of the CSTR reactor is 9.53 h.</t>
  </si>
  <si>
    <t>&lt;think&gt;
&lt;/think&gt;
For the CSTR reactor,-r_{A} =k\times c_{A}^3\times c_{B}^3 kmol/(L*min), c_{A} =c_{A0} \times (1-x_{A} ), c_{B} =c_{B0}, the residence time \tau is calculated by \frac{c_{A0} \times x_{f} }{-r_{A} }. The residence time \tau of the CSTR reactor is 0.42 h.</t>
  </si>
  <si>
    <t>&lt;｜begin▁of▁sentence｜&gt;&lt;｜User｜&gt;Please calculate the residence time with following conditions?
It is planned to carry out the reaction A+B \longrightarrow C in CSTR. The experimentally determined reaction kinetic equation is -r_{A}=k\times c_{A}^3\times c_{B}^3 kmol/(L*min), the reaction kinetic constant k=0.01.The initial concentration of raw material A c_{A0}0.62 kmol/m3, and the concentration of raw material B is c_{B0}4.66 kmol/m3., the conversion rate is 0.826. The feed volumetric flow rate Q is 0.239 kmol/m3.&lt;｜Assistant｜&gt;</t>
  </si>
  <si>
    <t>&lt;think&gt;
&lt;/think&gt;
For the PFR reactor,-r_{A} =k\times c_{A}^2 kmol/(L*min), c_{A} =c_{A0} \times (1-x_{A} ) ,the residence time \tau is obtained by c_{A0}\times\int_{0}^{x_{f}}\frac{dx_{A}}{-r_{A}}. The residence time \tau of the PFR reactor is 1.21 h.</t>
  </si>
  <si>
    <t>&lt;think&gt;
&lt;/think&gt;
For the PFR reactor,-r_{A} =k\times c_{A}^2 kmol/(L*min), c_{A} =c_{A0} \times (1-x_{A} ) ,the residence time \tau is obtained by c_{A0}\times\int_{0}^{x_{f}}\frac{dx_{A}}{-r_{A}}. The residence time \tau of the PFR reactor is 0.27 h.</t>
  </si>
  <si>
    <t>&lt;｜begin▁of▁sentence｜&gt;&lt;｜User｜&gt;Please calculate the residence time with following conditions?
It is planned to carry out the reaction A+B \longrightarrow C in PFR. The experimentally determined reaction kinetic equation is -r_{A}=k\times c_{A}^2 kmol/(L*min), the reaction kinetic constant k=0.006.The initial concentration of raw material A c_{A0} is 5.56 kmol/m3., the conversion rate is 0.707. The feed volumetric flow rate Q is 0.192 kmol/m3.&lt;｜Assistant｜&gt;</t>
  </si>
  <si>
    <t>&lt;think&gt;
&lt;/think&gt;
For the PFR reactor,-r_{A} =k\times c_{A}^2 kmol/(L*min), c_{A} =c_{A0} \times (1-x_{A} ) ,the residence time \tau is obtained by c_{A0}\times\int_{0}^{x_{f}}\frac{dx_{A}}{-r_{A}}. And the reactor volume is \tau \times Q The calculated reactor volume V is 0.52 Cubic Meters.</t>
  </si>
  <si>
    <t>&lt;think&gt;
&lt;/think&gt;
The reactor volume is 0.029 Cubic Meters.</t>
  </si>
  <si>
    <t>&lt;｜begin▁of▁sentence｜&gt;&lt;｜User｜&gt;Please calculate the reactor volume with following conditions？
It is planned to carry out the reaction A+B \longrightarrow C in PFR. The experimentally determined reaction kinetic equation is -r_{A}=k\times c_{A}^2 kmol/(L*min), the reaction kinetic constant k=0.006.The initial concentration of raw material A c_{A0} is 2.18 kmol/m3., the conversion rate is 0.85. The feed volumetric flow rate Q is 0.072 kmol/m3.&lt;｜Assistant｜&gt;</t>
  </si>
  <si>
    <t>&lt;think&gt;
&lt;/think&gt;
For the BR reactor,-r_{A} =k\times c_{A}^1 kmol/(L*min), c_{A} =c_{A0} \times (1-x_{A} ) ,the residence time \tau is obtained by c_{A0}\times\int_{0}^{x_{f}}\frac{dx_{A}}{-r_{A}}. And the reactor volume is \frac{(\tau + t_{assist} )\times Q}{f} The calculated reactor volume V is 2.43 Cubic Meters.</t>
  </si>
  <si>
    <t>&lt;think&gt;
&lt;/think&gt;
For the BR reactor,-r_{A} =k\times c_{A}^1 kmol/(L*min), c_{A} =c_{A0} \times (1-x_{A} ) ,the residence time \tau is obtained by c_{A0}\times\int_{0}^{x_{f}}\frac{dx_{A}}{-r_{A}}. And the reactor volume is \frac{(\tau + t_{assist} )\times Q}{f} The calculated reactor volume V is 2.81 Cubic Meters.</t>
  </si>
  <si>
    <t>&lt;｜begin▁of▁sentence｜&gt;&lt;｜User｜&gt;Please calculate the reactor volume with following conditions？
It is planned to carry out the reaction A+B \longrightarrow C in BR. The experimentally determined reaction kinetic equation is -r_{A}=k\times c_{A}^1 kmol/(L*min), the reaction kinetic constant k=0.006.The initial concentration of raw material A c_{A0} is 4.37 kmol/m3., the conversion rate is 0.521. The feed volumetric flow rate Q is 0.462 kmol/m3, the auxiliary production time t_{assist} is 2 h, and the loading factor f is 0.77.&lt;｜Assistant｜&gt;</t>
  </si>
  <si>
    <t>&lt;think&gt;
&lt;/think&gt;
For the PFR reactor,-r_{A} =k\times c_{A}^3 kmol/(L*min), c_{A} =c_{A0} \times (1-x_{A} ) ,the residence time \tau is obtained by c_{A0}\times\int_{0}^{x_{f}}\frac{dx_{A}}{-r_{A}}. The residence time \tau of the PFR reactor is 0.24 h.</t>
  </si>
  <si>
    <t>&lt;think&gt;
&lt;/think&gt;
For the PFR reactor,-r_{A} =k\times c_{A}^3 kmol/(L*min), c_{A} =c_{A0} \times (1-x_{A} ) ,the residence time \tau is obtained by c_{A0}\times\int_{0}^{x_{f}}\frac{dx_{A}}{-r_{A}}. The residence time \tau of the PFR reactor is 0.04 h.</t>
  </si>
  <si>
    <t>&lt;｜begin▁of▁sentence｜&gt;&lt;｜User｜&gt;Please calculate the residence time with following conditions?
It is planned to carry out the reaction A+B \longrightarrow C in PFR. The experimentally determined reaction kinetic equation is -r_{A}=k\times c_{A}^3 kmol/(L*min), the reaction kinetic constant k=0.003.The initial concentration of raw material A c_{A0} is 7.96 kmol/m3., the conversion rate is 0.61. The feed volumetric flow rate Q is 0.062 kmol/m3.&lt;｜Assistant｜&gt;</t>
  </si>
  <si>
    <t>&lt;think&gt;
&lt;/think&gt;
For the BR reactor,-r_{A} =k\times c_{A}^1\times c_{B}^2 kmol/(L*min), c_{A} =c_{A0} \times (1-x_{A} ), c_{B} =c_{B0} - c_{A0} \times x_{A}, the residence time \tau is obtained by c_{A0}\times\int_{0}^{x_{f}}\frac{dx_{A}}{-r_{A}}. The residence time \tau of the BR reactor is 10.33 h.</t>
  </si>
  <si>
    <t>&lt;think&gt;
&lt;/think&gt;
For the BR reactor,-r_{A} =k\times c_{A}^1\times c_{B}^2 kmol/(L*min), c_{A} =c_{A0} \times (1-x_{A} ), c_{B} =c_{B0} - c_{A0} \times x_{A}, the residence time \tau is obtained by c_{A0}\times\int_{0}^{x_{f}}\frac{dx_{A}}{-r_{A}}. The residence time \tau of the BR reactor is 0.02 h.</t>
  </si>
  <si>
    <t>&lt;｜begin▁of▁sentence｜&gt;&lt;｜User｜&gt;Please calculate the residence time with following conditions?
It is planned to carry out the reaction A+B \longrightarrow C in BR. The experimentally determined reaction kinetic equation is -r_{A}=k\times c_{A}^1\times c_{B}^2 kmol/(L*min), the reaction kinetic constant k=0.008.The initial concentration of raw material A c_{A0}8.74 kmol/m3, and the concentration of raw material B is c_{B0}8.84 kmol/m3., the conversion rate is 0.971. The feed volumetric flow rate Q is 0.594 kmol/m3, the auxiliary production time t_{assist} is 1 h, and the loading factor f is 0.67.&lt;｜Assistant｜&gt;</t>
  </si>
  <si>
    <t>&lt;think&gt;
&lt;/think&gt;
For the PFR reactor,-r_{A} =k\times c_{A}^3 kmol/(L*min), c_{A} =c_{A0} \times (1-x_{A} ) ,the residence time \tau is obtained by c_{A0}\times\int_{0}^{x_{f}}\frac{dx_{A}}{-r_{A}}. And the reactor volume is \tau \times Q The calculated reactor volume V is 0.36 Cubic Meters.</t>
  </si>
  <si>
    <t>&lt;｜begin▁of▁sentence｜&gt;&lt;｜User｜&gt;Please calculate the reactor volume with following conditions？
It is planned to carry out the reaction A+B \longrightarrow C in PFR. The experimentally determined reaction kinetic equation is -r_{A}=k\times c_{A}^3 kmol/(L*min), the reaction kinetic constant k=0.008.The initial concentration of raw material A c_{A0} is 4.13 kmol/m3., the conversion rate is 0.674. The feed volumetric flow rate Q is 0.709 kmol/m3.&lt;｜Assistant｜&gt;</t>
  </si>
  <si>
    <t>&lt;think&gt;
&lt;/think&gt;
For the CSTR reactor,-r_{A} =k\times c_{A}^2 kmol/(L*min), c_{A} =c_{A0} \times (1-x_{A} ) the residence time \tau is calculated by \frac{c_{A0} \times x_{f} }{-r_{A} }. And the reactor volume is \tau \times Q The calculated reactor volume V is 31.94 Cubic Meters.</t>
  </si>
  <si>
    <t>&lt;think&gt;
&lt;/think&gt;
The reactor volume is 0.82 Cubic Meters.</t>
  </si>
  <si>
    <t>&lt;｜begin▁of▁sentence｜&gt;&lt;｜User｜&gt;Please calculate the reactor volume with following conditions？
It is planned to carry out the reaction A+B \longrightarrow C in CSTR. The experimentally determined reaction kinetic equation is -r_{A}=k\times c_{A}^2 kmol/(L*min), the reaction kinetic constant k=0.01.The initial concentration of raw material A c_{A0} is 3.01 kmol/m3., the conversion rate is 0.877. The feed volumetric flow rate Q is 0.995 kmol/m3.&lt;｜Assistant｜&gt;</t>
  </si>
  <si>
    <t>&lt;think&gt;
&lt;/think&gt;
For the CSTR reactor,-r_{A} =k\times c_{A}^1 kmol/(L*min), c_{A} =c_{A0} \times (1-x_{A} ) the residence time \tau is calculated by \frac{c_{A0} \times x_{f} }{-r_{A} } . The residence time \tau of the CSTR reactor is 29.55 h.</t>
  </si>
  <si>
    <t>&lt;think&gt;
&lt;/think&gt;
For the CSTR reactor,-r_{A} =k\times c_{A}^1 kmol/(L*min), c_{A} =c_{A0} \times (1-x_{A} ) the residence time \tau is calculated by \frac{c_{A0} \times x_{f} }{-r_{A} }. The residence time \tau of the CSTR reactor is 12.2 h.</t>
  </si>
  <si>
    <t>&lt;｜begin▁of▁sentence｜&gt;&lt;｜User｜&gt;Please calculate the residence time with following conditions?
It is planned to carry out the reaction A+B \longrightarrow C in CSTR. The experimentally determined reaction kinetic equation is -r_{A}=k\times c_{A}^1 kmol/(L*min), the reaction kinetic constant k=0.002.The initial concentration of raw material A c_{A0} is 5.02 kmol/m3., the conversion rate is 0.78. The feed volumetric flow rate Q is 0.595 kmol/m3.&lt;｜Assistant｜&gt;</t>
  </si>
  <si>
    <t>&lt;think&gt;
&lt;/think&gt;
For the CSTR reactor,-r_{A} =k\times c_{A}^2\times c_{B}^1 kmol/(L*min), c_{A} =c_{A0} \times (1-x_{A} ), c_{B} =c_{B0}- c_{A0} \times x_{A}, the residence time \tau is calculated by \frac{c_{A0} \times x_{f} }{-r_{A} }. And the reactor volume is \tau \times Q The calculated reactor volume V is 3.29 Cubic Meters.</t>
  </si>
  <si>
    <t>&lt;think&gt;
&lt;/think&gt;
For the CSTR reactor,-r_{A} =k\times c_{A}^2\times c_{B}^1 kmol/(L*min), c_{A} =c_{A0} \times (1-x_{A} ), c_{B} =c_{B0}- c_{A0} \times x_{A}, the residence time \tau is calculated by \frac{c_{A0} \times x_{f} }{-r_{A} }. And the reactor volume is \tau \times Q The calculated reactor volume V is 0.04 Cubic Meters.</t>
  </si>
  <si>
    <t>&lt;｜begin▁of▁sentence｜&gt;&lt;｜User｜&gt;Please calculate the reactor volume with following conditions？
It is planned to carry out the reaction A+B \longrightarrow C in CSTR. The experimentally determined reaction kinetic equation is -r_{A}=k\times c_{A}^2\times c_{B}^1 kmol/(L*min), the reaction kinetic constant k=0.004.The initial concentration of raw material A c_{A0}1.18 kmol/m3, and the concentration of raw material B is c_{B0}2.68 kmol/m3., the conversion rate is 0.688. The feed volumetric flow rate Q is 0.246 kmol/m3.&lt;｜Assistant｜&gt;</t>
  </si>
  <si>
    <t>&lt;think&gt;
&lt;/think&gt;
For the CSTR reactor,-r_{A} =k\times c_{A}^2\times c_{B}^2 kmol/(L*min), c_{A} =c_{A0} \times (1-x_{A} ), c_{B} =c_{B0}- c_{A0} \times x_{A}, the residence time \tau is calculated by \frac{c_{A0} \times x_{f} }{-r_{A} }. And the reactor volume is \tau \times Q The calculated reactor volume V is 9.62 Cubic Meters.</t>
  </si>
  <si>
    <t>&lt;think&gt;
&lt;/think&gt;
For the CSTR reactor,-r_{A} =k\times c_{A}^2\times c_{B}^2 kmol/(L*min), c_{A} =c_{A0} \times (1-x_{A} ), c_{B} =c_{B0}- c_{A0} \times x_{A}, the residence time \tau is calculated by \frac{c_{A0} \times x_{f} }{-r_{A} }. And the reactor volume is \tau \times Q The calculated reactor volume V is 0.26 Cubic Meters.</t>
  </si>
  <si>
    <t>&lt;｜begin▁of▁sentence｜&gt;&lt;｜User｜&gt;Please calculate the reactor volume with following conditions？
It is planned to carry out the reaction A+B \longrightarrow C in CSTR. The experimentally determined reaction kinetic equation is -r_{A}=k\times c_{A}^2\times c_{B}^2 kmol/(L*min), the reaction kinetic constant k=0.004.The initial concentration of raw material A c_{A0}1.91 kmol/m3, and the concentration of raw material B is c_{B0}1.67 kmol/m3., the conversion rate is 0.587. The feed volumetric flow rate Q is 0.386 kmol/m3.&lt;｜Assistant｜&gt;</t>
  </si>
  <si>
    <t>&lt;think&gt;
&lt;/think&gt;
For the PFR reactor,-r_{A} =k\times c_{A}^1 kmol/(L*min), c_{A} =c_{A0} \times (1-x_{A} ) ,the residence time \tau is obtained by c_{A0}\times\int_{0}^{x_{f}}\frac{dx_{A}}{-r_{A}}. The residence time \tau of the PFR reactor is 1.23 h.</t>
  </si>
  <si>
    <t>&lt;think&gt;
&lt;/think&gt;
For the PFR reactor,-r_{A} =k\times c_{A}^1 kmol/(L*min), c_{A} =c_{A0} \times (1-x_{A} ) ,the residence time \tau is obtained by c_{A0}\times\int_{0}^{x_{f}}\frac{dx_{A}}{-r_{A}}. The residence time \tau of the PFR reactor is 0.5 h.</t>
  </si>
  <si>
    <t>&lt;｜begin▁of▁sentence｜&gt;&lt;｜User｜&gt;Please calculate the residence time with following conditions?
It is planned to carry out the reaction A+B \longrightarrow C in PFR. The experimentally determined reaction kinetic equation is -r_{A}=k\times c_{A}^1 kmol/(L*min), the reaction kinetic constant k=0.01.The initial concentration of raw material A c_{A0} is 3.05 kmol/m3., the conversion rate is 0.521. The feed volumetric flow rate Q is 0.673 kmol/m3.&lt;｜Assistant｜&gt;</t>
  </si>
  <si>
    <t>&lt;think&gt;
&lt;/think&gt;
For the BR reactor,-r_{A} =k\times c_{A}^1 kmol/(L*min), c_{A} =c_{A0} \times (1-x_{A} ) ,the residence time \tau is obtained by c_{A0}\times\int_{0}^{x_{f}}\frac{dx_{A}}{-r_{A}}. The residence time \tau of the BR reactor is 2.15 h.</t>
  </si>
  <si>
    <t>&lt;think&gt;
&lt;/think&gt;
For the BR reactor,-r_{A} =k\times c_{A}^1 kmol/(L*min), c_{A} =c_{A0} \times (1-x_{A} ) ,the residence time \tau is obtained by c_{A0}\times\int_{0}^{x_{f}}\frac{dx_{A}}{-r_{A}}. The residence time \tau of the BR reactor is 1.8 h.</t>
  </si>
  <si>
    <t>&lt;｜begin▁of▁sentence｜&gt;&lt;｜User｜&gt;Please calculate the residence time with following conditions?
It is planned to carry out the reaction A+B \longrightarrow C in BR. The experimentally determined reaction kinetic equation is -r_{A}=k\times c_{A}^1 kmol/(L*min), the reaction kinetic constant k=0.009.The initial concentration of raw material A c_{A0} is 3.42 kmol/m3., the conversion rate is 0.687. The feed volumetric flow rate Q is 0.462 kmol/m3, the auxiliary production time t_{assist} is 3 h, and the loading factor f is 0.57.&lt;｜Assistant｜&gt;</t>
  </si>
  <si>
    <t>&lt;think&gt;
&lt;/think&gt;
For the CSTR reactor,-r_{A} =k\times c_{A}^3\times c_{B}^2 kmol/(L*min), c_{A} =c_{A0} \times (1-x_{A} ), c_{B} =c_{B0}- c_{A0} \times x_{A}, the residence time \tau is calculated by \frac{c_{A0} \times x_{f} }{-r_{A} }. And the reactor volume is \tau \times Q The calculated reactor volume V is 0.86 Cubic Meters.</t>
  </si>
  <si>
    <t>&lt;think&gt;
&lt;/think&gt;
For the CSTR reactor,-r_{A} =k\times c_{A}^3\times c_{B}^2 kmol/(L*min), c_{A} =c_{A0} \times (1-x_{A} ), c_{B} =c_{B0}- c_{A0} \times x_{A}, the residence time \tau is calculated by \frac{c_{A0} \times x_{f} }{-r_{A} }. And the reactor volume is \tau \times Q The calculated reactor volume V is 0.04 Cubic Meters.</t>
  </si>
  <si>
    <t>&lt;｜begin▁of▁sentence｜&gt;&lt;｜User｜&gt;Please calculate the reactor volume with following conditions？
It is planned to carry out the reaction A+B \longrightarrow C in CSTR. The experimentally determined reaction kinetic equation is -r_{A}=k\times c_{A}^3\times c_{B}^2 kmol/(L*min), the reaction kinetic constant k=0.001.The initial concentration of raw material A c_{A0}0.8 kmol/m3, and the concentration of raw material B is c_{B0}8.12 kmol/m3., the conversion rate is 0.571. The feed volumetric flow rate Q is 0.268 kmol/m3.&lt;｜Assistant｜&gt;</t>
  </si>
  <si>
    <t>&lt;think&gt;
&lt;/think&gt;
For the CSTR reactor,-r_{A} =k\times c_{A}^2 kmol/(L*min), c_{A} =c_{A0} \times (1-x_{A} ) the residence time \tau is calculated by \frac{c_{A0} \times x_{f} }{-r_{A} }. And the reactor volume is \tau \times Q The calculated reactor volume V is 11462.34 Cubic Meters.</t>
  </si>
  <si>
    <t>&lt;think&gt;
&lt;/think&gt;
The reactor volume is 0.01 Cubic Meters.</t>
  </si>
  <si>
    <t>&lt;｜begin▁of▁sentence｜&gt;&lt;｜User｜&gt;Please calculate the reactor volume with following conditions？
It is planned to carry out the reaction A+B \longrightarrow C in CSTR. The experimentally determined reaction kinetic equation is -r_{A}=k\times c_{A}^2 kmol/(L*min), the reaction kinetic constant k=0.005.The initial concentration of raw material A c_{A0} is 9.16 kmol/m3., the conversion rate is 0.996. The feed volumetric flow rate Q is 0.506 kmol/m3.&lt;｜Assistant｜&gt;</t>
  </si>
  <si>
    <t>&lt;think&gt;
&lt;/think&gt;
For the PFR reactor,-r_{A} =k\times c_{A}^1\times c_{B}^2 kmol/(L*min), c_{A} =c_{A0} \times (1-x_{A} ), c_{B} =c_{B0} - c_{A0} \times x_{A}, the residence time \tau is obtained by c_{A0}\times\int_{0}^{x_{f}}\frac{dx_{A}}{-r_{A}}. The residence time \tau of the PFR reactor is 0.43 h.</t>
  </si>
  <si>
    <t>&lt;think&gt;
&lt;/think&gt;
For the PFR reactor,-r_{A} =k\times c_{A}^1\times c_{B}^2 kmol/(L*min), c_{A} =c_{A0} \times (1-x_{A} ), c_{B} =c_{B0} - c_{A0} \times x_{A}, the residence time \tau is obtained by c_{A0}\times\int_{0}^{x_{f}}\frac{dx_{A}}{-r_{A}}. The residence time \tau of the PFR reactor is 0.01 h.</t>
  </si>
  <si>
    <t>&lt;｜begin▁of▁sentence｜&gt;&lt;｜User｜&gt;Please calculate the residence time with following conditions?
It is planned to carry out the reaction A+B \longrightarrow C in PFR. The experimentally determined reaction kinetic equation is -r_{A}=k\times c_{A}^1\times c_{B}^2 kmol/(L*min), the reaction kinetic constant k=0.008.The initial concentration of raw material A c_{A0}3.83 kmol/m3, and the concentration of raw material B is c_{B0}3.72 kmol/m3., the conversion rate is 0.605. The feed volumetric flow rate Q is 0.566 kmol/m3.&lt;｜Assistant｜&gt;</t>
  </si>
  <si>
    <t>&lt;think&gt;
&lt;/think&gt;
For the BR reactor,-r_{A} =k\times c_{A}^1 kmol/(L*min), c_{A} =c_{A0} \times (1-x_{A} ) ,the residence time \tau is obtained by c_{A0}\times\int_{0}^{x_{f}}\frac{dx_{A}}{-r_{A}}. The residence time \tau of the BR reactor is 3.21 h.</t>
  </si>
  <si>
    <t>&lt;think&gt;
&lt;/think&gt;
For the BR reactor,-r_{A} =k\times c_{A}^1 kmol/(L*min), c_{A} =c_{A0} \times (1-x_{A} ) ,the residence time \tau is obtained by c_{A0}\times\int_{0}^{x_{f}}\frac{dx_{A}}{-r_{A}}. The residence time \tau of the BR reactor is 3.0 h.</t>
  </si>
  <si>
    <t>&lt;｜begin▁of▁sentence｜&gt;&lt;｜User｜&gt;Please calculate the residence time with following conditions?
It is planned to carry out the reaction A+B \longrightarrow C in BR. The experimentally determined reaction kinetic equation is -r_{A}=k\times c_{A}^1 kmol/(L*min), the reaction kinetic constant k=0.007.The initial concentration of raw material A c_{A0} is 5.11 kmol/m3., the conversion rate is 0.74. The feed volumetric flow rate Q is 0.269 kmol/m3, the auxiliary production time t_{assist} is 2 h, and the loading factor f is 0.57.&lt;｜Assistant｜&gt;</t>
  </si>
  <si>
    <t>&lt;think&gt;
&lt;/think&gt;
For the CSTR reactor,-r_{A} =k\times c_{A}^3 kmol/(L*min), c_{A} =c_{A0} \times (1-x_{A} ) the residence time \tau is calculated by \frac{c_{A0} \times x_{f} }{-r_{A} }. And the reactor volume is \tau \times Q The calculated reactor volume V is 4.06 Cubic Meters.</t>
  </si>
  <si>
    <t>&lt;think&gt;
&lt;/think&gt;
The reactor volume is 0.11 Cubic Meters.</t>
  </si>
  <si>
    <t>&lt;｜begin▁of▁sentence｜&gt;&lt;｜User｜&gt;Please calculate the reactor volume with following conditions？
It is planned to carry out the reaction A+B \longrightarrow C in CSTR. The experimentally determined reaction kinetic equation is -r_{A}=k\times c_{A}^3 kmol/(L*min), the reaction kinetic constant k=0.006.The initial concentration of raw material A c_{A0} is 3.97 kmol/m3., the conversion rate is 0.691. The feed volumetric flow rate Q is 0.984 kmol/m3.&lt;｜Assistant｜&gt;</t>
  </si>
  <si>
    <t>&lt;think&gt;
&lt;/think&gt;
For the CSTR reactor,-r_{A} =k\times c_{A}^2 kmol/(L*min), c_{A} =c_{A0} \times (1-x_{A} ) the residence time \tau is calculated by \frac{c_{A0} \times x_{f} }{-r_{A} } . The residence time \tau of the CSTR reactor is 150.9 h.</t>
  </si>
  <si>
    <t>&lt;think&gt;
&lt;/think&gt;
For the CSTR reactor,-r_{A} =k\times c_{A}^2 kmol/(L*min), c_{A} =c_{A0} \times (1-x_{A} ) the residence time \tau is calculated by \frac{c_{A0} \times x_{f} }{-r_{A} }. The residence time \tau of the CSTR reactor is 16.05 h.</t>
  </si>
  <si>
    <t>&lt;｜begin▁of▁sentence｜&gt;&lt;｜User｜&gt;Please calculate the residence time with following conditions?
It is planned to carry out the reaction A+B \longrightarrow C in CSTR. The experimentally determined reaction kinetic equation is -r_{A}=k\times c_{A}^2 kmol/(L*min), the reaction kinetic constant k=0.001.The initial concentration of raw material A c_{A0} is 2.16 kmol/m3., the conversion rate is 0.798. The feed volumetric flow rate Q is 0.4 kmol/m3.&lt;｜Assistant｜&gt;</t>
  </si>
  <si>
    <t>&lt;think&gt;
&lt;/think&gt;
For the CSTR reactor,-r_{A} =k\times c_{A}^3 kmol/(L*min), c_{A} =c_{A0} \times (1-x_{A} ) the residence time \tau is calculated by \frac{c_{A0} \times x_{f} }{-r_{A} }. And the reactor volume is \tau \times Q The calculated reactor volume V is 0.26 Cubic Meters.</t>
  </si>
  <si>
    <t>&lt;think&gt;
&lt;/think&gt;
For the CSTR reactor,-r_{A} =k\times c_{A}^3 kmol/(L*min), c_{A} =c_{A0} \times (1-x_{A} ) the residence time \tau is calculated by \frac{c_{A0} \times x_{f} }{-r_{A} }. And the reactor volume is \tau \times Q The calculated reactor volume V is 0.25 Cubic Meters.</t>
  </si>
  <si>
    <t>&lt;｜begin▁of▁sentence｜&gt;&lt;｜User｜&gt;Please calculate the reactor volume with following conditions？
It is planned to carry out the reaction A+B \longrightarrow C in CSTR. The experimentally determined reaction kinetic equation is -r_{A}=k\times c_{A}^3 kmol/(L*min), the reaction kinetic constant k=0.009.The initial concentration of raw material A c_{A0} is 4.44 kmol/m3., the conversion rate is 0.58. The feed volumetric flow rate Q is 0.348 kmol/m3.&lt;｜Assistant｜&gt;</t>
  </si>
  <si>
    <t>&lt;think&gt;
&lt;/think&gt;
For the CSTR reactor,-r_{A} =k\times c_{A}^2 kmol/(L*min), c_{A} =c_{A0} \times (1-x_{A} ) the residence time \tau is calculated by \frac{c_{A0} \times x_{f} }{-r_{A} } . The residence time \tau of the CSTR reactor is 24.13 h.</t>
  </si>
  <si>
    <t>&lt;think&gt;
&lt;/think&gt;
For the CSTR reactor,-r_{A} =k\times c_{A}^2 kmol/(L*min), c_{A} =c_{A0} \times (1-x_{A} ) the residence time \tau is calculated by \frac{c_{A0} \times x_{f} }{-r_{A} } . The residence time \tau of the CSTR reactor is 20.72 h.</t>
  </si>
  <si>
    <t>&lt;｜begin▁of▁sentence｜&gt;&lt;｜User｜&gt;Please calculate the residence time with following conditions?
It is planned to carry out the reaction A+B \longrightarrow C in CSTR. The experimentally determined reaction kinetic equation is -r_{A}=k\times c_{A}^2 kmol/(L*min), the reaction kinetic constant k=0.004.The initial concentration of raw material A c_{A0} is 1.89 kmol/m3., the conversion rate is 0.74. The feed volumetric flow rate Q is 0.208 kmol/m3.&lt;｜Assistant｜&gt;</t>
  </si>
  <si>
    <t>&lt;think&gt;
&lt;/think&gt;
For the CSTR reactor,-r_{A} =k\times c_{A}^2 kmol/(L*min), c_{A} =c_{A0} \times (1-x_{A} ) the residence time \tau is calculated by \frac{c_{A0} \times x_{f} }{-r_{A} } . The residence time \tau of the CSTR reactor is 1828.26 h.</t>
  </si>
  <si>
    <t>&lt;think&gt;
&lt;/think&gt;
For the CSTR reactor,-r_{A} =k\times c_{A}^2 kmol/(L*min), c_{A} =c_{A0} \times (1-x_{A} ) the residence time \tau is calculated by \frac{c_{A0} \times x_{f} }{-r_{A} }. The residence time \tau of the CSTR reactor is 30.39 h.</t>
  </si>
  <si>
    <t>&lt;｜begin▁of▁sentence｜&gt;&lt;｜User｜&gt;Please calculate the residence time with following conditions?
It is planned to carry out the reaction A+B \longrightarrow C in CSTR. The experimentally determined reaction kinetic equation is -r_{A}=k\times c_{A}^2 kmol/(L*min), the reaction kinetic constant k=0.002.The initial concentration of raw material A c_{A0} is 0.84 kmol/m3., the conversion rate is 0.929. The feed volumetric flow rate Q is 0.728 kmol/m3.&lt;｜Assistant｜&gt;</t>
  </si>
  <si>
    <t>&lt;think&gt;
&lt;/think&gt;
For the PFR reactor,-r_{A} =k\times c_{A}^3\times c_{B}^2 kmol/(L*min), c_{A} =c_{A0} \times (1-x_{A} ), c_{B} =c_{B0}- c_{A0} \times x_{A}, the residence time \tau is obtained by c_{A0}\times\int_{0}^{x_{f}}\frac{dx_{A}}{-r_{A}}. And the reactor volume is \tau \times Q The calculated reactor volume V is 0.07 Cubic Meters.</t>
  </si>
  <si>
    <t>&lt;think&gt;
&lt;/think&gt;
For the PFR reactor,-r_{A} =k\times c_{A}^3\times c_{B}^2 kmol/(L*min), c_{A} =c_{A0} \times (1-x_{A} ), c_{B} =c_{B0}- c_{A0} \times x_{A}, the residence time \tau is obtained by c_{A0}\times\int_{0}^{x_{f}}\frac{dx_{A}}{-r_{A}}. And the reactor volume is \tau \times Q The calculated reactor volume V is 0.13 Cubic Meters.</t>
  </si>
  <si>
    <t>&lt;｜begin▁of▁sentence｜&gt;&lt;｜User｜&gt;Please calculate the reactor volume with following conditions？
It is planned to carry out the reaction A+B \longrightarrow C in PFR. The experimentally determined reaction kinetic equation is -r_{A}=k\times c_{A}^3\times c_{B}^2 kmol/(L*min), the reaction kinetic constant k=0.002.The initial concentration of raw material A c_{A0}7.22 kmol/m3, and the concentration of raw material B is c_{B0}4.84 kmol/m3., the conversion rate is 0.516. The feed volumetric flow rate Q is 0.949 kmol/m3.&lt;｜Assistant｜&gt;</t>
  </si>
  <si>
    <t>&lt;think&gt;
&lt;/think&gt;
For the BR reactor,-r_{A} =k\times c_{A}^3\times c_{B}^2 kmol/(L*min), c_{A} =c_{A0} \times (1-x_{A} ), c_{B} =c_{B0}- c_{A0} \times x_{A}, the residence time \tau is obtained by c_{A0}\times\int_{0}^{x_{f}}\frac{dx_{A}}{-r_{A}}. And the reactor volume is \frac{(\tau + t_{assist} )\times Q}{f} The calculated reactor volume V is 2.58 Cubic Meters.</t>
  </si>
  <si>
    <t>&lt;think&gt;
&lt;/think&gt;
For the BR reactor,-r_{A} =k\times c_{A}^3\times c_{B}^2 kmol/(L*min), c_{A} =c_{A0} \times (1-x_{A} ), c_{B} =c_{B0}- c_{A0} \times x_{A}, the residence time \tau is obtained by c_{A0}\times\int_{0}^{x_{f}}\frac{dx_{A}}{-r_{A}}. And the reactor volume is \frac{(\tau + t_{assist} )\times Q}{f} The calculated reactor volume V is 3.83 Cubic Meters.</t>
  </si>
  <si>
    <t>&lt;｜begin▁of▁sentence｜&gt;&lt;｜User｜&gt;Please calculate the reactor volume with following conditions？
It is planned to carry out the reaction A+B \longrightarrow C in BR. The experimentally determined reaction kinetic equation is -r_{A}=k\times c_{A}^3\times c_{B}^2 kmol/(L*min), the reaction kinetic constant k=0.006.The initial concentration of raw material A c_{A0}1.7 kmol/m3, and the concentration of raw material B is c_{B0}4.64 kmol/m3., the conversion rate is 0.691. The feed volumetric flow rate Q is 0.686 kmol/m3, the auxiliary production time t_{assist} is 2 h, and the loading factor f is 0.62.&lt;｜Assistant｜&gt;</t>
  </si>
  <si>
    <t>&lt;think&gt;
&lt;/think&gt;
For the PFR reactor,-r_{A} =k\times c_{A}^3\times c_{B}^2 kmol/(L*min), c_{A} =c_{A0} \times (1-x_{A} ), c_{B} =c_{B0}- c_{A0} \times x_{A}, the residence time \tau is obtained by c_{A0}\times\int_{0}^{x_{f}}\frac{dx_{A}}{-r_{A}}. And the reactor volume is \tau \times Q The calculated reactor volume V is 0.15 Cubic Meters.</t>
  </si>
  <si>
    <t>&lt;think&gt;
&lt;/think&gt;
For the PFR reactor,-r_{A} =k\times c_{A}^3\times c_{B}^2 kmol/(L*min), c_{A} =c_{A0} \times (1-x_{A} ), c_{B} =c_{B0}- c_{A0} \times x_{A}, the residence time \tau is obtained by c_{A0}\times\int_{0}^{x_{f}}\frac{dx_{A}}{-r_{A}}. And the reactor volume is \tau \times Q The calculated reactor volume V is 1.21 Cubic Meters.</t>
  </si>
  <si>
    <t>&lt;｜begin▁of▁sentence｜&gt;&lt;｜User｜&gt;Please calculate the reactor volume with following conditions？
It is planned to carry out the reaction A+B \longrightarrow C in PFR. The experimentally determined reaction kinetic equation is -r_{A}=k\times c_{A}^3\times c_{B}^2 kmol/(L*min), the reaction kinetic constant k=0.004.The initial concentration of raw material A c_{A0}9.7 kmol/m3, and the concentration of raw material B is c_{B0}9.52 kmol/m3., the conversion rate is 0.837. The feed volumetric flow rate Q is 0.751 kmol/m3.&lt;｜Assistant｜&gt;</t>
  </si>
  <si>
    <t>&lt;think&gt;
&lt;/think&gt;
For the CSTR reactor,-r_{A} =k\times c_{A}^1 kmol/(L*min), c_{A} =c_{A0} \times (1-x_{A} ) the residence time \tau is calculated by \frac{c_{A0} \times x_{f} }{-r_{A} } . The residence time \tau of the CSTR reactor is 11.23 h.</t>
  </si>
  <si>
    <t>&lt;think&gt;
&lt;/think&gt;
For the CSTR reactor,-r_{A} =k\times c_{A}^1 kmol/(L*min), c_{A} =c_{A0} \times (1-x_{A} ) the residence time \tau is calculated by \frac{c_{A0} \times x_{f} }{-r_{A} }. The residence time \tau of the CSTR reactor is 38.32 h.</t>
  </si>
  <si>
    <t>&lt;｜begin▁of▁sentence｜&gt;&lt;｜User｜&gt;Please calculate the residence time with following conditions?
It is planned to carry out the reaction A+B \longrightarrow C in CSTR. The experimentally determined reaction kinetic equation is -r_{A}=k\times c_{A}^1 kmol/(L*min), the reaction kinetic constant k=0.002.The initial concentration of raw material A c_{A0} is 2.99 kmol/m3., the conversion rate is 0.574. The feed volumetric flow rate Q is 0.25 kmol/m3.&lt;｜Assistant｜&gt;</t>
  </si>
  <si>
    <t>&lt;think&gt;
&lt;/think&gt;
For the PFR reactor,-r_{A} =k\times c_{A}^2 kmol/(L*min), c_{A} =c_{A0} \times (1-x_{A} ) ,the residence time \tau is obtained by c_{A0}\times\int_{0}^{x_{f}}\frac{dx_{A}}{-r_{A}}. And the reactor volume is \tau \times Q The calculated reactor volume V is 0.03 Cubic Meters.</t>
  </si>
  <si>
    <t>&lt;think&gt;
&lt;/think&gt;
The reactor volume is 0.03 Cubic Meters.</t>
  </si>
  <si>
    <t>&lt;｜begin▁of▁sentence｜&gt;&lt;｜User｜&gt;Please calculate the reactor volume with following conditions？
It is planned to carry out the reaction A+B \longrightarrow C in PFR. The experimentally determined reaction kinetic equation is -r_{A}=k\times c_{A}^2 kmol/(L*min), the reaction kinetic constant k=0.008.The initial concentration of raw material A c_{A0} is 4.45 kmol/m3., the conversion rate is 0.715. The feed volumetric flow rate Q is 0.024 kmol/m3.&lt;｜Assistant｜&gt;</t>
  </si>
  <si>
    <t>&lt;think&gt;
&lt;/think&gt;
For the BR reactor,-r_{A} =k\times c_{A}^1\times c_{B}^2 kmol/(L*min), c_{A} =c_{A0} \times (1-x_{A} ), c_{B} =c_{B0} - c_{A0} \times x_{A}, the residence time \tau is obtained by c_{A0}\times\int_{0}^{x_{f}}\frac{dx_{A}}{-r_{A}}. The residence time \tau of the BR reactor is 0.86 h.</t>
  </si>
  <si>
    <t>&lt;｜begin▁of▁sentence｜&gt;&lt;｜User｜&gt;Please calculate the residence time with following conditions?
It is planned to carry out the reaction A+B \longrightarrow C in BR. The experimentally determined reaction kinetic equation is -r_{A}=k\times c_{A}^1\times c_{B}^2 kmol/(L*min), the reaction kinetic constant k=0.003.The initial concentration of raw material A c_{A0}6.87 kmol/m3, and the concentration of raw material B is c_{B0}4.69 kmol/m3., the conversion rate is 0.513. The feed volumetric flow rate Q is 0.642 kmol/m3, the auxiliary production time t_{assist} is 4 h, and the loading factor f is 0.78.&lt;｜Assistant｜&gt;</t>
  </si>
  <si>
    <t>&lt;think&gt;
&lt;/think&gt;
For the BR reactor,-r_{A} =k\times c_{A}^2\times c_{B}^3 kmol/(L*min), c_{A} =c_{A0} \times (1-x_{A} ), c_{B} =c_{B0} - c_{A0} \times x_{A}, the residence time \tau is obtained by c_{A0}\times\int_{0}^{x_{f}}\frac{dx_{A}}{-r_{A}}. The residence time \tau of the BR reactor is 6.2551629076950104e+16 h.</t>
  </si>
  <si>
    <t>&lt;think&gt;
&lt;/think&gt;
For the BR reactor,-r_{A} =k\times c_{A}^2\times c_{B}^3 kmol/(L*min), c_{A} =c_{A0} \times (1-x_{A} ), c_{B} =c_{B0} - c_{A0} \times x_{A}, the residence time \tau is obtained by c_{A0}\times\int_{0}^{x_{f}}\frac{dx_{A}}{-r_{A}}. The residence time \tau of the BR reactor is 0.02 h.</t>
  </si>
  <si>
    <t>&lt;｜begin▁of▁sentence｜&gt;&lt;｜User｜&gt;Please calculate the residence time with following conditions?
It is planned to carry out the reaction A+B \longrightarrow C in BR. The experimentally determined reaction kinetic equation is -r_{A}=k\times c_{A}^2\times c_{B}^3 kmol/(L*min), the reaction kinetic constant k=0.007.The initial concentration of raw material A c_{A0}8.03 kmol/m3, and the concentration of raw material B is c_{B0}5.57 kmol/m3., the conversion rate is 0.769. The feed volumetric flow rate Q is 0.561 kmol/m3, the auxiliary production time t_{assist} is 5 h, and the loading factor f is 0.47.&lt;｜Assistant｜&gt;</t>
  </si>
  <si>
    <t>&lt;think&gt;
&lt;/think&gt;
For the PFR reactor,-r_{A} =k\times c_{A}^2\times c_{B}^2 kmol/(L*min), c_{A} =c_{A0} \times (1-x_{A} ), c_{B} =c_{B0} - c_{A0} \times x_{A}, the residence time \tau is obtained by c_{A0}\times\int_{0}^{x_{f}}\frac{dx_{A}}{-r_{A}}. The residence time \tau of the PFR reactor is 0.37 h.</t>
  </si>
  <si>
    <t>&lt;think&gt;
&lt;/think&gt;
For the PFR reactor,-r_{A} =k\times c_{A}^2\times c_{B}^2 kmol/(L*min), c_{A} =c_{A0} \times (1-x_{A} ), c_{B} =c_{B0} - c_{A0} \times x_{A}, the residence time \tau is obtained by c_{A0}\times\int_{0}^{x_{f}}\frac{dx_{A}}{-r_{A}}. The residence time \tau of the PFR reactor is 371942.35 h.</t>
  </si>
  <si>
    <t>&lt;｜begin▁of▁sentence｜&gt;&lt;｜User｜&gt;Please calculate the residence time with following conditions?
It is planned to carry out the reaction A+B \longrightarrow C in PFR. The experimentally determined reaction kinetic equation is -r_{A}=k\times c_{A}^2\times c_{B}^2 kmol/(L*min), the reaction kinetic constant k=0.007.The initial concentration of raw material A c_{A0}2.13 kmol/m3, and the concentration of raw material B is c_{B0}9.57 kmol/m3., the conversion rate is 0.952. The feed volumetric flow rate Q is 0.99 kmol/m3.&lt;｜Assistant｜&gt;</t>
  </si>
  <si>
    <t>&lt;think&gt;
&lt;/think&gt;
For the PFR reactor,-r_{A} =k\times c_{A}^3\times c_{B}^1 kmol/(L*min), c_{A} =c_{A0} \times (1-x_{A} ), c_{B} =c_{B0} - c_{A0} \times x_{A}, the residence time \tau is obtained by c_{A0}\times\int_{0}^{x_{f}}\frac{dx_{A}}{-r_{A}}. The residence time \tau of the PFR reactor is 0.88 h.</t>
  </si>
  <si>
    <t>&lt;think&gt;
&lt;/think&gt;
For the PFR reactor,-r_{A} =k\times c_{A}^3\times c_{B}^1 kmol/(L*min), c_{A} =c_{A0} \times (1-x_{A} ), c_{B} =c_{B0}- c_{A0} \times x_{A}, the residence time \tau is obtained by c_{A0}\times\int_{0}^{x_{f}}\frac{dx_{A}}{-r_{A}}. The residence time \tau of the PFR reactor is 0.31 h.</t>
  </si>
  <si>
    <t>&lt;｜begin▁of▁sentence｜&gt;&lt;｜User｜&gt;Please calculate the residence time with following conditions?
It is planned to carry out the reaction A+B \longrightarrow C in PFR. The experimentally determined reaction kinetic equation is -r_{A}=k\times c_{A}^3\times c_{B}^1 kmol/(L*min), the reaction kinetic constant k=0.001.The initial concentration of raw material A c_{A0}5.83 kmol/m3, and the concentration of raw material B is c_{B0}6.02 kmol/m3., the conversion rate is 0.694. The feed volumetric flow rate Q is 0.572 kmol/m3.&lt;｜Assistant｜&gt;</t>
  </si>
  <si>
    <t>&lt;think&gt;
&lt;/think&gt;
For the CSTR reactor,-r_{A} =k\times c_{A}^3\times c_{B}^3 kmol/(L*min), c_{A} =c_{A0} \times (1-x_{A} ), c_{B} =c_{B0}- c_{A0} \times x_{A}, the residence time \tau is calculated by \frac{c_{A0} \times x_{f} }{-r_{A} }. The residence time \tau of the CSTR reactor is 5.67 h.</t>
  </si>
  <si>
    <t>&lt;think&gt;
&lt;/think&gt;
For the CSTR reactor,-r_{A} =k\times c_{A}^3\times c_{B}^3 kmol/(L*min), c_{A} =c_{A0} \times (1-x_{A} ), c_{B} =c_{B0}- c_{A0} \times x_{A}, the residence time \tau is calculated by \frac{c_{A0} \times x_{f} }{-r_{A} }. The residence time \tau of the CSTR reactor is 0.02 h.</t>
  </si>
  <si>
    <t>&lt;｜begin▁of▁sentence｜&gt;&lt;｜User｜&gt;Please calculate the residence time with following conditions?
It is planned to carry out the reaction A+B \longrightarrow C in CSTR. The experimentally determined reaction kinetic equation is -r_{A}=k\times c_{A}^3\times c_{B}^3 kmol/(L*min), the reaction kinetic constant k=0.007.The initial concentration of raw material A c_{A0}4.32 kmol/m3, and the concentration of raw material B is c_{B0}3.35 kmol/m3., the conversion rate is 0.626. The feed volumetric flow rate Q is 0.135 kmol/m3.&lt;｜Assistant｜&gt;</t>
  </si>
  <si>
    <t>&lt;think&gt;
&lt;/think&gt;
For the CSTR reactor,-r_{A} =k\times c_{A}^2 kmol/(L*min), c_{A} =c_{A0} \times (1-x_{A} ) the residence time \tau is calculated by \frac{c_{A0} \times x_{f} }{-r_{A} }. And the reactor volume is \tau \times Q The calculated reactor volume V is 134.87 Cubic Meters.</t>
  </si>
  <si>
    <t xml:space="preserve">&lt;think&gt;
&lt;/think&gt;
The reactor volume is 0.03 Cubic Meters.
</t>
  </si>
  <si>
    <t>&lt;｜begin▁of▁sentence｜&gt;&lt;｜User｜&gt;Please calculate the reactor volume with following conditions？
It is planned to carry out the reaction A+B \longrightarrow C in CSTR. The experimentally determined reaction kinetic equation is -r_{A}=k\times c_{A}^2 kmol/(L*min), the reaction kinetic constant k=0.007.The initial concentration of raw material A c_{A0} is 6.96 kmol/m3., the conversion rate is 0.967. The feed volumetric flow rate Q is 0.444 kmol/m3.&lt;｜Assistant｜&gt;</t>
  </si>
  <si>
    <t>&lt;think&gt;
&lt;/think&gt;
For the CSTR reactor,-r_{A} =k\times c_{A}^1 kmol/(L*min), c_{A} =c_{A0} \times (1-x_{A} ) the residence time \tau is calculated by \frac{c_{A0} \times x_{f} }{-r_{A} } . The residence time \tau of the CSTR reactor is 5.56 h.</t>
  </si>
  <si>
    <t>&lt;think&gt;
&lt;/think&gt;
For the CSTR reactor,-r_{A} =k\times c_{A}^1 kmol/(L*min), c_{A} =c_{A0} \times (1-x_{A} ) the residence time \tau is calculated by \frac{c_{A0} \times x_{f} }{-r_{A} }. The residence time \tau of the CSTR reactor is 6.28 h.</t>
  </si>
  <si>
    <t>&lt;｜begin▁of▁sentence｜&gt;&lt;｜User｜&gt;Please calculate the residence time with following conditions?
It is planned to carry out the reaction A+B \longrightarrow C in CSTR. The experimentally determined reaction kinetic equation is -r_{A}=k\times c_{A}^1 kmol/(L*min), the reaction kinetic constant k=0.007.The initial concentration of raw material A c_{A0} is 5.75 kmol/m3., the conversion rate is 0.7. The feed volumetric flow rate Q is 0.687 kmol/m3.&lt;｜Assistant｜&gt;</t>
  </si>
  <si>
    <t>&lt;think&gt;
&lt;/think&gt;
For the CSTR reactor,-r_{A} =k\times c_{A}^1\times c_{B}^2 kmol/(L*min), c_{A} =c_{A0} \times (1-x_{A} ), c_{B} =c_{B0}- c_{A0} \times x_{A}, the residence time \tau is calculated by \frac{c_{A0} \times x_{f} }{-r_{A} }. The residence time \tau of the CSTR reactor is 0.34 h.</t>
  </si>
  <si>
    <t>&lt;think&gt;
&lt;/think&gt;
For the CSTR reactor,-r_{A} =k\times c_{A}^1\times c_{B}^2 kmol/(L*min), c_{A} =c_{A0} \times (1-x_{A} ), c_{B} =c_{B0}- c_{A0} \times x_{A}, the residence time \tau is calculated by \frac{c_{A0} \times x_{f} }{-r_{A} }. The residence time \tau of the CSTR reactor is 0.1 h.</t>
  </si>
  <si>
    <t>&lt;｜begin▁of▁sentence｜&gt;&lt;｜User｜&gt;Please calculate the residence time with following conditions?
It is planned to carry out the reaction A+B \longrightarrow C in CSTR. The experimentally determined reaction kinetic equation is -r_{A}=k\times c_{A}^1\times c_{B}^2 kmol/(L*min), the reaction kinetic constant k=0.007.The initial concentration of raw material A c_{A0}2.8 kmol/m3, and the concentration of raw material B is c_{B0}4.05 kmol/m3., the conversion rate is 0.5. The feed volumetric flow rate Q is 0.625 kmol/m3.&lt;｜Assistant｜&gt;</t>
  </si>
  <si>
    <t>&lt;think&gt;
&lt;/think&gt;
For the BR reactor,-r_{A} =k\times c_{A}^1 kmol/(L*min), c_{A} =c_{A0} \times (1-x_{A} ) ,the residence time \tau is obtained by c_{A0}\times\int_{0}^{x_{f}}\frac{dx_{A}}{-r_{A}}. The residence time \tau of the BR reactor is 1.42 h.</t>
  </si>
  <si>
    <t>&lt;think&gt;
&lt;/think&gt;
For the BR reactor,-r_{A} =k\times c_{A}^1 kmol/(L*min), c_{A} =c_{A0} \times (1-x_{A} ) ,the residence time \tau is obtained by c_{A0}\times\int_{0}^{x_{f}}\frac{dx_{A}}{-r_{A}}. The residence time \tau of the BR reactor is 2.3 h.</t>
  </si>
  <si>
    <t>&lt;｜begin▁of▁sentence｜&gt;&lt;｜User｜&gt;Please calculate the residence time with following conditions?
It is planned to carry out the reaction A+B \longrightarrow C in BR. The experimentally determined reaction kinetic equation is -r_{A}=k\times c_{A}^1 kmol/(L*min), the reaction kinetic constant k=0.009.The initial concentration of raw material A c_{A0} is 2.77 kmol/m3., the conversion rate is 0.535. The feed volumetric flow rate Q is 0.569 kmol/m3, the auxiliary production time t_{assist} is 3 h, and the loading factor f is 0.68.&lt;｜Assistant｜&gt;</t>
  </si>
  <si>
    <t>&lt;think&gt;
&lt;/think&gt;
For the BR reactor,-r_{A} =k\times c_{A}^1\times c_{B}^1 kmol/(L*min), c_{A} =c_{A0} \times (1-x_{A} ), c_{B} =c_{B0}- c_{A0} \times x_{A}, the residence time \tau is obtained by c_{A0}\times\int_{0}^{x_{f}}\frac{dx_{A}}{-r_{A}}. And the reactor volume is \frac{(\tau + t_{assist} )\times Q}{f} The calculated reactor volume V is 3.66 Cubic Meters.</t>
  </si>
  <si>
    <t>&lt;think&gt;
&lt;/think&gt;
For the BR reactor,-r_{A} =k\times c_{A}^1\times c_{B}^1 kmol/(L*min), c_{A} =c_{A0} \times (1-x_{A} ), c_{B} =c_{B0}- c_{A0} \times x_{A}, the residence time \tau is obtained by c_{A0}\times\int_{0}^{x_{f}}\frac{dx_{A}}{-r_{A}}. And the reactor volume is \frac{(\tau + t_{assist} )\times Q}{f} The calculated reactor volume V is 1.83 Cubic Meters.</t>
  </si>
  <si>
    <t>&lt;｜begin▁of▁sentence｜&gt;&lt;｜User｜&gt;Please calculate the reactor volume with following conditions？
It is planned to carry out the reaction A+B \longrightarrow C in BR. The experimentally determined reaction kinetic equation is -r_{A}=k\times c_{A}^1\times c_{B}^1 kmol/(L*min), the reaction kinetic constant k=0.01.The initial concentration of raw material A c_{A0}4.11 kmol/m3, and the concentration of raw material B is c_{B0}2.72 kmol/m3., the conversion rate is 0.581. The feed volumetric flow rate Q is 0.39 kmol/m3, the auxiliary production time t_{assist} is 5 h, and the loading factor f is 0.69.&lt;｜Assistant｜&gt;</t>
  </si>
  <si>
    <t>&lt;｜begin▁of▁sentence｜&gt;&lt;｜User｜&gt;Please calculate the reactor volume with following conditions？
It is planned to carry out the reaction A+B \longrightarrow C in CSTR. The experimentally determined reaction kinetic equation is -r_{A}=k\times c_{A}^1\times c_{B}^1 kmol/(L*min), the reaction kinetic constant k=0.007.The initial concentration of raw material A c_{A0}8.27 kmol/m3, and the concentration of raw material B is c_{B0}8.34 kmol/m3., the conversion rate is 0.545. The feed volumetric flow rate Q is 0.099 kmol/m3.&lt;｜Assistant｜&gt;</t>
  </si>
  <si>
    <t>0到0.7</t>
  </si>
  <si>
    <t>qwen2.5_Omni</t>
    <phoneticPr fontId="1" type="noConversion"/>
  </si>
  <si>
    <t>模型名</t>
    <phoneticPr fontId="1" type="noConversion"/>
  </si>
  <si>
    <t>qwen2.5_math</t>
    <phoneticPr fontId="1" type="noConversion"/>
  </si>
  <si>
    <t>0.7到1.5</t>
    <phoneticPr fontId="1" type="noConversion"/>
  </si>
  <si>
    <t>llama3.2</t>
    <phoneticPr fontId="1" type="noConversion"/>
  </si>
  <si>
    <t>gemma3</t>
    <phoneticPr fontId="1" type="noConversion"/>
  </si>
  <si>
    <t>deepseek_r1</t>
    <phoneticPr fontId="1" type="noConversion"/>
  </si>
  <si>
    <t>平均相对误差</t>
    <phoneticPr fontId="1" type="noConversion"/>
  </si>
  <si>
    <t>P</t>
    <phoneticPr fontId="1" type="noConversion"/>
  </si>
  <si>
    <t>F1</t>
    <phoneticPr fontId="1" type="noConversion"/>
  </si>
  <si>
    <t>R</t>
    <phoneticPr fontId="1" type="noConversion"/>
  </si>
  <si>
    <t>&lt;think&gt;
&lt;/think&gt;
For the CSTR reactor,-r_{A} =k\times c_{A}^1\times c_{B}^1 kmol/(L*min), c_{A} =c_{A0} \times (1-x_{A} ), c_{B} =c_{B0}- c_{A0} \times x_{A}, the residence time \tau is calculated by \frac{c_{A0} \times x_{f} }{-r_{A} }. And the reactor volume is \tau \times Q The calculated reactor volume V is 0.07 Cubic Meters.</t>
    <phoneticPr fontId="1" type="noConversion"/>
  </si>
  <si>
    <t>&lt;think&gt;
&lt;/think&gt;
For the CSTR reactor,-r_{A} =k\times c_{A}^1\times c_{B}^1 kmol/(L*min), c_{A} =c_{A0} \times (1-x_{A} ), c_{B} =c_{B0}- c_{A0} \times x_{A}, the residence time \tau is calculated by \frac{c_{A0} \times x_{f} }{-r_{A} }. And the reactor volume is \tau \times Q The calculated reactor volume V is 0.16 Cubic Meters.</t>
    <phoneticPr fontId="1" type="noConversion"/>
  </si>
  <si>
    <t>BERTScore测试结果</t>
    <phoneticPr fontId="1" type="noConversion"/>
  </si>
  <si>
    <t>虚拟反应训练结果</t>
    <phoneticPr fontId="1" type="noConversion"/>
  </si>
  <si>
    <t>训练时间(s)</t>
    <phoneticPr fontId="1" type="noConversion"/>
  </si>
  <si>
    <t>训练损失</t>
    <phoneticPr fontId="1" type="noConversion"/>
  </si>
  <si>
    <t>三线表</t>
    <phoneticPr fontId="1" type="noConversion"/>
  </si>
  <si>
    <t xml:space="preserve">For the PFR reactor,-r_{A} =k\times c_{A}^2\times c_{B}^2 kmol/(L*min), c_{A} =c_{A0} \times (1-x_{A} ), c_{B} =c_{B0} - c_{A0} \times x_{A}, the residence time \tau is obtained by c_{A0}\times\int_{0}^{x_{f}}\frac{dx_{A}}{-r_{A}}. The residence time \tau of the PFR reactor is 0.37 h.
</t>
    <phoneticPr fontId="1" type="noConversion"/>
  </si>
  <si>
    <t>For the PFR reactor,-r_{A} =k\times c_{A}^2\times c_{B}^2 kmol/(L*min), c_{A} =c_{A0} \times (1-x_{A} ), c_{B} =c_{B0} - c_{A0} \times x_{A}, the residence time \tau is obtained by c_{A0}\times\int_{0}^{x_{f}}\frac{dx_{A}}{-r_{A}}. The residence time \tau of the PFR reactor is 10074024547.0 h.</t>
    <phoneticPr fontId="1" type="noConversion"/>
  </si>
  <si>
    <t>4.1.1节训练结果及时间</t>
    <phoneticPr fontId="1" type="noConversion"/>
  </si>
  <si>
    <t>4.1.2节 测试结果</t>
    <phoneticPr fontId="1" type="noConversion"/>
  </si>
  <si>
    <t>4.1.3</t>
    <phoneticPr fontId="1" type="noConversion"/>
  </si>
  <si>
    <t>大于5</t>
    <phoneticPr fontId="1" type="noConversion"/>
  </si>
  <si>
    <t>1.5到5</t>
    <phoneticPr fontId="1" type="noConversion"/>
  </si>
  <si>
    <t>0.855</t>
    <phoneticPr fontId="1" type="noConversion"/>
  </si>
  <si>
    <t>0.766</t>
    <phoneticPr fontId="1" type="noConversion"/>
  </si>
  <si>
    <t>0.892</t>
    <phoneticPr fontId="1" type="noConversion"/>
  </si>
  <si>
    <t>1.073</t>
    <phoneticPr fontId="1" type="noConversion"/>
  </si>
  <si>
    <t>0.799</t>
    <phoneticPr fontId="1" type="noConversion"/>
  </si>
  <si>
    <t>BLEU-4</t>
    <phoneticPr fontId="1" type="noConversion"/>
  </si>
  <si>
    <t>BLEU测试</t>
    <phoneticPr fontId="1" type="noConversion"/>
  </si>
  <si>
    <t>ROUGE测试</t>
    <phoneticPr fontId="1" type="noConversion"/>
  </si>
  <si>
    <t>rogue-1</t>
    <phoneticPr fontId="1" type="noConversion"/>
  </si>
  <si>
    <t>rogue-2</t>
    <phoneticPr fontId="1" type="noConversion"/>
  </si>
  <si>
    <t>rogue-l</t>
    <phoneticPr fontId="1" type="noConversion"/>
  </si>
  <si>
    <t>Qwen2.5-Omni</t>
  </si>
  <si>
    <t>Qwen2.5-Math</t>
  </si>
  <si>
    <t>Llama-3.2</t>
  </si>
  <si>
    <t>Gemma-3</t>
  </si>
  <si>
    <t>DeepSeek-R1-Distill</t>
  </si>
  <si>
    <t xml:space="preserve">The molar mass of acetic acid is 60 kg/kmol, ethanol is 46 kg/kmol, and ethyl acetate is 88 kg/kmol. The molar flow rate of ethyl acetate required per hour is n_product = 930/88 = 10.57 kmol/h. According to the chemical reaction equation, the mass flow rate of acetic acid required per hour is m_A = 10.57*60 = 634.09 kg/h. The mass flow rate of ethanol required per hour is m_B = 10.57*46 = 486.14 kg/h. The total volumetric feed flow rate is q_raw = (634.09+486.14)*1000/1.07 = 1046.94 L/h. The initial concentration of acetic acid is c_{A0} = 634.09*1000/(60*1046.94) = 10.09 mol/L. The initial concentration of ethanol is c_{B0} = 486.14*1000/(46*1046.94) = 10.09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x)}=23.19 h. Theoretical volume is v=23.19*1046.94=24274.3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</si>
  <si>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930 kg/h. The mixture density is 1.07 kg/L. Assuming pure feed streams, the required conversion of acetic acid (A) is 0.55. Please calculate the reactor residence time and volume.&lt;|im_end|&gt;
&lt;|im_start|&gt;assistant
</t>
  </si>
  <si>
    <t xml:space="preserve">The molar mass of acetic acid is 60 kg/kmol, ethanol is 46 kg/kmol, and ethyl acetate is 88 kg/kmol. The molar flow rate of ethyl acetate required per hour is n_product = 431/88 = 4.9 kmol/h. According to the chemical reaction equation, the mass flow rate of acetic acid required per hour is m_A = 4.9*60 = 293.86 kg/h. The mass flow rate of ethanol required per hour is m_B = 4.9*46 = 225.3 kg/h. The total volumetric feed flow rate is q_raw = (293.86+225.3)*1000/0.85 = 610.78 L/h. The initial concentration of acetic acid is c_{A0} = 293.86*1000/(60*610.78) = 8.02 mol/L. The initial concentration of ethanol is c_{B0} = 225.3*1000/(46*610.78) = 8.02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}{k1*(1-x_{A})*(c_{B0}-c_{A0}*x_{A})-\frac{c_{A0}*x_{A}*x_{A}}{kc}}=97.25 h. Theoretical volume is v=97.25*610.78=59397.91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</si>
  <si>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431 kg/h. The mixture density is 0.85 kg/L. Assuming pure feed streams, the required conversion of acetic acid (A) is 0.42. Please calculate the reactor residence time and volume.&lt;|im_end|&gt;
&lt;|im_start|&gt;assistant
</t>
  </si>
  <si>
    <t xml:space="preserve">The molar mass of acetic acid is 60 kg/kmol, ethanol is 46 kg/kmol, and ethyl acetate is 88 kg/kmol. The molar flow rate of ethyl acetate required per hour is n_product = 886/88 = 10.07 kmol/h. According to the chemical reaction equation, the mass flow rate of acetic acid required per hour is m_A = 10.07*60 = 604.09 kg/h. The mass flow rate of ethanol required per hour is m_B = 10.07*46 = 463.14 kg/h. The total volumetric feed flow rate is q_raw = (604.09+463.14)*1000/0.95 = 1123.4 L/h. The initial concentration of acetic acid is c_{A0} = 604.09*1000/(60*1123.4) = 8.96 mol/L. The initial concentration of ethanol is c_{B0} = 463.14*1000/(46*1123.4) = 8.96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}{k1*(1-x_{A})*(c_{B0}-c_{A0}*x_{A})-\frac{c_{A0}*x_{A}*x_{A}}{kc}}=119.46 h. Theoretical volume is v=119.46*1123.4=134204.41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</si>
  <si>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886 kg/h. The mixture density is 0.95 kg/L. Assuming pure feed streams, the required conversion of acetic acid (A) is 0.59. Please calculate the reactor residence time and volume.&lt;|im_end|&gt;
&lt;|im_start|&gt;assistant
</t>
  </si>
  <si>
    <t xml:space="preserve">The molar mass of acetic acid is 60 kg/kmol, ethanol is 46 kg/kmol, and ethyl acetate is 88 kg/kmol. The molar flow rate of ethyl acetate required per hour is n_product = 755/88 = 8.58 kmol/h. According to the chemical reaction equation, the mass flow rate of acetic acid required per hour is m_A = 8.58*60 = 514.77 kg/h. The mass flow rate of ethanol required per hour is m_B = 8.58*46 = 394.66 kg/h. The total volumetric feed flow rate is q_raw = (514.77+394.66)*1000/1.01 = 900.43 L/h. The initial concentration of acetic acid is c_{A0} = 514.77*1000/(60*900.43) = 9.53 mol/L. The initial concentration of ethanol is c_{B0} = 394.66*1000/(46*900.43) = 9.53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}{k1*(1-x_{A})*(c_{B0}-c_{A0}*x_{A})-\frac{c_{A0}*x_{A}*x_{A}}{kc}}=127.24 h. Theoretical volume is v=127.24*900.43=114567.52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</si>
  <si>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755 kg/h. The mixture density is 1.01 kg/L. Assuming pure feed streams, the required conversion of acetic acid (A) is 0.63. Please calculate the reactor residence time and volume.&lt;|im_end|&gt;
&lt;|im_start|&gt;assistant
</t>
  </si>
  <si>
    <t xml:space="preserve">The molar mass of acetic acid is 60 kg/kmol, ethanol is 46 kg/kmol, and ethyl acetate is 88 kg/kmol. The molar flow rate of ethyl acetate required per hour is n_product = 184/88 = 2.09 kmol/h. According to the chemical reaction equation, the mass flow rate of acetic acid required per hour is m_A = 2.09*60 = 125.45 kg/h. The mass flow rate of ethanol required per hour is m_B = 2.09*46 = 96.18 kg/h. The total volumetric feed flow rate is q_raw = (125.45+96.18)*1000/1.0 = 221.64 L/h. The initial concentration of acetic acid is c_{A0} = 125.45*1000/(60*221.64) = 9.43 mol/L. The initial concentration of ethanol is c_{B0} = 96.18*1000/(46*221.64) = 9.43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}{k1*(1-x_{A})*(c_{B0}-c_{A0}*x_{A})-\frac{c_{A0}*x_{A}*x_{A}}{kc}}=126.0 h. Theoretical volume is v=126.0*221.64=27926.64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</si>
  <si>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In a PFR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184 kg/h. The mixture density is 1.0 kg/L. Assuming pure feed streams, the required conversion of acetic acid (A) is 0.62. Please calculate the reactor residence time and volume.&lt;|im_end|&gt;
&lt;|im_start|&gt;assistant
</t>
  </si>
  <si>
    <t xml:space="preserve">The molar mass of acetic acid is 60 kg/kmol, ethanol is 46 kg/kmol, and ethyl acetate is 88 kg/kmol. The molar flow rate of ethyl acetate required per hour is n_product = 315/88 = 3.58 kmol/h. According to the chemical reaction equation, the mass flow rate of acetic acid required per hour is m_A = 3.58*60 = 214.77 kg/h. The mass flow rate of ethanol required per hour is m_B = 3.58*46 = 164.66 kg/h. The total volumetric feed flow rate is q_raw = (214.77+164.66)*1000/0.86 = 441.2 L/h. The initial concentration of acetic acid is c_{A0} = 214.77*1000/(60*441.2) = 8.11 mol/L. The initial concentration of ethanol is c_{B0} = 164.66*1000/(46*441.2) = 8.11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}{k1*(1-x_{A})*(c_{B0}-c_{A0}*x_{A})-\frac{c_{A0}*x_{A}*x_{A}}{kc}}=107.5 h. Theoretical volume is v=107.5*441.2=47427.98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</si>
  <si>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315 kg/h. The mixture density is 0.86 kg/L. Assuming pure feed streams, the required conversion of acetic acid (A) is 0.56. Please calculate the reactor residence time and volume.&lt;|im_end|&gt;
&lt;|im_start|&gt;assistant
</t>
  </si>
  <si>
    <t xml:space="preserve">The molar mass of acetic acid is 60 kg/kmol, ethanol is 46 kg/kmol, and ethyl acetate is 88 kg/kmol. The molar flow rate of ethyl acetate required per hour is n_product = 344/88 = 3.91 kmol/h. According to the chemical reaction equation, the mass flow rate of acetic acid required per hour is m_A = 3.91*60 = 234.55 kg/h. The mass flow rate of ethanol required per hour is m_B = 3.91*46 = 179.82 kg/h. The total volumetric feed flow rate is q_raw = (234.55+179.82)*1000/1.05 = 394.63 L/h. The initial concentration of acetic acid is c_{A0} = 234.55*1000/(60*394.63) = 9.91 mol/L. The initial concentration of ethanol is c_{B0} = 179.82*1000/(46*394.63) = 9.91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x)}=28.44 h. Theoretical volume is v=28.44*394.63=11221.77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</si>
  <si>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344 kg/h. The mixture density is 1.05 kg/L. Assuming pure feed streams, the required conversion of acetic acid (A) is 0.53. Please calculate the reactor residence time and volume.&lt;|im_end|&gt;
&lt;|im_start|&gt;assistant
</t>
  </si>
  <si>
    <t xml:space="preserve">The molar mass of acetic acid is 60 kg/kmol, ethanol is 46 kg/kmol, and ethyl acetate is 88 kg/kmol. The molar flow rate of ethyl acetate required per hour is n_product = 264/88 = 3.0 kmol/h. According to the chemical reaction equation, the mass flow rate of acetic acid required per hour is m_A = 3.0*60 = 180.0 kg/h. The mass flow rate of ethanol required per hour is m_B = 3.0*46 = 138.0 kg/h. The total volumetric feed flow rate is q_raw = (180.0+138.0)*1000/0.95 = 334.74 L/h. The initial concentration of acetic acid is c_{A0} = 180.0*1000/(60*334.74) = 8.96 mol/L. The initial concentration of ethanol is c_{B0} = 138.0*1000/(46*334.74) = 8.96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}{k1*(1-x_{A})*(c_{B0}-c_{A0}*x_{A})-\frac{c_{A0}*x_{A}*x_{A}}{kc}}=119.67 h. Theoretical volume is v=119.67*334.74=40059.43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</si>
  <si>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264 kg/h. The mixture density is 0.95 kg/L. Assuming pure feed streams, the required conversion of acetic acid (A) is 0.61. Please calculate the reactor residence time and volume.&lt;|im_end|&gt;
&lt;|im_start|&gt;assistant
</t>
  </si>
  <si>
    <t xml:space="preserve">The molar mass of acetic acid is 60 kg/kmol, ethanol is 46 kg/kmol, and ethyl acetate is 88 kg/kmol. The molar flow rate of ethyl acetate required per hour is n_product = 206/88 = 2.34 kmol/h. According to the chemical reaction equation, the mass flow rate of acetic acid required per hour is m_A = 2.34*60 = 140.45 kg/h. The mass flow rate of ethanol required per hour is m_B = 2.34*46 = 107.68 kg/h. The total volumetric feed flow rate is q_raw = (140.45+107.68)*1000/0.93 = 266.81 L/h. The initial concentration of acetic acid is c_{A0} = 140.45*1000/(60*266.81) = 8.77 mol/L. The initial concentration of ethanol is c_{B0} = 107.68*1000/(46*266.81) = 8.77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}{k1*(1-x_{A})*(c_{B0}-c_{A0}*x_{A})-\frac{c_{A0}*x_{A}*x_{A}}{kc}}=106.4 h. Theoretical volume is v=106.4*266.81=28389.72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</si>
  <si>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206 kg/h. The mixture density is 0.93 kg/L. Assuming pure feed streams, the required conversion of acetic acid (A) is 0.42. Please calculate the reactor residence time and volume.&lt;|im_end|&gt;
&lt;|im_start|&gt;assistant
</t>
  </si>
  <si>
    <t xml:space="preserve">The molar mass of acetic acid is 60 kg/kmol, ethanol is 46 kg/kmol, and ethyl acetate is 88 kg/kmol. The molar flow rate of ethyl acetate required per hour is n_product = 782/88 = 8.89 kmol/h. According to the chemical reaction equation, the mass flow rate of acetic acid required per hour is m_A = 8.89*60 = 533.18 kg/h. The mass flow rate of ethanol required per hour is m_B = 8.89*46 = 408.77 kg/h. The total volumetric feed flow rate is q_raw = (533.18+408.77)*1000/0.84 = 1121.37 L/h. The initial concentration of acetic acid is c_{A0} = 533.18*1000/(60*1121.37) = 7.92 mol/L. The initial concentration of ethanol is c_{B0} = 408.77*1000/(46*1121.37) = 7.92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x)}=0.1 h. Theoretical volume is v=0.1*1121.37=110.9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</si>
  <si>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782 kg/h. The mixture density is 0.84 kg/L. Assuming pure feed streams, the required conversion of acetic acid (A) is 0.62. Please calculate the reactor residence time and volume.&lt;|im_end|&gt;
&lt;|im_start|&gt;assistant
</t>
  </si>
  <si>
    <t xml:space="preserve">The molar mass of acetic acid is 60 kg/kmol, ethanol is 46 kg/kmol, and ethyl acetate is 88 kg/kmol. The molar flow rate of ethyl acetate required per hour is n_product = 345/88 = 3.92 kmol/h. According to the chemical reaction equation, the mass flow rate of acetic acid required per hour is m_A = 3.92*60 = 235.23 kg/h. The mass flow rate of ethanol required per hour is m_B = 3.92*46 = 180.34 kg/h. The total volumetric feed flow rate is q_raw = (235.23+180.34)*1000/0.81 = 513.05 L/h. The initial concentration of acetic acid is c_{A0} = 235.23*1000/(60*513.05) = 7.64 mol/L. The initial concentration of ethanol is c_{B0} = 180.34*1000/(46*513.05) = 7.64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}{k1*(1-x_{A})*(c_{B0}-c_{A0}*x_{A})-\frac{c_{A0}*x_{A}*x_{A}}{kc}}=101.98 h. Theoretical volume is v=101.98*513.05=52319.39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</si>
  <si>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345 kg/h. The mixture density is 0.81 kg/L. Assuming pure feed streams, the required conversion of acetic acid (A) is 0.64. Please calculate the reactor residence time and volume.&lt;|im_end|&gt;
&lt;|im_start|&gt;assistant
</t>
  </si>
  <si>
    <t xml:space="preserve">The molar mass of acetic acid is 60 kg/kmol, ethanol is 46 kg/kmol, and ethyl acetate is 88 kg/kmol. The molar flow rate of ethyl acetate required per hour is n_product = 782/88 = 8.89 kmol/h. According to the chemical reaction equation, the mass flow rate of acetic acid required per hour is m_A = 8.89*60 = 533.18 kg/h. The mass flow rate of ethanol required per hour is m_B = 8.89*46 = 408.77 kg/h. The total volumetric feed flow rate is q_raw = (533.18+408.77)*1000/1.18 = 798.27 L/h. The initial concentration of acetic acid is c_{A0} = 533.18*1000/(60*798.27) = 11.13 mol/L. The initial concentration of ethanol is c_{B0} = 408.77*1000/(46*798.27) = 11.13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x)}=0.14 h. Theoretical volume is v=0.14*798.27=110.9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</si>
  <si>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782 kg/h. The mixture density is 1.18 kg/L. Assuming pure feed streams, the required conversion of acetic acid (A) is 0.62. Please calculate the reactor residence time and volume.&lt;|im_end|&gt;
&lt;|im_start|&gt;assistant
</t>
  </si>
  <si>
    <t xml:space="preserve">The molar mass of acetic acid is 60 kg/kmol, ethanol is 46 kg/kmol, and ethyl acetate is 88 kg/kmol. The molar flow rate of ethyl acetate required per hour is n_product = 172/88 = 1.95 kmol/h. According to the chemical reaction equation, the mass flow rate of acetic acid required per hour is m_A = 1.95*60 = 117.27 kg/h. The mass flow rate of ethanol required per hour is m_B = 1.95*46 = 89.91 kg/h. The total volumetric feed flow rate is q_raw = (117.27+89.91)*1000/0.93 = 222.78 L/h. The initial concentration of acetic acid is c_{A0} = 117.27*1000/(60*222.78) = 8.77 mol/L. The initial concentration of ethanol is c_{B0} = 89.91*1000/(46*222.78) = 8.77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}{k1*(1-x_{A})*(c_{B0}-c_{A0}*x_{A})-\frac{c_{A0}*x_{A}*x_{A}}{kc}}=111.21 h. Theoretical volume is v=111.21*222.78=24774.6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</si>
  <si>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172 kg/h. The mixture density is 0.93 kg/L. Assuming pure feed streams, the required conversion of acetic acid (A) is 0.47. Please calculate the reactor residence time and volume.&lt;|im_end|&gt;
&lt;|im_start|&gt;assistant
</t>
  </si>
  <si>
    <t xml:space="preserve">The molar mass of acetic acid is 60 kg/kmol, ethanol is 46 kg/kmol, and ethyl acetate is 88 kg/kmol. The molar flow rate of ethyl acetate required per hour is n_product = 633/88 = 7.19 kmol/h. According to the chemical reaction equation, the mass flow rate of acetic acid required per hour is m_A = 7.19*60 = 431.59 kg/h. The mass flow rate of ethanol required per hour is m_B = 7.19*46 = 330.89 kg/h. The total volumetric feed flow rate is q_raw = (431.59+330.89)*1000/0.91 = 837.89 L/h. The initial concentration of acetic acid is c_{A0} = 431.59*1000/(60*837.89) = 8.58 mol/L. The initial concentration of ethanol is c_{B0} = 330.89*1000/(46*837.89) = 8.58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}{k1*(1-x_{A})*(c_{B0}-c_{A0}*x_{A})-\frac{c_{A0}*x_{A}*x_{A}}{kc}}=114.64 h. Theoretical volume is v=114.64*837.89=96051.58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</si>
  <si>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633 kg/h. The mixture density is 0.91 kg/L. Assuming pure feed streams, the required conversion of acetic acid (A) is 0.61. Please calculate the reactor residence time and volume.&lt;|im_end|&gt;
&lt;|im_start|&gt;assistant
</t>
  </si>
  <si>
    <t xml:space="preserve">The molar mass of acetic acid is 60 kg/kmol, ethanol is 46 kg/kmol, and ethyl acetate is 88 kg/kmol. The molar flow rate of ethyl acetate required per hour is n_product = 529/88 = 6.01 kmol/h. According to the chemical reaction equation, the mass flow rate of acetic acid required per hour is m_A = 6.01*60 = 360.68 kg/h. The mass flow rate of ethanol required per hour is m_B = 6.01*46 = 276.52 kg/h. The total volumetric feed flow rate is q_raw = (360.68+276.52)*1000/1.04 = 612.7 L/h. The initial concentration of acetic acid is c_{A0} = 360.68*1000/(60*612.7) = 9.81 mol/L. The initial concentration of ethanol is c_{B0} = 276.52*1000/(46*612.7) = 9.81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x)}=48.73 h. Theoretical volume is v=48.73*612.7=29854.15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</si>
  <si>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529 kg/h. The mixture density is 1.04 kg/L. Assuming pure feed streams, the required conversion of acetic acid (A) is 0.44. Please calculate the reactor residence time and volume.&lt;|im_end|&gt;
&lt;|im_start|&gt;assistant
</t>
  </si>
  <si>
    <t xml:space="preserve">The molar mass of acetic acid is 60 kg/kmol, ethanol is 46 kg/kmol, and ethyl acetate is 88 kg/kmol. The molar flow rate of ethyl acetate required per hour is n_product = 169/88 = 1.92 kmol/h. According to the chemical reaction equation, the mass flow rate of acetic acid required per hour is m_A = 1.92*60 = 115.23 kg/h. The mass flow rate of ethanol required per hour is m_B = 1.92*46 = 88.34 kg/h. The total volumetric feed flow rate is q_raw = (115.23+88.34)*1000/1.01 = 201.55 L/h. The initial concentration of acetic acid is c_{A0} = 115.23*1000/(60*201.55) = 9.53 mol/L. The initial concentration of ethanol is c_{B0} = 88.34*1000/(46*201.55) = 9.53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}{k1*(1-x_{A})*(c_{B0}-c_{A0}*x_{A})-\frac{c_{A0}*x_{A}*x_{A}}{kc}}=124.42 h. Theoretical volume is v=124.42*201.55=25076.97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</si>
  <si>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In a PFR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169 kg/h. The mixture density is 1.01 kg/L. Assuming pure feed streams, the required conversion of acetic acid (A) is 0.52. Please calculate the reactor residence time and volume.&lt;|im_end|&gt;
&lt;|im_start|&gt;assistant
</t>
  </si>
  <si>
    <t xml:space="preserve">The molar mass of acetic acid is 60 kg/kmol, ethanol is 46 kg/kmol, and ethyl acetate is 88 kg/kmol. The molar flow rate of ethyl acetate required per hour is n_product = 128/88 = 1.45 kmol/h. According to the chemical reaction equation, the mass flow rate of acetic acid required per hour is m_A = 1.45*60 = 87.27 kg/h. The mass flow rate of ethanol required per hour is m_B = 1.45*46 = 66.91 kg/h. The total volumetric feed flow rate is q_raw = (87.27+66.91)*1000/1.15 = 134.07 L/h. The initial concentration of acetic acid is c_{A0} = 87.27*1000/(60*134.07) = 10.85 mol/L. The initial concentration of ethanol is c_{B0} = 66.91*1000/(46*134.07) = 10.85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}{k1*(1-x_{A})*(c_{B0}-c_{A0}*x_{A})-\frac{c_{A0}*x_{A}*x_{A}}{kc}}=144.63 h. Theoretical volume is v=144.63*134.07=19390.97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</si>
  <si>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128 kg/h. The mixture density is 1.15 kg/L. Assuming pure feed streams, the required conversion of acetic acid (A) is 0.65. Please calculate the reactor residence time and volume.&lt;|im_end|&gt;
&lt;|im_start|&gt;assistant
</t>
  </si>
  <si>
    <t xml:space="preserve">The molar mass of acetic acid is 60 kg/kmol, ethanol is 46 kg/kmol, and ethyl acetate is 88 kg/kmol. The molar flow rate of ethyl acetate required per hour is n_product = 637/88 = 7.24 kmol/h. According to the chemical reaction equation, the mass flow rate of acetic acid required per hour is m_A = 7.24*60 = 434.32 kg/h. The mass flow rate of ethanol required per hour is m_B = 7.24*46 = 332.98 kg/h. The total volumetric feed flow rate is q_raw = (434.32+332.98)*1000/0.8 = 959.12 L/h. The initial concentration of acetic acid is c_{A0} = 434.32*1000/(60*959.12) = 7.55 mol/L. The initial concentration of ethanol is c_{B0} = 332.98*1000/(46*959.12) = 7.55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x)}=2.75 h. Theoretical volume is v=2.75*959.12=2632.95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</si>
  <si>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637 kg/h. The mixture density is 0.8 kg/L. Assuming pure feed streams, the required conversion of acetic acid (A) is 0.61. Please calculate the reactor residence time and volume.&lt;|im_end|&gt;
&lt;|im_start|&gt;assistant
</t>
  </si>
  <si>
    <t xml:space="preserve">The molar mass of acetic acid is 60 kg/kmol, ethanol is 46 kg/kmol, and ethyl acetate is 88 kg/kmol. The molar flow rate of ethyl acetate required per hour is n_product = 494/88 = 5.61 kmol/h. According to the chemical reaction equation, the mass flow rate of acetic acid required per hour is m_A = 5.61*60 = 336.82 kg/h. The mass flow rate of ethanol required per hour is m_B = 5.61*46 = 258.23 kg/h. The total volumetric feed flow rate is q_raw = (336.82+258.23)*1000/0.85 = 700.05 L/h. The initial concentration of acetic acid is c_{A0} = 336.82*1000/(60*700.05) = 8.02 mol/L. The initial concentration of ethanol is c_{B0} = 258.23*1000/(46*700.05) = 8.02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x)}=38.29 h. Theoretical volume is v=38.29*700.05=26805.58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</si>
  <si>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494 kg/h. The mixture density is 0.85 kg/L. Assuming pure feed streams, the required conversion of acetic acid (A) is 0.45. Please calculate the reactor residence time and volume.&lt;|im_end|&gt;
&lt;|im_start|&gt;assistant
</t>
  </si>
  <si>
    <t xml:space="preserve">The molar mass of acetic acid is 60 kg/kmol, ethanol is 46 kg/kmol, and ethyl acetate is 88 kg/kmol. The molar flow rate of ethyl acetate required per hour is n_product = 695/88 = 7.9 kmol/h. According to the chemical reaction equation, the mass flow rate of acetic acid required per hour is m_A = 7.9*60 = 473.86 kg/h. The mass flow rate of ethanol required per hour is m_B = 7.9*46 = 363.3 kg/h. The total volumetric feed flow rate is q_raw = (473.86+363.3)*1000/1.05 = 797.29 L/h. The initial concentration of acetic acid is c_{A0} = 473.86*1000/(60*797.29) = 9.91 mol/L. The initial concentration of ethanol is c_{B0} = 363.3*1000/(46*797.29) = 9.91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x)}=7.0 h. Theoretical volume is v=7.0*797.29=5583.55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</si>
  <si>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695 kg/h. The mixture density is 1.05 kg/L. Assuming pure feed streams, the required conversion of acetic acid (A) is 0.6. Please calculate the reactor residence time and volume.&lt;|im_end|&gt;
&lt;|im_start|&gt;assistant
</t>
  </si>
  <si>
    <t xml:space="preserve">The molar mass of acetic acid is 60 kg/kmol, ethanol is 46 kg/kmol, and ethyl acetate is 88 kg/kmol. The molar flow rate of ethyl acetate required per hour is n_product = 108/88 = 1.23 kmol/h. According to the chemical reaction equation, the mass flow rate of acetic acid required per hour is m_A = 1.23*60 = 73.64 kg/h. The mass flow rate of ethanol required per hour is m_B = 1.23*46 = 56.45 kg/h. The total volumetric feed flow rate is q_raw = (73.64+56.45)*1000/1.14 = 114.11 L/h. The initial concentration of acetic acid is c_{A0} = 73.64*1000/(60*114.11) = 10.75 mol/L. The initial concentration of ethanol is c_{B0} = 56.45*1000/(46*114.11) = 10.75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x)}=44.5 h. Theoretical volume is v=44.5*114.11=5077.54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</si>
  <si>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108 kg/h. The mixture density is 1.14 kg/L. Assuming pure feed streams, the required conversion of acetic acid (A) is 0.48. Please calculate the reactor residence time and volume.&lt;|im_end|&gt;
&lt;|im_start|&gt;assistant
</t>
  </si>
  <si>
    <t xml:space="preserve">The molar mass of acetic acid is 60 kg/kmol, ethanol is 46 kg/kmol, and ethyl acetate is 88 kg/kmol. The molar flow rate of ethyl acetate required per hour is n_product = 675/88 = 7.67 kmol/h. According to the chemical reaction equation, the mass flow rate of acetic acid required per hour is m_A = 7.67*60 = 460.23 kg/h. The mass flow rate of ethanol required per hour is m_B = 7.67*46 = 352.84 kg/h. The total volumetric feed flow rate is q_raw = (460.23+352.84)*1000/0.99 = 821.28 L/h. The initial concentration of acetic acid is c_{A0} = 460.23*1000/(60*821.28) = 9.34 mol/L. The initial concentration of ethanol is c_{B0} = 352.84*1000/(46*821.28) = 9.34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}{k1*(1-x_{A})*(c_{B0}-c_{A0}*x_{A})-\frac{c_{A0}*x_{A}*x_{A}}{kc}}=117.49 h. Theoretical volume is v=117.49*821.28=96488.83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</si>
  <si>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In a PFR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675 kg/h. The mixture density is 0.99 kg/L. Assuming pure feed streams, the required conversion of acetic acid (A) is 0.46. Please calculate the reactor residence time and volume.&lt;|im_end|&gt;
&lt;|im_start|&gt;assistant
</t>
  </si>
  <si>
    <t xml:space="preserve">The molar mass of acetic acid is 60 kg/kmol, ethanol is 46 kg/kmol, and ethyl acetate is 88 kg/kmol. The molar flow rate of ethyl acetate required per hour is n_product = 675/88 = 7.67 kmol/h. According to the chemical reaction equation, the mass flow rate of acetic acid required per hour is m_A = 7.67*60 = 460.23 kg/h. The mass flow rate of ethanol required per hour is m_B = 7.67*46 = 352.84 kg/h. The total volumetric feed flow rate is q_raw = (460.23+352.84)*1000/1.12 = 725.95 L/h. The initial concentration of acetic acid is c_{A0} = 460.23*1000/(60*725.95) = 10.57 mol/L. The initial concentration of ethanol is c_{B0} = 352.84*1000/(46*725.95) = 10.57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x)}=21.09 h. Theoretical volume is v=21.09*725.95=15312.98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</si>
  <si>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675 kg/h. The mixture density is 1.12 kg/L. Assuming pure feed streams, the required conversion of acetic acid (A) is 0.56. Please calculate the reactor residence time and volume.&lt;|im_end|&gt;
&lt;|im_start|&gt;assistant
</t>
  </si>
  <si>
    <t xml:space="preserve">The molar mass of acetic acid is 60 kg/kmol, ethanol is 46 kg/kmol, and ethyl acetate is 88 kg/kmol. The molar flow rate of ethyl acetate required per hour is n_product = 921/88 = 10.47 kmol/h. According to the chemical reaction equation, the mass flow rate of acetic acid required per hour is m_A = 10.47*60 = 627.95 kg/h. The mass flow rate of ethanol required per hour is m_B = 10.47*46 = 481.43 kg/h. The total volumetric feed flow rate is q_raw = (627.95+481.43)*1000/1.08 = 1027.21 L/h. The initial concentration of acetic acid is c_{A0} = 627.95*1000/(60*1027.21) = 10.19 mol/L. The initial concentration of ethanol is c_{B0} = 481.43*1000/(46*1027.21) = 10.19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}{k1*(1-x_{A})*(c_{B0}-c_{A0}*x_{A})-\frac{c_{A0}*x_{A}*x_{A}}{kc}}=136.06 h. Theoretical volume is v=136.06*1027.21=139757.2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</si>
  <si>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921 kg/h. The mixture density is 1.08 kg/L. Assuming pure feed streams, the required conversion of acetic acid (A) is 0.63. Please calculate the reactor residence time and volume.&lt;|im_end|&gt;
&lt;|im_start|&gt;assistant
</t>
  </si>
  <si>
    <t xml:space="preserve">The molar mass of acetic acid is 60 kg/kmol, ethanol is 46 kg/kmol, and ethyl acetate is 88 kg/kmol. The molar flow rate of ethyl acetate required per hour is n_product = 839/88 = 9.53 kmol/h. According to the chemical reaction equation, the mass flow rate of acetic acid required per hour is m_A = 9.53*60 = 572.05 kg/h. The mass flow rate of ethanol required per hour is m_B = 9.53*46 = 438.57 kg/h. The total volumetric feed flow rate is q_raw = (572.05+438.57)*1000/0.89 = 1135.52 L/h. The initial concentration of acetic acid is c_{A0} = 572.05*1000/(60*1135.52) = 8.4 mol/L. The initial concentration of ethanol is c_{B0} = 438.57*1000/(46*1135.52) = 8.4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x)}=26.39 h. Theoretical volume is v=26.39*1135.52=29970.71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</si>
  <si>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839 kg/h. The mixture density is 0.89 kg/L. Assuming pure feed streams, the required conversion of acetic acid (A) is 0.52. Please calculate the reactor residence time and volume.&lt;|im_end|&gt;
&lt;|im_start|&gt;assistant
</t>
  </si>
  <si>
    <t xml:space="preserve">The molar mass of acetic acid is 60 kg/kmol, ethanol is 46 kg/kmol, and ethyl acetate is 88 kg/kmol. The molar flow rate of ethyl acetate required per hour is n_product = 723/88 = 8.22 kmol/h. According to the chemical reaction equation, the mass flow rate of acetic acid required per hour is m_A = 8.22*60 = 492.95 kg/h. The mass flow rate of ethanol required per hour is m_B = 8.22*46 = 377.93 kg/h. The total volumetric feed flow rate is q_raw = (492.95+377.93)*1000/0.79 = 1102.39 L/h. The initial concentration of acetic acid is c_{A0} = 492.95*1000/(60*1102.39) = 7.45 mol/L. The initial concentration of ethanol is c_{B0} = 377.93*1000/(46*1102.39) = 7.45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}{k1*(1-x_{A})*(c_{B0}-c_{A0}*x_{A})-\frac{c_{A0}*x_{A}*x_{A}}{kc}}=99.45 h. Theoretical volume is v=99.45*1102.39=109635.35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</si>
  <si>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In a PFR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723 kg/h. The mixture density is 0.79 kg/L. Assuming pure feed streams, the required conversion of acetic acid (A) is 0.6. Please calculate the reactor residence time and volume.&lt;|im_end|&gt;
&lt;|im_start|&gt;assistant
</t>
  </si>
  <si>
    <t xml:space="preserve">The molar mass of acetic acid is 60 kg/kmol, ethanol is 46 kg/kmol, and ethyl acetate is 88 kg/kmol. The molar flow rate of ethyl acetate required per hour is n_product = 343/88 = 3.9 kmol/h. According to the chemical reaction equation, the mass flow rate of acetic acid required per hour is m_A = 3.9*60 = 233.86 kg/h. The mass flow rate of ethanol required per hour is m_B = 3.9*46 = 179.3 kg/h. The total volumetric feed flow rate is q_raw = (233.86+179.3)*1000/0.93 = 444.26 L/h. The initial concentration of acetic acid is c_{A0} = 233.86*1000/(60*444.26) = 8.77 mol/L. The initial concentration of ethanol is c_{B0} = 179.3*1000/(46*444.26) = 8.77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}{k1*(1-x_{A})*(c_{B0}-c_{A0}*x_{A})-\frac{c_{A0}*x_{A}*x_{A}}{kc}}=111.99 h. Theoretical volume is v=111.99*444.26=49753.92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</si>
  <si>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343 kg/h. The mixture density is 0.93 kg/L. Assuming pure feed streams, the required conversion of acetic acid (A) is 0.48. Please calculate the reactor residence time and volume.&lt;|im_end|&gt;
&lt;|im_start|&gt;assistant
</t>
  </si>
  <si>
    <t xml:space="preserve">The molar mass of acetic acid is 60 kg/kmol, ethanol is 46 kg/kmol, and ethyl acetate is 88 kg/kmol. The molar flow rate of ethyl acetate required per hour is n_product = 123/88 = 1.4 kmol/h. According to the chemical reaction equation, the mass flow rate of acetic acid required per hour is m_A = 1.4*60 = 83.86 kg/h. The mass flow rate of ethanol required per hour is m_B = 1.4*46 = 64.3 kg/h. The total volumetric feed flow rate is q_raw = (83.86+64.3)*1000/1.05 = 141.1 L/h. The initial concentration of acetic acid is c_{A0} = 83.86*1000/(60*141.1) = 9.91 mol/L. The initial concentration of ethanol is c_{B0} = 64.3*1000/(46*141.1) = 9.91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x)}=16.71 h. Theoretical volume is v=16.71*141.1=2357.84 l.After comprehensively evaluating various factors in the reaction process, the emergence of highly corrosive substances (sulfuric acid) necessitates material considerations. Given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</si>
  <si>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123 kg/h. The mixture density is 1.05 kg/L. Assuming pure feed streams, the required conversion of acetic acid (A) is 0.57. Please calculate the reactor residence time and volume.&lt;|im_end|&gt;
&lt;|im_start|&gt;assistant
</t>
  </si>
  <si>
    <t xml:space="preserve">The relative molecular weight of CH_{3}COOC_{2}H_{5} is 76 kg/kmol, NaOH is 40 kg/kmol. Raw material volumetric flow rate: Q_{0}=(470+470)/1.19=789.92 m^3/h. Initial concentration of ethyl acetate: c_{A0}=470*1000/(76*789.92)=7.83 mol/L. Initial concentration of sodium hydroxide: c_{B0}=470*1000*1/(40*789.92)=14.88 mol/L. The concentration of chloroethanol: c_{A}=c_{A0}*(1-x). The concentration of sodium bicarbonate: c_{B}=c_{B0}-c_{A0}*x. Reaction time obtained through integral calculation: t=\frac{c_{A0} \cdot x_{f}}{r_{A}}=\frac{c_{A0} \cdot x_{f}}{k \cdot c_{A} \cdot c_{B}}=\frac{x_{f}}{k \cdot (1-x_{A}) \cdot (c_{B0}-c_{A0} \cdot x_{A})}=0.08 h. Theoretical volume is v=0.08*789.92=60.74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</si>
  <si>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1.19. The reaction rate of this reaction as follows r_{A}=k*c_{A}*c_{B}The rate constant of 5.63/mol*h at reaction temperature. The conversion rate is 0.79. Please calculate the residence time and volume of the reactor.&lt;|im_end|&gt;
&lt;|im_start|&gt;assistant
</t>
  </si>
  <si>
    <t xml:space="preserve">The relative molecular weight of CH_{3}COOC_{2}H_{5} is 76 kg/kmol, NaOH is 40 kg/kmol. Raw material volumetric flow rate: Q_{0}=(755+755)/1.83=825.14 m^3/h. Initial concentration of ethyl acetate: c_{A0}=755*1000/(76*825.14)=12.04 mol/L. Initial concentration of sodium hydroxide: c_{B0}=755*1000*1/(40*825.14)=22.88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v=0.03*825.14=28.82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</si>
  <si>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1.83. The reaction rate of this reaction as follows r_{A}=k*c_{A}*c_{B}The rate constant of 5.63/mol*h at reaction temperature. The conversion rate is 0.94. Please calculate the residence time and volume of the reactor.&lt;|im_end|&gt;
&lt;|im_start|&gt;assistant
</t>
  </si>
  <si>
    <t xml:space="preserve">The relative molecular weight of CH_{3}COOC_{2}H_{5} is 76 kg/kmol, NaOH is 40 kg/kmol. Raw material volumetric flow rate: Q_{0}=(160+160)/1.63=196.32 m^3/h. Initial concentration of ethyl acetate: c_{A0}=160*1000/(76*196.32)=10.72 mol/L. Initial concentration of sodium hydroxide: c_{B0}=160*1000*1/(40*196.32)=20.38 mol/L. The concentration of chloroethanol: c_{A}=c_{A0}*(1-x). The concentration of sodium bicarbonate: c_{B}=c_{B0}-c_{A0}*x. Reaction time obtained through integral calculation: t=\frac{c_{A0} \cdot x_{f}}{r_{A}}=\frac{c_{A0} \cdot x_{f}}{k \cdot c_{A} \cdot c_{B}}=\frac{x_{f}}{k \cdot (1-x_{A}) \cdot (c_{B0}-c_{A0} \cdot x_{A})}=0.04 h. Theoretical volume is v=0.04*196.32=7.09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</si>
  <si>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1.63. The reaction rate of this reaction as follows r_{A}=k*c_{A}*c_{B}The rate constant of 5.63/mol*h at reaction temperature. The conversion rate is 0.72. Please calculate the residence time and volume of the reactor.&lt;|im_end|&gt;
&lt;|im_start|&gt;assistant
</t>
  </si>
  <si>
    <t xml:space="preserve">The relative molecular weight of CH_{3}COOC_{2}H_{5} is 76 kg/kmol, NaOH is 40 kg/kmol. Raw material volumetric flow rate: Q_{0}=(352+352)/1.9=370.53 m^3/h. Initial concentration of ethyl acetate: c_{A0}=352*1000/(76*370.53)=12.5 mol/L. Initial concentration of sodium hydroxide: c_{B0}=352*1000*1/(40*370.53)=23.75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v=0.03*370.53=9.72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</si>
  <si>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1.9. The reaction rate of this reaction as follows r_{A}=k*c_{A}*c_{B}The rate constant of 5.63/mol*h at reaction temperature. The conversion rate is 0.9. Please calculate the residence time and volume of the reactor.&lt;|im_end|&gt;
&lt;|im_start|&gt;assistant
</t>
  </si>
  <si>
    <t xml:space="preserve">The relative molecular weight of CH_{3}COOC_{2}H_{5} is 76 kg/kmol, NaOH is 40 kg/kmol. Raw material volumetric flow rate: Q_{0}=(703+703)/1.7=827.06 m^3/h. Initial concentration of ethyl acetate: c_{A0}=703*1000/(76*827.06)=11.18 mol/L. Initial concentration of sodium hydroxide: c_{B0}=703*1000*1/(40*827.06)=21.25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v=0.02*827.06=14.93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</si>
  <si>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1.7. The reaction rate of this reaction as follows r_{A}=k*c_{A}*c_{B}The rate constant of 5.63/mol*h at reaction temperature. The conversion rate is 0.79. Please calculate the residence time and volume of the reactor.&lt;|im_end|&gt;
&lt;|im_start|&gt;assistant
</t>
  </si>
  <si>
    <t xml:space="preserve">The relative molecular weight of CH_{3}COOC_{2}H_{5} is 76 kg/kmol, NaOH is 40 kg/kmol. Raw material volumetric flow rate: Q_{0}=(969+969)/1.01=1918.81 m^3/h. Initial concentration of ethyl acetate: c_{A0}=969*1000/(76*1918.81)=6.64 mol/L. Initial concentration of sodium hydroxide: c_{B0}=969*1000*1/(40*1918.81)=12.62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v=0.03*1918.81=52.22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</si>
  <si>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1.01. The reaction rate of this reaction as follows r_{A}=k*c_{A}*c_{B}The rate constant of 5.63/mol*h at reaction temperature. The conversion rate is 0.76. Please calculate the residence time and volume of the reactor.&lt;|im_end|&gt;
&lt;|im_start|&gt;assistant
</t>
  </si>
  <si>
    <t xml:space="preserve">The relative molecular weight of CH_{3}COOC_{2}H_{5} is 76 kg/kmol, NaOH is 40 kg/kmol. Raw material volumetric flow rate: Q_{0}=(137+137)/1.64=167.07 m^3/h. Initial concentration of ethyl acetate: c_{A0}=137*1000/(76*167.07)=10.79 mol/L. Initial concentration of sodium hydroxide: c_{B0}=137*1000*1/(40*167.07)=20.5 mol/L. The concentration of chloroethanol: c_{A}=c_{A0}*(1-x). The concentration of sodium bicarbonate: c_{B}=c_{B0}-c_{A0}*x. Reaction time obtained through integral calculation: t=\frac{c_{A0} \cdot x_{f}}{r_{A}}=\frac{c_{A0} \cdot x_{f}}{k \cdot c_{A} \cdot c_{B}}=\frac{x_{f}}{k \cdot (1-x_{A}) \cdot (c_{B0}-c_{A0} \cdot x_{A})}=0.05 h. Theoretical volume is v=0.05*167.07=8.71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</si>
  <si>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1.64. The reaction rate of this reaction as follows r_{A}=k*c_{A}*c_{B}The rate constant of 5.63/mol*h at reaction temperature. The conversion rate is 0.78. Please calculate the residence time and volume of the reactor.&lt;|im_end|&gt;
&lt;|im_start|&gt;assistant
</t>
  </si>
  <si>
    <t xml:space="preserve">The relative molecular weight of CH_{3}COOC_{2}H_{5} is 76 kg/kmol, NaOH is 40 kg/kmol. Raw material volumetric flow rate: Q_{0}=(161+161)/1.29=249.61 m^3/h. Initial concentration of ethyl acetate: c_{A0}=161*1000/(76*249.61)=8.49 mol/L. Initial concentration of sodium hydroxide: c_{B0}=161*1000*1/(40*249.61)=16.12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v=0.03*249.61=7.25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</si>
  <si>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1.29. The reaction rate of this reaction as follows r_{A}=k*c_{A}*c_{B}The rate constant of 5.63/mol*h at reaction temperature. The conversion rate is 0.84. Please calculate the residence time and volume of the reactor.&lt;|im_end|&gt;
&lt;|im_start|&gt;assistant
</t>
  </si>
  <si>
    <t xml:space="preserve">The relative molecular weight of CH_{3}COOC_{2}H_{5} is 76 kg/kmol, NaOH is 40 kg/kmol. Raw material volumetric flow rate: Q_{0}=(225+225)/1.75=257.14 m^3/h. Initial concentration of ethyl acetate: c_{A0}=225*1000/(76*257.14)=11.51 mol/L. Initial concentration of sodium hydroxide: c_{B0}=225*1000*1/(40*257.14)=21.87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v=0.02*257.14=4.51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</si>
  <si>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1.75. The reaction rate of this reaction as follows r_{A}=k*c_{A}*c_{B}The rate constant of 5.63/mol*h at reaction temperature. The conversion rate is 0.79. Please calculate the residence time and volume of the reactor.&lt;|im_end|&gt;
&lt;|im_start|&gt;assistant
</t>
  </si>
  <si>
    <t xml:space="preserve">The relative molecular weight of CH_{3}COOC_{2}H_{5} is 76 kg/kmol, NaOH is 40 kg/kmol. Raw material volumetric flow rate: Q_{0}=(265+265)/1.49=355.7 m^3/h. Initial concentration of ethyl acetate: c_{A0}=265*1000/(76*355.7)=9.8 mol/L. Initial concentration of sodium hydroxide: c_{B0}=265*1000*1/(40*355.7)=18.62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v=0.03*355.7=9.76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</si>
  <si>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1.49. The reaction rate of this reaction as follows r_{A}=k*c_{A}*c_{B}The rate constant of 5.63/mol*h at reaction temperature. The conversion rate is 0.86. Please calculate the residence time and volume of the reactor.&lt;|im_end|&gt;
&lt;|im_start|&gt;assistant
</t>
  </si>
  <si>
    <t xml:space="preserve">The relative molecular weight of CH_{3}COOC_{2}H_{5} is 76 kg/kmol, NaOH is 40 kg/kmol. Raw material volumetric flow rate: Q_{0}=(489+489)/1.82=537.36 m^3/h. Initial concentration of ethyl acetate: c_{A0}=489*1000/(76*537.36)=11.97 mol/L. Initial concentration of sodium hydroxide: c_{B0}=489*1000*1/(40*537.36)=22.75 mol/L. The concentration of chloroethanol: c_{A}=c_{A0}*(1-x). The concentration of sodium bicarbonate: c_{B}=c_{B0}-c_{A0}*x. Reaction time obtained through integral calculation: t=\int_{0}^{x_{f} } \frac{c_{A0}dx_{A} }{r_{A}}=\int_{0}^{x_{f} } \frac{c_{A0}dx_{A} }{k*c_{A}*c_{B}}=\int_{0}^{x_{f} } \frac{dx_{A} }{k*(1-x_{A})*(c_{B0}-c_{A0}*x_{A})}=0.01 h. Theoretical volume is v=0.01*537.36=7.56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</si>
  <si>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1.82. The reaction rate of this reaction as follows r_{A}=k*c_{A}*c_{B}The rate constant of 5.63/mol*h at reaction temperature. The conversion rate is 0.74. Please calculate the residence time and volume of the reactor.&lt;|im_end|&gt;
&lt;|im_start|&gt;assistant
</t>
  </si>
  <si>
    <t xml:space="preserve">The relative molecular weight of CH_{3}COOC_{2}H_{5} is 76 kg/kmol, NaOH is 40 kg/kmol. Raw material volumetric flow rate: Q_{0}=(652+652)/1.87=697.33 m^3/h. Initial concentration of ethyl acetate: c_{A0}=652*1000/(76*697.33)=12.3 mol/L. Initial concentration of sodium hydroxide: c_{B0}=652*1000*1/(40*697.33)=23.38 mol/L. The concentration of chloroethanol: c_{A}=c_{A0}*(1-x). The concentration of sodium bicarbonate: c_{B}=c_{B0}-c_{A0}*x. Reaction time obtained through integral calculation: t=\frac{c_{A0} \cdot x_{f}}{r_{A}}=\frac{c_{A0} \cdot x_{f}}{k \cdot c_{A} \cdot c_{B}}=\frac{x_{f}}{k \cdot (1-x_{A}) \cdot (c_{B0}-c_{A0} \cdot x_{A})}=0.09 h. Theoretical volume is v=0.09*697.33=65.41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</si>
  <si>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1.87. The reaction rate of this reaction as follows r_{A}=k*c_{A}*c_{B}The rate constant of 5.63/mol*h at reaction temperature. The conversion rate is 0.87. Please calculate the residence time and volume of the reactor.&lt;|im_end|&gt;
&lt;|im_start|&gt;assistant
</t>
  </si>
  <si>
    <t xml:space="preserve">The relative molecular weight of CH_{3}COOC_{2}H_{5} is 76 kg/kmol, NaOH is 40 kg/kmol. Raw material volumetric flow rate: Q_{0}=(562+562)/1.47=764.63 m^3/h. Initial concentration of ethyl acetate: c_{A0}=562*1000/(76*764.63)=9.67 mol/L. Initial concentration of sodium hydroxide: c_{B0}=562*1000*1/(40*764.63)=18.38 mol/L. The concentration of chloroethanol: c_{A}=c_{A0}*(1-x). The concentration of sodium bicarbonate: c_{B}=c_{B0}-c_{A0}*x. Reaction time obtained through integral calculation: t=\frac{c_{A0} \cdot x_{f}}{r_{A}}=\frac{c_{A0} \cdot x_{f}}{k \cdot c_{A} \cdot c_{B}}=\frac{x_{f}}{k \cdot (1-x_{A}) \cdot (c_{B0}-c_{A0} \cdot x_{A})}=0.13 h. Theoretical volume is v=0.13*764.63=100.96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</si>
  <si>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1.47. The reaction rate of this reaction as follows r_{A}=k*c_{A}*c_{B}The rate constant of 5.63/mol*h at reaction temperature. The conversion rate is 0.88. Please calculate the residence time and volume of the reactor.&lt;|im_end|&gt;
&lt;|im_start|&gt;assistant
</t>
  </si>
  <si>
    <t xml:space="preserve">The relative molecular weight of CH_{3}COOC_{2}H_{5} is 76 kg/kmol, NaOH is 40 kg/kmol. Raw material volumetric flow rate: Q_{0}=(735+735)/1.33=1105.26 m^3/h. Initial concentration of ethyl acetate: c_{A0}=735*1000/(76*1105.26)=8.75 mol/L. Initial concentration of sodium hydroxide: c_{B0}=735*1000*1/(40*1105.26)=16.62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v=0.03*1105.26=33.99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</si>
  <si>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1.33. The reaction rate of this reaction as follows r_{A}=k*c_{A}*c_{B}The rate constant of 5.63/mol*h at reaction temperature. The conversion rate is 0.86. Please calculate the residence time and volume of the reactor.&lt;|im_end|&gt;
&lt;|im_start|&gt;assistant
</t>
  </si>
  <si>
    <t xml:space="preserve">The relative molecular weight of CH_{3}COOC_{2}H_{5} is 76 kg/kmol, NaOH is 40 kg/kmol. Raw material volumetric flow rate: Q_{0}=(887+887)/1.3=1364.62 m^3/h. Initial concentration of ethyl acetate: c_{A0}=887*1000/(76*1364.62)=8.55 mol/L. Initial concentration of sodium hydroxide: c_{B0}=887*1000*1/(40*1364.62)=16.25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v=0.03*1364.62=34.8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</si>
  <si>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1.3. The reaction rate of this reaction as follows r_{A}=k*c_{A}*c_{B}The rate constant of 5.63/mol*h at reaction temperature. The conversion rate is 0.81. Please calculate the residence time and volume of the reactor.&lt;|im_end|&gt;
&lt;|im_start|&gt;assistant
</t>
  </si>
  <si>
    <t xml:space="preserve">The relative molecular weight of CH_{3}COOC_{2}H_{5} is 76 kg/kmol, NaOH is 40 kg/kmol. Raw material volumetric flow rate: Q_{0}=(341+341)/1.45=470.34 m^3/h. Initial concentration of ethyl acetate: c_{A0}=341*1000/(76*470.34)=9.54 mol/L. Initial concentration of sodium hydroxide: c_{B0}=341*1000*1/(40*470.34)=18.12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v=0.02*470.34=11.19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</si>
  <si>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1.45. The reaction rate of this reaction as follows r_{A}=k*c_{A}*c_{B}The rate constant of 5.63/mol*h at reaction temperature. The conversion rate is 0.82. Please calculate the residence time and volume of the reactor.&lt;|im_end|&gt;
&lt;|im_start|&gt;assistant
</t>
  </si>
  <si>
    <t xml:space="preserve">The relative molecular weight of CH_{3}COOC_{2}H_{5} is 76 kg/kmol, NaOH is 40 kg/kmol. Raw material volumetric flow rate: Q_{0}=(137+137)/1.55=176.77 m^3/h. Initial concentration of ethyl acetate: c_{A0}=137*1000/(76*176.77)=10.2 mol/L. Initial concentration of sodium hydroxide: c_{B0}=137*1000*1/(40*176.77)=19.38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v=0.02*176.77=3.64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</si>
  <si>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1.55. The reaction rate of this reaction as follows r_{A}=k*c_{A}*c_{B}The rate constant of 5.63/mol*h at reaction temperature. The conversion rate is 0.8. Please calculate the residence time and volume of the reactor.&lt;|im_end|&gt;
&lt;|im_start|&gt;assistant
</t>
  </si>
  <si>
    <t xml:space="preserve">The relative molecular weight of CH_{3}COOC_{2}H_{5} is 76 kg/kmol, NaOH is 40 kg/kmol. Raw material volumetric flow rate: Q_{0}=(430+430)/1.16=741.38 m^3/h. Initial concentration of ethyl acetate: c_{A0}=430*1000/(76*741.38)=7.63 mol/L. Initial concentration of sodium hydroxide: c_{B0}=430*1000*1/(40*741.38)=14.5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v=0.02*741.38=17.57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</si>
  <si>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1.16. The reaction rate of this reaction as follows r_{A}=k*c_{A}*c_{B}The rate constant of 5.63/mol*h at reaction temperature. The conversion rate is 0.76. Please calculate the residence time and volume of the reactor.&lt;|im_end|&gt;
&lt;|im_start|&gt;assistant
</t>
  </si>
  <si>
    <t xml:space="preserve">The relative molecular weight of CH_{3}COOC_{2}H_{5} is 76 kg/kmol, NaOH is 40 kg/kmol. Raw material volumetric flow rate: Q_{0}=(283+283)/1.61=351.55 m^3/h. Initial concentration of ethyl acetate: c_{A0}=283*1000/(76*351.55)=10.59 mol/L. Initial concentration of sodium hydroxide: c_{B0}=283*1000*1/(40*351.55)=20.12 mol/L. The concentration of chloroethanol: c_{A}=c_{A0}*(1-x). The concentration of sodium bicarbonate: c_{B}=c_{B0}-c_{A0}*x. Reaction time obtained through integral calculation: t=\int_{0}^{x_{f} } \frac{c_{A0}dx_{A} }{r_{A}}=\int_{0}^{x_{f} } \frac{c_{A0}dx_{A} }{k*c_{A}*c_{B}}=\int_{0}^{x_{f} } \frac{dx_{A} }{k*(1-x_{A})*(c_{B0}-c_{A0}*x_{A})}=0.05 h. Theoretical volume is v=0.05*351.55=18.29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</si>
  <si>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1.61. The reaction rate of this reaction as follows r_{A}=k*c_{A}*c_{B}The rate constant of 5.63/mol*h at reaction temperature. The conversion rate is 0.97. Please calculate the residence time and volume of the reactor.&lt;|im_end|&gt;
&lt;|im_start|&gt;assistant
</t>
  </si>
  <si>
    <t xml:space="preserve">The relative molecular weight of CH_{3}COOC_{2}H_{5} is 76 kg/kmol, NaOH is 40 kg/kmol. Raw material volumetric flow rate: Q_{0}=(443+443)/1.23=720.33 m^3/h. Initial concentration of ethyl acetate: c_{A0}=443*1000/(76*720.33)=8.09 mol/L. Initial concentration of sodium hydroxide: c_{B0}=443*1000*1/(40*720.33)=15.37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v=0.03*720.33=25.09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</si>
  <si>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1.23. The reaction rate of this reaction as follows r_{A}=k*c_{A}*c_{B}The rate constant of 5.63/mol*h at reaction temperature. The conversion rate is 0.87. Please calculate the residence time and volume of the reactor.&lt;|im_end|&gt;
&lt;|im_start|&gt;assistant
</t>
  </si>
  <si>
    <t xml:space="preserve">The relative molecular weight of CH_{3}COOC_{2}H_{5} is 76 kg/kmol, NaOH is 40 kg/kmol. Raw material volumetric flow rate: Q_{0}=(569+569)/1.9=598.95 m^3/h. Initial concentration of ethyl acetate: c_{A0}=569*1000/(76*598.95)=12.5 mol/L. Initial concentration of sodium hydroxide: c_{B0}=569*1000*1/(40*598.95)=23.75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v=0.02*598.95=11.33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</si>
  <si>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1.9. The reaction rate of this reaction as follows r_{A}=k*c_{A}*c_{B}The rate constant of 5.63/mol*h at reaction temperature. The conversion rate is 0.83. Please calculate the residence time and volume of the reactor.&lt;|im_end|&gt;
&lt;|im_start|&gt;assistant
</t>
  </si>
  <si>
    <t xml:space="preserve">The relative molecular weight of CH_{3}COOC_{2}H_{5} is 76 kg/kmol, NaOH is 40 kg/kmol. Raw material volumetric flow rate: Q_{0}=(584+584)/1.37=852.55 m^3/h. Initial concentration of ethyl acetate: c_{A0}=584*1000/(76*852.55)=9.01 mol/L. Initial concentration of sodium hydroxide: c_{B0}=584*1000*1/(40*852.55)=17.13 mol/L. The concentration of chloroethanol: c_{A}=c_{A0}*(1-x). The concentration of sodium bicarbonate: c_{B}=c_{B0}-c_{A0}*x. Reaction time obtained through integral calculation: t=\frac{c_{A0} \cdot x_{f}}{r_{A}}=\frac{c_{A0} \cdot x_{f}}{k \cdot c_{A} \cdot c_{B}}=\frac{x_{f}}{k \cdot (1-x_{A}) \cdot (c_{B0}-c_{A0} \cdot x_{A})}=0.69 h. Theoretical volume is v=0.69*852.55=584.12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</si>
  <si>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1.37. The reaction rate of this reaction as follows r_{A}=k*c_{A}*c_{B}The rate constant of 5.63/mol*h at reaction temperature. The conversion rate is 0.97. Please calculate the residence time and volume of the reactor.&lt;|im_end|&gt;
&lt;|im_start|&gt;assistant
</t>
  </si>
  <si>
    <t xml:space="preserve">The relative molecular weight of CH_{3}COOC_{2}H_{5} is 76 kg/kmol, NaOH is 40 kg/kmol. Raw material volumetric flow rate: Q_{0}=(640+640)/1.47=870.75 m^3/h. Initial concentration of ethyl acetate: c_{A0}=640*1000/(76*870.75)=9.67 mol/L. Initial concentration of sodium hydroxide: c_{B0}=640*1000*1/(40*870.75)=18.38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v=0.02*870.75=15.71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</si>
  <si>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1.47. The reaction rate of this reaction as follows r_{A}=k*c_{A}*c_{B}The rate constant of 5.63/mol*h at reaction temperature. The conversion rate is 0.75. Please calculate the residence time and volume of the reactor.&lt;|im_end|&gt;
&lt;|im_start|&gt;assistant
</t>
  </si>
  <si>
    <t xml:space="preserve">The relative molecular weight of CH_{3}COOC_{2}H_{5} is 76 kg/kmol, NaOH is 40 kg/kmol. Raw material volumetric flow rate: Q_{0}=(396+396)/1.16=682.76 m^3/h. Initial concentration of ethyl acetate: c_{A0}=396*1000/(76*682.76)=7.63 mol/L. Initial concentration of sodium hydroxide: c_{B0}=396*1000*1/(40*682.76)=14.5 mol/L. The concentration of chloroethanol: c_{A}=c_{A0}*(1-x). The concentration of sodium bicarbonate: c_{B}=c_{B0}-c_{A0}*x. Reaction time obtained through integral calculation: t=\int_{0}^{x_{f} } \frac{c_{A0}dx_{A} }{r_{A}}=\int_{0}^{x_{f} } \frac{c_{A0}dx_{A} }{k*c_{A}*c_{B}}=\int_{0}^{x_{f} } \frac{dx_{A} }{k*(1-x_{A})*(c_{B0}-c_{A0}*x_{A})}=0.08 h. Theoretical volume is v=0.08*682.76=56.27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</si>
  <si>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1.16. The reaction rate of this reaction as follows r_{A}=k*c_{A}*c_{B}The rate constant of 5.63/mol*h at reaction temperature. The conversion rate is 0.98. Please calculate the residence time and volume of the reactor.&lt;|im_end|&gt;
&lt;|im_start|&gt;assistant
</t>
  </si>
  <si>
    <t xml:space="preserve">The relative molecular weight of CH_{3}COOC_{2}H_{5} is 76 kg/kmol, NaOH is 40 kg/kmol. Raw material volumetric flow rate: Q_{0}=(118+118)/1.51=156.29 m^3/h. Initial concentration of ethyl acetate: c_{A0}=118*1000/(76*156.29)=9.93 mol/L. Initial concentration of sodium hydroxide: c_{B0}=118*1000*1/(40*156.29)=18.88 mol/L. The concentration of chloroethanol: c_{A}=c_{A0}*(1-x). The concentration of sodium bicarbonate: c_{B}=c_{B0}-c_{A0}*x. Reaction time obtained through integral calculation: t=\frac{c_{A0} \cdot x_{f}}{r_{A}}=\frac{c_{A0} \cdot x_{f}}{k \cdot c_{A} \cdot c_{B}}=\frac{x_{f}}{k \cdot (1-x_{A}) \cdot (c_{B0}-c_{A0} \cdot x_{A})}=0.12 h. Theoretical volume is v=0.12*156.29=18.16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</si>
  <si>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1.51. The reaction rate of this reaction as follows r_{A}=k*c_{A}*c_{B}The rate constant of 5.63/mol*h at reaction temperature. The conversion rate is 0.87. Please calculate the residence time and volume of the reactor.&lt;|im_end|&gt;
&lt;|im_start|&gt;assistant
</t>
  </si>
  <si>
    <t xml:space="preserve">The relative molecular weight of CH_{3}COOC_{2}H_{5} is 76 kg/kmol, NaOH is 40 kg/kmol. Raw material volumetric flow rate: Q_{0}=(654+654)/1.14=1147.37 m^3/h. Initial concentration of ethyl acetate: c_{A0}=654*1000/(76*1147.37)=7.5 mol/L. Initial concentration of sodium hydroxide: c_{B0}=654*1000*1/(40*1147.37)=14.25 mol/L. The concentration of chloroethanol: c_{A}=c_{A0}*(1-x). The concentration of sodium bicarbonate: c_{B}=c_{B0}-c_{A0}*x. Reaction time obtained through integral calculation: t=\int_{0}^{x_{f} } \frac{c_{A0}dx_{A} }{r_{A}}=\int_{0}^{x_{f} } \frac{c_{A0}dx_{A} }{k*c_{A}*c_{B}}=\int_{0}^{x_{f} } \frac{dx_{A} }{k*(1-x_{A})*(c_{B0}-c_{A0}*x_{A})}=0.04 h. Theoretical volume is v=0.04*1147.37=50.14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</si>
  <si>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1.14. The reaction rate of this reaction as follows r_{A}=k*c_{A}*c_{B}The rate constant of 5.63/mol*h at reaction temperature. The conversion rate is 0.9. Please calculate the residence time and volume of the reactor.&lt;|im_end|&gt;
&lt;|im_start|&gt;assistant
</t>
  </si>
  <si>
    <t xml:space="preserve">The relative molecular weight of CH_{3}COOC_{2}H_{5} is 76 kg/kmol, NaOH is 40 kg/kmol. Raw material volumetric flow rate: Q_{0}=(154+154)/1.77=174.01 m^3/h. Initial concentration of ethyl acetate: c_{A0}=154*1000/(76*174.01)=11.64 mol/L. Initial concentration of sodium hydroxide: c_{B0}=154*1000*1/(40*174.01)=22.12 mol/L. The concentration of chloroethanol: c_{A}=c_{A0}*(1-x). The concentration of sodium bicarbonate: c_{B}=c_{B0}-c_{A0}*x. Reaction time obtained through integral calculation: t=\frac{c_{A0} \cdot x_{f}}{r_{A}}=\frac{c_{A0} \cdot x_{f}}{k \cdot c_{A} \cdot c_{B}}=\frac{x_{f}}{k \cdot (1-x_{A}) \cdot (c_{B0}-c_{A0} \cdot x_{A})}=0.1 h. Theoretical volume is v=0.1*174.01=17.25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</si>
  <si>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1.77. The reaction rate of this reaction as follows r_{A}=k*c_{A}*c_{B}The rate constant of 5.63/mol*h at reaction temperature. The conversion rate is 0.87. Please calculate the residence time and volume of the reactor.&lt;|im_end|&gt;
&lt;|im_start|&gt;assistant
</t>
  </si>
  <si>
    <t xml:space="preserve">The relative molecular weight of CH_{3}COOC_{2}H_{5} is 76 kg/kmol, NaOH is 40 kg/kmol. Raw material volumetric flow rate: Q_{0}=(551+551)/1.55=710.97 m^3/h. Initial concentration of ethyl acetate: c_{A0}=551*1000/(76*710.97)=10.2 mol/L. Initial concentration of sodium hydroxide: c_{B0}=551*1000*1/(40*710.97)=19.38 mol/L. The concentration of chloroethanol: c_{A}=c_{A0}*(1-x). The concentration of sodium bicarbonate: c_{B}=c_{B0}-c_{A0}*x. Reaction time obtained through integral calculation: t=\frac{c_{A0} \cdot x_{f}}{r_{A}}=\frac{c_{A0} \cdot x_{f}}{k \cdot c_{A} \cdot c_{B}}=\frac{x_{f}}{k \cdot (1-x_{A}) \cdot (c_{B0}-c_{A0} \cdot x_{A})}=0.11 h. Theoretical volume is v=0.11*710.97=80.46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</si>
  <si>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1.55. The reaction rate of this reaction as follows r_{A}=k*c_{A}*c_{B}The rate constant of 5.63/mol*h at reaction temperature. The conversion rate is 0.87. Please calculate the residence time and volume of the reactor.&lt;|im_end|&gt;
&lt;|im_start|&gt;assistant
</t>
  </si>
  <si>
    <t xml:space="preserve">The relative molecular weight of CH_{3}COOC_{2}H_{5} is 76 kg/kmol, NaOH is 40 kg/kmol. Raw material volumetric flow rate: Q_{0}=(1000+1000)/1.27=1574.8 m^3/h. Initial concentration of ethyl acetate: c_{A0}=1000*1000/(76*1574.8)=8.36 mol/L. Initial concentration of sodium hydroxide: c_{B0}=1000*1000*1/(40*1574.8)=15.88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v=0.02*1574.8=31.75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</si>
  <si>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1.27. The reaction rate of this reaction as follows r_{A}=k*c_{A}*c_{B}The rate constant of 5.63/mol*h at reaction temperature. The conversion rate is 0.74. Please calculate the residence time and volume of the reactor.&lt;|im_end|&gt;
&lt;|im_start|&gt;assistant
</t>
  </si>
  <si>
    <t xml:space="preserve">The relative molecular weight of CH_{3}COOC_{2}H_{5} is 76 kg/kmol, NaOH is 40 kg/kmol. Raw material volumetric flow rate: Q_{0}=(217+217)/1.63=266.26 m^3/h. Initial concentration of ethyl acetate: c_{A0}=217*1000/(76*266.26)=10.72 mol/L. Initial concentration of sodium hydroxide: c_{B0}=217*1000*1/(40*266.26)=20.38 mol/L. The concentration of chloroethanol: c_{A}=c_{A0}*(1-x). The concentration of sodium bicarbonate: c_{B}=c_{B0}-c_{A0}*x. Reaction time obtained through integral calculation: t=\frac{c_{A0} \cdot x_{f}}{r_{A}}=\frac{c_{A0} \cdot x_{f}}{k \cdot c_{A} \cdot c_{B}}=\frac{x_{f}}{k \cdot (1-x_{A}) \cdot (c_{B0}-c_{A0} \cdot x_{A})}=0.06 h. Theoretical volume is v=0.06*266.26=16.04 l.After comprehensively evaluating all factors in the reaction process, the presence of a strongly alkaline substance (sodium hydroxide) requires careful material selection. Considering cost-effectiveness requirements, we recommend using stainless steel as the reactor material.
</t>
  </si>
  <si>
    <t xml:space="preserve">&lt;|im_start|&gt;system
You are a helpful assistant.&lt;|im_end|&gt;
&lt;|im_start|&gt;user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1.63. The reaction rate of this reaction as follows r_{A}=k*c_{A}*c_{B}The rate constant of 5.63/mol*h at reaction temperature. The conversion rate is 0.8. Please calculate the residence time and volume of the reactor.&lt;|im_end|&gt;
&lt;|im_start|&gt;assistant
</t>
  </si>
  <si>
    <t xml:space="preserve">The relative molecular weight of NaHCO_{3} is 84 kg/kmol, CH_{2}ClCH_{2}OH is 80.5 kg/kmol, CH_{2}OHCH_{2}OH is 62 kg/kmol. Hourly production of ethylene glycol: 130/62=2.1kmol/h. Hourly required chloroethanol: 2.1*80.5/(0.76*0.12)=1850.77kg/h. Hourly required sodium bicarbonate: 2.1*84*3.6/(0.76*0.34)=2453.81kg/h. Raw material volumetric flow rate: Q_{0}=(1850.77+2453.81)/1.04=4139.02L/h. Initial concentration of chloroethanol: c_{A0}=2.1*1000/(0.76*4139.02)=0.67mol/L. Initial concentration of sodium bicarbonate: c_{B0}=2.1*1000*3.6/(0.76*4139.02)=2.4mol/L. The concentration of chloroethanol: c_{A}=c_{A0}*(1-x). The concentration of sodium bicarbonate: c_{B}=c_{B0}-c_{A0}*x. Reaction time obtained through integral calculation: t=\int_{0}^{x_{f} } \frac{c_{A0}dx_{A} }{r_{A}}=\int_{0}^{x_{f} } \frac{c_{A0}dx_{A} }{k*c_{A}*c_{B}}=\int_{0}^{x_{f} } \frac{dx_{A} }{k*(1-x_{A})*(c_{B0}-c_{A0}*x_{A})}=0.13 h. Theoretical volume is v=0.13*4139.02=545.49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</si>
  <si>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130kg/h. 0.12 (weight) aqueous NaHCO_{3} solution and 0.34 (weight) CH_{2}ClCH_{2}OH aqueous solution are used as raw materials. The molar ratio of sodium bicarbonate to chloroethanol in the reactor charge is 3.6, and the specific gravity of the mixture is 1.04. The reaction rate of this reaction as follows $r_{A} = k \cdot c_{A} \cdot c_{B}$The rate constant of 5.21/mol*h at reaction temperature. The conversion rate is 0.76. Please calculate the residence time and volume of the reactor.&lt;|im_end|&gt;
&lt;|im_start|&gt;assistant
</t>
  </si>
  <si>
    <t xml:space="preserve">The relative molecular weight of NaHCO_{3} is 84 kg/kmol, CH_{2}ClCH_{2}OH is 80.5 kg/kmol, CH_{2}OHCH_{2}OH is 62 kg/kmol. Hourly production of ethylene glycol: 453/62=7.31kmol/h. Hourly required chloroethanol: 7.31*80.5/(0.81*0.18)=4034.08kg/h. Hourly required sodium bicarbonate: 7.31*84*3.8/(0.81*0.23)=12518.62kg/h. Raw material volumetric flow rate: Q_{0}=(4034.08+12518.62)/1.57=10543.12L/h. Initial concentration of chloroethanol: c_{A0}=7.31*1000/(0.81*10543.12)=0.86mol/L. Initial concentration of sodium bicarbonate: c_{B0}=7.31*1000*3.8/(0.81*10543.12)=3.25mol/L. The concentration of chloroethanol: c_{A}=c_{A0}*(1-x). The concentration of sodium bicarbonate: c_{B}=c_{B0}-c_{A0}*x. Reaction time obtained through integral calculation: t=\int_{0}^{x_{f} } \frac{c_{A0}dx_{A} }{r_{A}}=\int_{0}^{x_{f} } \frac{c_{A0}dx_{A} }{k*c_{A}*c_{B}}=\int_{0}^{x_{f} } \frac{dx_{A} }{k*(1-x_{A})*(c_{B0}-c_{A0}*x_{A})}=0.11 h. Theoretical volume is v=0.11*10543.12=1200.37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</si>
  <si>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453kg/h. 0.18 (weight) aqueous NaHCO_{3} solution and 0.23 (weight) CH_{2}ClCH_{2}OH aqueous solution are used as raw materials. The molar ratio of sodium bicarbonate to chloroethanol in the reactor charge is 3.8, and the specific gravity of the mixture is 1.57. The reaction rate of this reaction as follows $r_{A} = k \cdot c_{A} \cdot c_{B}$The rate constant of 5.21/mol*h at reaction temperature. The conversion rate is 0.81. Please calculate the residence time and volume of the reactor.&lt;|im_end|&gt;
&lt;|im_start|&gt;assistant
</t>
  </si>
  <si>
    <t xml:space="preserve">The relative molecular weight of NaHCO_{3} is 84 kg/kmol, CH_{2}ClCH_{2}OH is 80.5 kg/kmol, CH_{2}OHCH_{2}OH is 62 kg/kmol. Hourly production of ethylene glycol: 602/62=9.71kmol/h. Hourly required chloroethanol: 9.71*80.5/(0.87*0.31)=2898.14kg/h. Hourly required sodium bicarbonate: 9.71*84*1.0/(0.87*0.37)=2533.75kg/h. Raw material volumetric flow rate: Q_{0}=(2898.14+2533.75)/1.59=3416.28L/h. Initial concentration of chloroethanol: c_{A0}=9.71*1000/(0.87*3416.28)=3.27mol/L. Initial concentration of sodium bicarbonate: c_{B0}=9.71*1000*1.0/(0.87*3416.28)=3.27mol/L. The concentration of chloroethanol: c_{A}=c_{A0}*(1-x). The concentration of sodium bicarbonate: c_{B}=c_{B0}-c_{A0}*x. Reaction time obtained through integral calculation: t=\int_{0}^{x_{f} } \frac{c_{A0}dx_{A} }{r_{A}}=\int_{0}^{x_{f} } \frac{c_{A0}dx_{A} }{k*c_{A}*c_{B}}=\int_{0}^{x_{f} } \frac{dx_{A} }{k*(1-x_{A})*(c_{B0}-c_{A0}*x_{A})}=0.39 h. Theoretical volume is v=0.39*3416.28=1343.26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</si>
  <si>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602kg/h. 0.31 (weight) aqueous NaHCO_{3} solution and 0.37 (weight) CH_{2}ClCH_{2}OH aqueous solution are used as raw materials. The molar ratio of sodium bicarbonate to chloroethanol in the reactor charge is 1.0, and the specific gravity of the mixture is 1.59. The reaction rate of this reaction as follows $r_{A} = k \cdot c_{A} \cdot c_{B}$The rate constant of 5.21/mol*h at reaction temperature. The conversion rate is 0.87. Please calculate the residence time and volume of the reactor.&lt;|im_end|&gt;
&lt;|im_start|&gt;assistant
</t>
  </si>
  <si>
    <t xml:space="preserve">The relative molecular weight of NaHCO_{3} is 84 kg/kmol, CH_{2}ClCH_{2}OH is 80.5 kg/kmol, CH_{2}OHCH_{2}OH is 62 kg/kmol. Hourly production of ethylene glycol: 816/62=13.16kmol/h. Hourly required chloroethanol: 13.16*80.5/(0.95*0.4)=2788.12kg/h. Hourly required sodium bicarbonate: 13.16*84*2.9/(0.95*0.45)=7499.63kg/h. Raw material volumetric flow rate: Q_{0}=(2788.12+7499.63)/1.31=7853.24L/h. Initial concentration of chloroethanol: c_{A0}=13.16*1000/(0.95*7853.24)=1.76mol/L. Initial concentration of sodium bicarbonate: c_{B0}=13.16*1000*2.9/(0.95*7853.24)=5.12mol/L. The concentration of chloroethanol: c_{A}=c_{A0}*(1-x). The concentration of sodium bicarbonate: c_{B}=c_{B0}-c_{A0}*x. Reaction time obtained through integral calculation: t=\int_{0}^{x_{f} } \frac{c_{A0}dx_{A} }{r_{A}}=\int_{0}^{x_{f} } \frac{c_{A0}dx_{A} }{k*c_{A}*c_{B}}=\int_{0}^{x_{f} } \frac{dx_{A} }{k*(1-x_{A})*(c_{B0}-c_{A0}*x_{A})}=0.15 h. Theoretical volume is v=0.15*7853.24=1168.73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</si>
  <si>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816kg/h. 0.4 (weight) aqueous NaHCO_{3} solution and 0.45 (weight) CH_{2}ClCH_{2}OH aqueous solution are used as raw materials. The molar ratio of sodium bicarbonate to chloroethanol in the reactor charge is 2.9, and the specific gravity of the mixture is 1.31. The reaction rate of this reaction as follows $r_{A} = k \cdot c_{A} \cdot c_{B}$The rate constant of 5.21/mol*h at reaction temperature. The conversion rate is 0.95. Please calculate the residence time and volume of the reactor.&lt;|im_end|&gt;
&lt;|im_start|&gt;assistant
</t>
  </si>
  <si>
    <t xml:space="preserve">The relative molecular weight of NaHCO_{3} is 84 kg/kmol, CH_{2}ClCH_{2}OH is 80.5 kg/kmol, CH_{2}OHCH_{2}OH is 62 kg/kmol. Hourly production of ethylene glycol: 464/62=7.48kmol/h. Hourly required chloroethanol: 7.48*80.5/(0.72*0.05)=16734.77kg/h. Hourly required sodium bicarbonate: 7.48*84*3.3/(0.72*0.23)=12527.35kg/h. Raw material volumetric flow rate: Q_{0}=(16734.77+12527.35)/1.41=20753.27L/h. Initial concentration of chloroethanol: c_{A0}=7.48*1000/(0.72*20753.27)=0.5mol/L. Initial concentration of sodium bicarbonate: c_{B0}=7.48*1000*3.3/(0.72*20753.27)=1.65mol/L. The concentration of chloroethanol: c_{A}=c_{A0}*(1-x). The concentration of sodium bicarbonate: c_{B}=c_{B0}-c_{A0}*x. Reaction time obtained through integral calculation: t=\int_{0}^{x_{f} } \frac{c_{A0}dx_{A} }{r_{A}}=\int_{0}^{x_{f} } \frac{c_{A0}dx_{A} }{k*c_{A}*c_{B}}=\int_{0}^{x_{f} } \frac{dx_{A} }{k*(1-x_{A})*(c_{B0}-c_{A0}*x_{A})}=0.17 h. Theoretical volume is v=0.17*20753.27=3550.7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</si>
  <si>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464kg/h. 0.05 (weight) aqueous NaHCO_{3} solution and 0.23 (weight) CH_{2}ClCH_{2}OH aqueous solution are used as raw materials. The molar ratio of sodium bicarbonate to chloroethanol in the reactor charge is 3.3, and the specific gravity of the mixture is 1.41. The reaction rate of this reaction as follows $r_{A} = k \cdot c_{A} \cdot c_{B}$The rate constant of 5.21/mol*h at reaction temperature. The conversion rate is 0.72. Please calculate the residence time and volume of the reactor.&lt;|im_end|&gt;
&lt;|im_start|&gt;assistant
</t>
  </si>
  <si>
    <t xml:space="preserve">The relative molecular weight of NaHCO_{3} is 84 kg/kmol, CH_{2}ClCH_{2}OH is 80.5 kg/kmol, CH_{2}OHCH_{2}OH is 62 kg/kmol. Hourly production of ethylene glycol: 867/62=13.98kmol/h. Hourly required chloroethanol: 13.98*80.5/(0.85*0.37)=3579.34kg/h. Hourly required sodium bicarbonate: 13.98*84*4.0/(0.85*0.42)=13161.29kg/h. Raw material volumetric flow rate: Q_{0}=(3579.34+13161.29)/1.48=11311.23L/h. Initial concentration of chloroethanol: c_{A0}=13.98*1000/(0.85*11311.23)=1.45mol/L. Initial concentration of sodium bicarbonate: c_{B0}=13.98*1000*4.0/(0.85*11311.23)=5.82mol/L. The concentration of chloroethanol: c_{A}=c_{A0}*(1-x). The concentration of sodium bicarbonate: c_{B}=c_{B0}-c_{A0}*x. Reaction time obtained through integral calculation: t=\int_{0}^{x_{f} } \frac{c_{A0}dx_{A} }{r_{A}}=\int_{0}^{x_{f} } \frac{c_{A0}dx_{A} }{k*c_{A}*c_{B}}=\int_{0}^{x_{f} } \frac{dx_{A} }{k*(1-x_{A})*(c_{B0}-c_{A0}*x_{A})}=0.07 h. Theoretical volume is v=0.07*11311.23=825.08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</si>
  <si>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867kg/h. 0.37 (weight) aqueous NaHCO_{3} solution and 0.42 (weight) CH_{2}ClCH_{2}OH aqueous solution are used as raw materials. The molar ratio of sodium bicarbonate to chloroethanol in the reactor charge is 4.0, and the specific gravity of the mixture is 1.48. The reaction rate of this reaction as follows $r_{A} = k \cdot c_{A} \cdot c_{B}$The rate constant of 5.21/mol*h at reaction temperature. The conversion rate is 0.85. Please calculate the residence time and volume of the reactor.&lt;|im_end|&gt;
&lt;|im_start|&gt;assistant
</t>
  </si>
  <si>
    <t xml:space="preserve">The relative molecular weight of NaHCO_{3} is 84 kg/kmol, CH_{2}ClCH_{2}OH is 80.5 kg/kmol, CH_{2}OHCH_{2}OH is 62 kg/kmol. Hourly production of ethylene glycol: 447/62=7.21kmol/h. Hourly required chloroethanol: 7.21*80.5/(0.86*0.1)=6748.59kg/h. Hourly required sodium bicarbonate: 7.21*84*1.1/(0.86*0.12)=6455.18kg/h. Raw material volumetric flow rate: Q_{0}=(6748.59+6455.18)/1.93=6841.33L/h. Initial concentration of chloroethanol: c_{A0}=7.21*1000/(0.86*6841.33)=1.23mol/L. Initial concentration of sodium bicarbonate: c_{B0}=7.21*1000*1.1/(0.86*6841.33)=1.35mol/L. The concentration of chloroethanol: c_{A}=c_{A0}*(1-x). The concentration of sodium bicarbonate: c_{B}=c_{B0}-c_{A0}*x. Reaction time obtained through integral calculation: t=\int_{0}^{x_{f} } \frac{c_{A0}dx_{A} }{r_{A}}=\int_{0}^{x_{f} } \frac{c_{A0}dx_{A} }{k*c_{A}*c_{B}}=\int_{0}^{x_{f} } \frac{dx_{A} }{k*(1-x_{A})*(c_{B0}-c_{A0}*x_{A})}=0.69 h. Theoretical volume is v=0.69*6841.33=4754.47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</si>
  <si>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447kg/h. 0.1 (weight) aqueous NaHCO_{3} solution and 0.12 (weight) CH_{2}ClCH_{2}OH aqueous solution are used as raw materials. The molar ratio of sodium bicarbonate to chloroethanol in the reactor charge is 1.1, and the specific gravity of the mixture is 1.93. The reaction rate of this reaction as follows $r_{A} = k \cdot c_{A} \cdot c_{B}$The rate constant of 5.21/mol*h at reaction temperature. The conversion rate is 0.86. Please calculate the residence time and volume of the reactor.&lt;|im_end|&gt;
&lt;|im_start|&gt;assistant
</t>
  </si>
  <si>
    <t xml:space="preserve">The relative molecular weight of NaHCO_{3} is 84 kg/kmol, CH_{2}ClCH_{2}OH is 80.5 kg/kmol, CH_{2}OHCH_{2}OH is 62 kg/kmol. Hourly production of ethylene glycol: 182/62=2.94kmol/h. Hourly required chloroethanol: 2.94*80.5/(0.7*0.23)=1467.74kg/h. Hourly required sodium bicarbonate: 2.94*84*1.4/(0.7*0.43)=1146.89kg/h. Raw material volumetric flow rate: Q_{0}=(1467.74+1146.89)/1.47=1778.66L/h. Initial concentration of chloroethanol: c_{A0}=2.94*1000/(0.7*1778.66)=2.36mol/L. Initial concentration of sodium bicarbonate: c_{B0}=2.94*1000*1.4/(0.7*1778.66)=3.3mol/L. The concentration of chloroethanol: c_{A}=c_{A0}*(1-x). The concentration of sodium bicarbonate: c_{B}=c_{B0}-c_{A0}*x. Reaction time obtained through integral calculation: t=\int_{0}^{x_{f} } \frac{c_{A0}dx_{A} }{r_{A}}=\int_{0}^{x_{f} } \frac{c_{A0}dx_{A} }{k*c_{A}*c_{B}}=\int_{0}^{x_{f} } \frac{dx_{A} }{k*(1-x_{A})*(c_{B0}-c_{A0}*x_{A})}=0.1 h. Theoretical volume is v=0.1*1778.66=184.92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</si>
  <si>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182kg/h. 0.23 (weight) aqueous NaHCO_{3} solution and 0.43 (weight) CH_{2}ClCH_{2}OH aqueous solution are used as raw materials. The molar ratio of sodium bicarbonate to chloroethanol in the reactor charge is 1.4, and the specific gravity of the mixture is 1.47. The reaction rate of this reaction as follows $r_{A} = k \cdot c_{A} \cdot c_{B}$The rate constant of 5.21/mol*h at reaction temperature. The conversion rate is 0.7. Please calculate the residence time and volume of the reactor.&lt;|im_end|&gt;
&lt;|im_start|&gt;assistant
</t>
  </si>
  <si>
    <t xml:space="preserve">The relative molecular weight of NaHCO_{3} is 84 kg/kmol, CH_{2}ClCH_{2}OH is 80.5 kg/kmol, CH_{2}OHCH_{2}OH is 62 kg/kmol. Hourly production of ethylene glycol: 115/62=1.85kmol/h. Hourly required chloroethanol: 1.85*80.5/(0.84*0.49)=362.77kg/h. Hourly required sodium bicarbonate: 1.85*84*2.4/(0.84*0.5)=890.32kg/h. Raw material volumetric flow rate: Q_{0}=(362.77+890.32)/1.15=1089.64L/h. Initial concentration of chloroethanol: c_{A0}=1.85*1000/(0.84*1089.64)=2.03mol/L. Initial concentration of sodium bicarbonate: c_{B0}=1.85*1000*2.4/(0.84*1089.64)=4.86mol/L. The concentration of chloroethanol: c_{A}=c_{A0}*(1-x). The concentration of sodium bicarbonate: c_{B}=c_{B0}-c_{A0}*x. Reaction time obtained through integral calculation: t=\int_{0}^{x_{f} } \frac{c_{A0}dx_{A} }{r_{A}}=\int_{0}^{x_{f} } \frac{c_{A0}dx_{A} }{k*c_{A}*c_{B}}=\int_{0}^{x_{f} } \frac{dx_{A} }{k*(1-x_{A})*(c_{B0}-c_{A0}*x_{A})}=0.09 h. Theoretical volume is v=0.09*1089.64=103.34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</si>
  <si>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115kg/h. 0.49 (weight) aqueous NaHCO_{3} solution and 0.5 (weight) CH_{2}ClCH_{2}OH aqueous solution are used as raw materials. The molar ratio of sodium bicarbonate to chloroethanol in the reactor charge is 2.4, and the specific gravity of the mixture is 1.15. The reaction rate of this reaction as follows $r_{A} = k \cdot c_{A} \cdot c_{B}$The rate constant of 5.21/mol*h at reaction temperature. The conversion rate is 0.84. Please calculate the residence time and volume of the reactor.&lt;|im_end|&gt;
&lt;|im_start|&gt;assistant
</t>
  </si>
  <si>
    <t xml:space="preserve">The relative molecular weight of NaHCO_{3} is 84 kg/kmol, CH_{2}ClCH_{2}OH is 80.5 kg/kmol, CH_{2}OHCH_{2}OH is 62 kg/kmol. Hourly production of ethylene glycol: 782/62=12.61kmol/h. Hourly required chloroethanol: 12.61*80.5/(0.76*0.1)=13359.72kg/h. Hourly required sodium bicarbonate: 12.61*84*1.9/(0.76*0.47)=5635.55kg/h. Raw material volumetric flow rate: Q_{0}=(13359.72+5635.55)/1.91=9945.17L/h. Initial concentration of chloroethanol: c_{A0}=12.61*1000/(0.76*9945.17)=1.67mol/L. Initial concentration of sodium bicarbonate: c_{B0}=12.61*1000*1.9/(0.76*9945.17)=3.17mol/L. The concentration of chloroethanol: c_{A}=c_{A0}*(1-x). The concentration of sodium bicarbonate: c_{B}=c_{B0}-c_{A0}*x. Reaction time obtained through integral calculation: t=\int_{0}^{x_{f} } \frac{c_{A0}dx_{A} }{r_{A}}=\int_{0}^{x_{f} } \frac{c_{A0}dx_{A} }{k*c_{A}*c_{B}}=\int_{0}^{x_{f} } \frac{dx_{A} }{k*(1-x_{A})*(c_{B0}-c_{A0}*x_{A})}=0.12 h. Theoretical volume is v=0.12*9945.17=1164.6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</si>
  <si>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782kg/h. 0.1 (weight) aqueous NaHCO_{3} solution and 0.47 (weight) CH_{2}ClCH_{2}OH aqueous solution are used as raw materials. The molar ratio of sodium bicarbonate to chloroethanol in the reactor charge is 1.9, and the specific gravity of the mixture is 1.91. The reaction rate of this reaction as follows $r_{A} = k \cdot c_{A} \cdot c_{B}$The rate constant of 5.21/mol*h at reaction temperature. The conversion rate is 0.76. Please calculate the residence time and volume of the reactor.&lt;|im_end|&gt;
&lt;|im_start|&gt;assistant
</t>
  </si>
  <si>
    <t xml:space="preserve">The relative molecular weight of NaHCO_{3} is 84 kg/kmol, CH_{2}ClCH_{2}OH is 80.5 kg/kmol, CH_{2}OHCH_{2}OH is 62 kg/kmol. Hourly production of ethylene glycol: 480/62=7.74kmol/h. Hourly required chloroethanol: 7.74*80.5/(0.9*0.09)=7694.15kg/h. Hourly required sodium bicarbonate: 7.74*84*3.8/(0.9*0.26)=10560.79kg/h. Raw material volumetric flow rate: Q_{0}=(7694.15+10560.79)/1.55=11777.38L/h. Initial concentration of chloroethanol: c_{A0}=7.74*1000/(0.9*11777.38)=0.73mol/L. Initial concentration of sodium bicarbonate: c_{B0}=7.74*1000*3.8/(0.9*11777.38)=2.78mol/L. The concentration of chloroethanol: c_{A}=c_{A0}*(1-x). The concentration of sodium bicarbonate: c_{B}=c_{B0}-c_{A0}*x. Reaction time obtained through integral calculation: t=\int_{0}^{x_{f} } \frac{c_{A0}dx_{A} }{r_{A}}=\int_{0}^{x_{f} } \frac{c_{A0}dx_{A} }{k*c_{A}*c_{B}}=\int_{0}^{x_{f} } \frac{dx_{A} }{k*(1-x_{A})*(c_{B0}-c_{A0}*x_{A})}=0.19 h. Theoretical volume is v=0.19*11777.38=2246.37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</si>
  <si>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480kg/h. 0.09 (weight) aqueous NaHCO_{3} solution and 0.26 (weight) CH_{2}ClCH_{2}OH aqueous solution are used as raw materials. The molar ratio of sodium bicarbonate to chloroethanol in the reactor charge is 3.8, and the specific gravity of the mixture is 1.55. The reaction rate of this reaction as follows $r_{A} = k \cdot c_{A} \cdot c_{B}$The rate constant of 5.21/mol*h at reaction temperature. The conversion rate is 0.9. Please calculate the residence time and volume of the reactor.&lt;|im_end|&gt;
&lt;|im_start|&gt;assistant
</t>
  </si>
  <si>
    <t xml:space="preserve">The relative molecular weight of NaHCO_{3} is 84 kg/kmol, CH_{2}ClCH_{2}OH is 80.5 kg/kmol, CH_{2}OHCH_{2}OH is 62 kg/kmol. Hourly production of ethylene glycol: 604/62=9.74kmol/h. Hourly required chloroethanol: 9.74*80.5/(0.98*0.26)=3077.81kg/h. Hourly required sodium bicarbonate: 9.74*84*1.8/(0.98*0.36)=4175.12kg/h. Raw material volumetric flow rate: Q_{0}=(3077.81+4175.12)/1.21=5994.15L/h. Initial concentration of chloroethanol: c_{A0}=9.74*1000/(0.98*5994.15)=1.66mol/L. Initial concentration of sodium bicarbonate: c_{B0}=9.74*1000*1.8/(0.98*5994.15)=2.99mol/L. The concentration of chloroethanol: c_{A}=c_{A0}*(1-x). The concentration of sodium bicarbonate: c_{B}=c_{B0}-c_{A0}*x. Reaction time obtained through integral calculation: t=\int_{0}^{x_{f} } \frac{c_{A0}dx_{A} }{r_{A}}=\int_{0}^{x_{f} } \frac{c_{A0}dx_{A} }{k*c_{A}*c_{B}}=\int_{0}^{x_{f} } \frac{dx_{A} }{k*(1-x_{A})*(c_{B0}-c_{A0}*x_{A})}=0.45 h. Theoretical volume is v=0.45*5994.15=2710.62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</si>
  <si>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604kg/h. 0.26 (weight) aqueous NaHCO_{3} solution and 0.36 (weight) CH_{2}ClCH_{2}OH aqueous solution are used as raw materials. The molar ratio of sodium bicarbonate to chloroethanol in the reactor charge is 1.8, and the specific gravity of the mixture is 1.21. The reaction rate of this reaction as follows $r_{A} = k \cdot c_{A} \cdot c_{B}$The rate constant of 5.21/mol*h at reaction temperature. The conversion rate is 0.98. Please calculate the residence time and volume of the reactor.&lt;|im_end|&gt;
&lt;|im_start|&gt;assistant
</t>
  </si>
  <si>
    <t xml:space="preserve">The relative molecular weight of NaHCO_{3} is 84 kg/kmol, CH_{2}ClCH_{2}OH is 80.5 kg/kmol, CH_{2}OHCH_{2}OH is 62 kg/kmol. Hourly production of ethylene glycol: 441/62=7.11kmol/h. Hourly required chloroethanol: 7.11*80.5/(0.79*0.17)=4263.5kg/h. Hourly required sodium bicarbonate: 7.11*84*1.7/(0.79*0.22)=5844.2kg/h. Raw material volumetric flow rate: Q_{0}=(4263.5+5844.2)/1.32=7657.35L/h. Initial concentration of chloroethanol: c_{A0}=7.11*1000/(0.79*7657.35)=1.18mol/L. Initial concentration of sodium bicarbonate: c_{B0}=7.11*1000*1.7/(0.79*7657.35)=2.0mol/L. The concentration of chloroethanol: c_{A}=c_{A0}*(1-x). The concentration of sodium bicarbonate: c_{B}=c_{B0}-c_{A0}*x. Reaction time obtained through integral calculation: t=\frac{c_{A0}*x_{f}}{r_{A}}=\frac{c_{A0}*x_{f}}{k*c_{A}*c_{B}}=\frac{x_{f}}{k*(1-x_{A})*(c_{B0}-c_{A0}*x_{A})}=0.67 h. Theoretical volume is v=0.67*7657.35=5167.33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</si>
  <si>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441kg/h. 0.17 (weight) aqueous NaHCO_{3} solution and 0.22 (weight) CH_{2}ClCH_{2}OH aqueous solution are used as raw materials. The molar ratio of sodium bicarbonate to chloroethanol in the reactor charge is 1.7, and the specific gravity of the mixture is 1.32. The reaction rate of this reaction as follows $r_{A} = k \cdot c_{A} \cdot c_{B}$The rate constant of 5.21/mol*h at reaction temperature. The conversion rate is 0.79. Please calculate the residence time and volume of the reactor.&lt;|im_end|&gt;
&lt;|im_start|&gt;assistant
</t>
  </si>
  <si>
    <t xml:space="preserve">The relative molecular weight of NaHCO_{3} is 84 kg/kmol, CH_{2}ClCH_{2}OH is 80.5 kg/kmol, CH_{2}OHCH_{2}OH is 62 kg/kmol. Hourly production of ethylene glycol: 666/62=10.74kmol/h. Hourly required chloroethanol: 10.74*80.5/(0.9*0.15)=6405.38kg/h. Hourly required sodium bicarbonate: 10.74*84*1.4/(0.9*0.24)=5848.39kg/h. Raw material volumetric flow rate: Q_{0}=(6405.38+5848.39)/1.46=8392.99L/h. Initial concentration of chloroethanol: c_{A0}=10.74*1000/(0.9*8392.99)=1.42mol/L. Initial concentration of sodium bicarbonate: c_{B0}=10.74*1000*1.4/(0.9*8392.99)=1.99mol/L. The concentration of chloroethanol: c_{A}=c_{A0}*(1-x). The concentration of sodium bicarbonate: c_{B}=c_{B0}-c_{A0}*x. Reaction time obtained through integral calculation: t=\int_{0}^{x_{f} } \frac{c_{A0}dx_{A} }{r_{A}}=\int_{0}^{x_{f} } \frac{c_{A0}dx_{A} }{k*c_{A}*c_{B}}=\int_{0}^{x_{f} } \frac{dx_{A} }{k*(1-x_{A})*(c_{B0}-c_{A0}*x_{A})}=0.43 h. Theoretical volume is v=0.43*8392.99=3605.06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</si>
  <si>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666kg/h. 0.15 (weight) aqueous NaHCO_{3} solution and 0.24 (weight) CH_{2}ClCH_{2}OH aqueous solution are used as raw materials. The molar ratio of sodium bicarbonate to chloroethanol in the reactor charge is 1.4, and the specific gravity of the mixture is 1.46. The reaction rate of this reaction as follows $r_{A} = k \cdot c_{A} \cdot c_{B}$The rate constant of 5.21/mol*h at reaction temperature. The conversion rate is 0.9. Please calculate the residence time and volume of the reactor.&lt;|im_end|&gt;
&lt;|im_start|&gt;assistant
</t>
  </si>
  <si>
    <t xml:space="preserve">The relative molecular weight of NaHCO_{3} is 84 kg/kmol, CH_{2}ClCH_{2}OH is 80.5 kg/kmol, CH_{2}OHCH_{2}OH is 62 kg/kmol. Hourly production of ethylene glycol: 751/62=12.11kmol/h. Hourly required chloroethanol: 12.11*80.5/(0.96*0.21)=4836.75kg/h. Hourly required sodium bicarbonate: 12.11*84*2.9/(0.96*0.24)=12806.87kg/h. Raw material volumetric flow rate: Q_{0}=(4836.75+12806.87)/1.59=11096.62L/h. Initial concentration of chloroethanol: c_{A0}=12.11*1000/(0.96*11096.62)=1.14mol/L. Initial concentration of sodium bicarbonate: c_{B0}=12.11*1000*2.9/(0.96*11096.62)=3.3mol/L. The concentration of chloroethanol: c_{A}=c_{A0}*(1-x). The concentration of sodium bicarbonate: c_{B}=c_{B0}-c_{A0}*x. Reaction time obtained through integral calculation: t=\int_{0}^{x_{f} } \frac{c_{A0}dx_{A} }{r_{A}}=\int_{0}^{x_{f} } \frac{c_{A0}dx_{A} }{k*c_{A}*c_{B}}=\int_{0}^{x_{f} } \frac{dx_{A} }{k*(1-x_{A})*(c_{B0}-c_{A0}*x_{A})}=0.25 h. Theoretical volume is v=0.25*11096.62=2777.01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</si>
  <si>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751kg/h. 0.21 (weight) aqueous NaHCO_{3} solution and 0.24 (weight) CH_{2}ClCH_{2}OH aqueous solution are used as raw materials. The molar ratio of sodium bicarbonate to chloroethanol in the reactor charge is 2.9, and the specific gravity of the mixture is 1.59. The reaction rate of this reaction as follows $r_{A} = k \cdot c_{A} \cdot c_{B}$The rate constant of 5.21/mol*h at reaction temperature. The conversion rate is 0.96. Please calculate the residence time and volume of the reactor.&lt;|im_end|&gt;
&lt;|im_start|&gt;assistant
</t>
  </si>
  <si>
    <t xml:space="preserve">The relative molecular weight of NaHCO_{3} is 84 kg/kmol, CH_{2}ClCH_{2}OH is 80.5 kg/kmol, CH_{2}OHCH_{2}OH is 62 kg/kmol. Hourly production of ethylene glycol: 587/62=9.47kmol/h. Hourly required chloroethanol: 9.47*80.5/(0.71*0.13)=8257.35kg/h. Hourly required sodium bicarbonate: 9.47*84*5.0/(0.71*0.27)=20743.1kg/h. Raw material volumetric flow rate: Q_{0}=(8257.35+20743.1)/1.78=16292.38L/h. Initial concentration of chloroethanol: c_{A0}=9.47*1000/(0.71*16292.38)=0.82mol/L. Initial concentration of sodium bicarbonate: c_{B0}=9.47*1000*5.0/(0.71*16292.38)=4.09mol/L. The concentration of chloroethanol: c_{A}=c_{A0}*(1-x). The concentration of sodium bicarbonate: c_{B}=c_{B0}-c_{A0}*x. Reaction time obtained through integral calculation: t=\int_{0}^{x_{f} } \frac{c_{A0}dx_{A} }{r_{A}}=\int_{0}^{x_{f} } \frac{c_{A0}dx_{A} }{k*c_{A}*c_{B}}=\int_{0}^{x_{f} } \frac{dx_{A} }{k*(1-x_{A})*(c_{B0}-c_{A0}*x_{A})}=0.06 h. Theoretical volume is v=0.06*16292.38=1036.1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</si>
  <si>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587kg/h. 0.13 (weight) aqueous NaHCO_{3} solution and 0.27 (weight) CH_{2}ClCH_{2}OH aqueous solution are used as raw materials. The molar ratio of sodium bicarbonate to chloroethanol in the reactor charge is 5.0, and the specific gravity of the mixture is 1.78. The reaction rate of this reaction as follows $r_{A} = k \cdot c_{A} \cdot c_{B}$The rate constant of 5.21/mol*h at reaction temperature. The conversion rate is 0.71. Please calculate the residence time and volume of the reactor.&lt;|im_end|&gt;
&lt;|im_start|&gt;assistant
</t>
  </si>
  <si>
    <t xml:space="preserve">The relative molecular weight of NaHCO_{3} is 84 kg/kmol, CH_{2}ClCH_{2}OH is 80.5 kg/kmol, CH_{2}OHCH_{2}OH is 62 kg/kmol. Hourly production of ethylene glycol: 839/62=13.53kmol/h. Hourly required chloroethanol: 13.53*80.5/(0.98*0.08)=13894.73kg/h. Hourly required sodium bicarbonate: 13.53*84*3.1/(0.98*0.26)=13829.67kg/h. Raw material volumetric flow rate: Q_{0}=(13894.73+13829.67)/1.88=14747.02L/h. Initial concentration of chloroethanol: c_{A0}=13.53*1000/(0.98*14747.02)=0.94mol/L. Initial concentration of sodium bicarbonate: c_{B0}=13.53*1000*3.1/(0.98*14747.02)=2.9mol/L. The concentration of chloroethanol: c_{A}=c_{A0}*(1-x). The concentration of sodium bicarbonate: c_{B}=c_{B0}-c_{A0}*x. Reaction time obtained through integral calculation: t=\frac{c_{A0}*x_{f}}{r_{A}}=\frac{c_{A0}*x_{f}}{k*c_{A}*c_{B}}=\frac{x_{f}}{k*(1-x_{A})*(c_{B0}-c_{A0}*x_{A})}=4.74 h. Theoretical volume is v=4.74*14747.02=69869.38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</si>
  <si>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839kg/h. 0.08 (weight) aqueous NaHCO_{3} solution and 0.26 (weight) CH_{2}ClCH_{2}OH aqueous solution are used as raw materials. The molar ratio of sodium bicarbonate to chloroethanol in the reactor charge is 3.1, and the specific gravity of the mixture is 1.88. The reaction rate of this reaction as follows $r_{A} = k \cdot c_{A} \cdot c_{B}$The rate constant of 5.21/mol*h at reaction temperature. The conversion rate is 0.98. Please calculate the residence time and volume of the reactor.&lt;|im_end|&gt;
&lt;|im_start|&gt;assistant
</t>
  </si>
  <si>
    <t xml:space="preserve">The relative molecular weight of NaHCO_{3} is 84 kg/kmol, CH_{2}ClCH_{2}OH is 80.5 kg/kmol, CH_{2}OHCH_{2}OH is 62 kg/kmol. Hourly production of ethylene glycol: 853/62=13.76kmol/h. Hourly required chloroethanol: 13.76*80.5/(0.96*0.21)=5493.67kg/h. Hourly required sodium bicarbonate: 13.76*84*4.8/(0.96*0.29)=19925.47kg/h. Raw material volumetric flow rate: Q_{0}=(5493.67+19925.47)/1.35=18829.0L/h. Initial concentration of chloroethanol: c_{A0}=13.76*1000/(0.96*18829.0)=0.76mol/L. Initial concentration of sodium bicarbonate: c_{B0}=13.76*1000*4.8/(0.96*18829.0)=3.65mol/L. The concentration of chloroethanol: c_{A}=c_{A0}*(1-x). The concentration of sodium bicarbonate: c_{B}=c_{B0}-c_{A0}*x. Reaction time obtained through integral calculation: t=\int_{0}^{x_{f} } \frac{c_{A0}dx_{A} }{r_{A}}=\int_{0}^{x_{f} } \frac{c_{A0}dx_{A} }{k*c_{A}*c_{B}}=\int_{0}^{x_{f} } \frac{dx_{A} }{k*(1-x_{A})*(c_{B0}-c_{A0}*x_{A})}=0.2 h. Theoretical volume is v=0.2*18829.0=3743.26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</si>
  <si>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853kg/h. 0.21 (weight) aqueous NaHCO_{3} solution and 0.29 (weight) CH_{2}ClCH_{2}OH aqueous solution are used as raw materials. The molar ratio of sodium bicarbonate to chloroethanol in the reactor charge is 4.8, and the specific gravity of the mixture is 1.35. The reaction rate of this reaction as follows $r_{A} = k \cdot c_{A} \cdot c_{B}$The rate constant of 5.21/mol*h at reaction temperature. The conversion rate is 0.96. Please calculate the residence time and volume of the reactor.&lt;|im_end|&gt;
&lt;|im_start|&gt;assistant
</t>
  </si>
  <si>
    <t xml:space="preserve">The relative molecular weight of NaHCO_{3} is 84 kg/kmol, CH_{2}ClCH_{2}OH is 80.5 kg/kmol, CH_{2}OHCH_{2}OH is 62 kg/kmol. Hourly production of ethylene glycol: 353/62=5.69kmol/h. Hourly required chloroethanol: 5.69*80.5/(0.95*0.13)=3711.18kg/h. Hourly required sodium bicarbonate: 5.69*84*3.9/(0.95*0.22)=8924.43kg/h. Raw material volumetric flow rate: Q_{0}=(3711.18+8924.43)/1.79=7059.0L/h. Initial concentration of chloroethanol: c_{A0}=5.69*1000/(0.95*7059.0)=0.85mol/L. Initial concentration of sodium bicarbonate: c_{B0}=5.69*1000*3.9/(0.95*7059.0)=3.31mol/L. The concentration of chloroethanol: c_{A}=c_{A0}*(1-x). The concentration of sodium bicarbonate: c_{B}=c_{B0}-c_{A0}*x. Reaction time obtained through integral calculation: t=\int_{0}^{x_{f} } \frac{c_{A0}dx_{A} }{r_{A}}=\int_{0}^{x_{f} } \frac{c_{A0}dx_{A} }{k*c_{A}*c_{B}}=\int_{0}^{x_{f} } \frac{dx_{A} }{k*(1-x_{A})*(c_{B0}-c_{A0}*x_{A})}=0.21 h. Theoretical volume is v=0.21*7059.0=1494.9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</si>
  <si>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353kg/h. 0.13 (weight) aqueous NaHCO_{3} solution and 0.22 (weight) CH_{2}ClCH_{2}OH aqueous solution are used as raw materials. The molar ratio of sodium bicarbonate to chloroethanol in the reactor charge is 3.9, and the specific gravity of the mixture is 1.79. The reaction rate of this reaction as follows $r_{A} = k \cdot c_{A} \cdot c_{B}$The rate constant of 5.21/mol*h at reaction temperature. The conversion rate is 0.95. Please calculate the residence time and volume of the reactor.&lt;|im_end|&gt;
&lt;|im_start|&gt;assistant
</t>
  </si>
  <si>
    <t xml:space="preserve">The relative molecular weight of NaHCO_{3} is 84 kg/kmol, CH_{2}ClCH_{2}OH is 80.5 kg/kmol, CH_{2}OHCH_{2}OH is 62 kg/kmol. Hourly production of ethylene glycol: 651/62=10.5kmol/h. Hourly required chloroethanol: 10.5*80.5/(0.94*0.21)=4281.91kg/h. Hourly required sodium bicarbonate: 10.5*84*3.1/(0.94*0.38)=7654.54kg/h. Raw material volumetric flow rate: Q_{0}=(4281.91+7654.54)/1.97=6059.11L/h. Initial concentration of chloroethanol: c_{A0}=10.5*1000/(0.94*6059.11)=1.84mol/L. Initial concentration of sodium bicarbonate: c_{B0}=10.5*1000*3.1/(0.94*6059.11)=5.71mol/L. The concentration of chloroethanol: c_{A}=c_{A0}*(1-x). The concentration of sodium bicarbonate: c_{B}=c_{B0}-c_{A0}*x. Reaction time obtained through integral calculation: t=\int_{0}^{x_{f} } \frac{c_{A0}dx_{A} }{r_{A}}=\int_{0}^{x_{f} } \frac{c_{A0}dx_{A} }{k*c_{A}*c_{B}}=\int_{0}^{x_{f} } \frac{dx_{A} }{k*(1-x_{A})*(c_{B0}-c_{A0}*x_{A})}=0.12 h. Theoretical volume is v=0.12*6059.11=736.62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</si>
  <si>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651kg/h. 0.21 (weight) aqueous NaHCO_{3} solution and 0.38 (weight) CH_{2}ClCH_{2}OH aqueous solution are used as raw materials. The molar ratio of sodium bicarbonate to chloroethanol in the reactor charge is 3.1, and the specific gravity of the mixture is 1.97. The reaction rate of this reaction as follows $r_{A} = k \cdot c_{A} \cdot c_{B}$The rate constant of 5.21/mol*h at reaction temperature. The conversion rate is 0.94. Please calculate the residence time and volume of the reactor.&lt;|im_end|&gt;
&lt;|im_start|&gt;assistant
</t>
  </si>
  <si>
    <t xml:space="preserve">The relative molecular weight of NaHCO_{3} is 84 kg/kmol, CH_{2}ClCH_{2}OH is 80.5 kg/kmol, CH_{2}OHCH_{2}OH is 62 kg/kmol. Hourly production of ethylene glycol: 242/62=3.9kmol/h. Hourly required chloroethanol: 3.9*80.5/(0.9*0.25)=1396.49kg/h. Hourly required sodium bicarbonate: 3.9*84*1.5/(0.9*0.33)=1655.91kg/h. Raw material volumetric flow rate: Q_{0}=(1396.49+1655.91)/1.63=1872.64L/h. Initial concentration of chloroethanol: c_{A0}=3.9*1000/(0.9*1872.64)=2.32mol/L. Initial concentration of sodium bicarbonate: c_{B0}=3.9*1000*1.5/(0.9*1872.64)=3.47mol/L. The concentration of chloroethanol: c_{A}=c_{A0}*(1-x). The concentration of sodium bicarbonate: c_{B}=c_{B0}-c_{A0}*x. Reaction time obtained through integral calculation: t=\int_{0}^{x_{f} } \frac{c_{A0}dx_{A} }{r_{A}}=\int_{0}^{x_{f} } \frac{c_{A0}dx_{A} }{k*c_{A}*c_{B}}=\int_{0}^{x_{f} } \frac{dx_{A} }{k*(1-x_{A})*(c_{B0}-c_{A0}*x_{A})}=0.23 h. Theoretical volume is v=0.23*1872.64=430.3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</si>
  <si>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242kg/h. 0.25 (weight) aqueous NaHCO_{3} solution and 0.33 (weight) CH_{2}ClCH_{2}OH aqueous solution are used as raw materials. The molar ratio of sodium bicarbonate to chloroethanol in the reactor charge is 1.5, and the specific gravity of the mixture is 1.63. The reaction rate of this reaction as follows $r_{A} = k \cdot c_{A} \cdot c_{B}$The rate constant of 5.21/mol*h at reaction temperature. The conversion rate is 0.9. Please calculate the residence time and volume of the reactor.&lt;|im_end|&gt;
&lt;|im_start|&gt;assistant
</t>
  </si>
  <si>
    <t xml:space="preserve">The relative molecular weight of NaHCO_{3} is 84 kg/kmol, CH_{2}ClCH_{2}OH is 80.5 kg/kmol, CH_{2}OHCH_{2}OH is 62 kg/kmol. Hourly production of ethylene glycol: 491/62=7.92kmol/h. Hourly required chloroethanol: 7.92*80.5/(0.89*0.16)=4476.88kg/h. Hourly required sodium bicarbonate: 7.92*84*1.4/(0.89*0.41)=2552.25kg/h. Raw material volumetric flow rate: Q_{0}=(4476.88+2552.25)/1.87=3758.89L/h. Initial concentration of chloroethanol: c_{A0}=7.92*1000/(0.89*3758.89)=2.37mol/L. Initial concentration of sodium bicarbonate: c_{B0}=7.92*1000*1.4/(0.89*3758.89)=3.31mol/L. The concentration of chloroethanol: c_{A}=c_{A0}*(1-x). The concentration of sodium bicarbonate: c_{B}=c_{B0}-c_{A0}*x. Reaction time obtained through integral calculation: t=\int_{0}^{x_{f} } \frac{c_{A0}dx_{A} }{r_{A}}=\int_{0}^{x_{f} } \frac{c_{A0}dx_{A} }{k*c_{A}*c_{B}}=\int_{0}^{x_{f} } \frac{dx_{A} }{k*(1-x_{A})*(c_{B0}-c_{A0}*x_{A})}=0.24 h. Theoretical volume is v=0.24*3758.89=912.4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</si>
  <si>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491kg/h. 0.16 (weight) aqueous NaHCO_{3} solution and 0.41 (weight) CH_{2}ClCH_{2}OH aqueous solution are used as raw materials. The molar ratio of sodium bicarbonate to chloroethanol in the reactor charge is 1.4, and the specific gravity of the mixture is 1.87. The reaction rate of this reaction as follows $r_{A} = k \cdot c_{A} \cdot c_{B}$The rate constant of 5.21/mol*h at reaction temperature. The conversion rate is 0.89. Please calculate the residence time and volume of the reactor.&lt;|im_end|&gt;
&lt;|im_start|&gt;assistant
</t>
  </si>
  <si>
    <t xml:space="preserve">The relative molecular weight of NaHCO_{3} is 84 kg/kmol, CH_{2}ClCH_{2}OH is 80.5 kg/kmol, CH_{2}OHCH_{2}OH is 62 kg/kmol. Hourly production of ethylene glycol: 792/62=12.77kmol/h. Hourly required chloroethanol: 12.77*80.5/(0.92*0.31)=3605.62kg/h. Hourly required sodium bicarbonate: 12.77*84*2.3/(0.92*0.45)=5961.29kg/h. Raw material volumetric flow rate: Q_{0}=(3605.62+5961.29)/1.8=5314.95L/h. Initial concentration of chloroethanol: c_{A0}=12.77*1000/(0.92*5314.95)=2.61mol/L. Initial concentration of sodium bicarbonate: c_{B0}=12.77*1000*2.3/(0.92*5314.95)=6.01mol/L. The concentration of chloroethanol: c_{A}=c_{A0}*(1-x). The concentration of sodium bicarbonate: c_{B}=c_{B0}-c_{A0}*x. Reaction time obtained through integral calculation: t=\int_{0}^{x_{f} } \frac{c_{A0}dx_{A} }{r_{A}}=\int_{0}^{x_{f} } \frac{c_{A0}dx_{A} }{k*c_{A}*c_{B}}=\int_{0}^{x_{f} } \frac{dx_{A} }{k*(1-x_{A})*(c_{B0}-c_{A0}*x_{A})}=0.11 h. Theoretical volume is v=0.11*5314.95=605.24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</si>
  <si>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792kg/h. 0.31 (weight) aqueous NaHCO_{3} solution and 0.45 (weight) CH_{2}ClCH_{2}OH aqueous solution are used as raw materials. The molar ratio of sodium bicarbonate to chloroethanol in the reactor charge is 2.3, and the specific gravity of the mixture is 1.8. The reaction rate of this reaction as follows $r_{A} = k \cdot c_{A} \cdot c_{B}$The rate constant of 5.21/mol*h at reaction temperature. The conversion rate is 0.92. Please calculate the residence time and volume of the reactor.&lt;|im_end|&gt;
&lt;|im_start|&gt;assistant
</t>
  </si>
  <si>
    <t xml:space="preserve">The relative molecular weight of NaHCO_{3} is 84 kg/kmol, CH_{2}ClCH_{2}OH is 80.5 kg/kmol, CH_{2}OHCH_{2}OH is 62 kg/kmol. Hourly production of ethylene glycol: 411/62=6.63kmol/h. Hourly required chloroethanol: 6.63*80.5/(0.74*0.15)=4807.54kg/h. Hourly required sodium bicarbonate: 6.63*84*2.6/(0.74*0.45)=4347.69kg/h. Raw material volumetric flow rate: Q_{0}=(4807.54+4347.69)/1.32=6935.78L/h. Initial concentration of chloroethanol: c_{A0}=6.63*1000/(0.74*6935.78)=1.29mol/L. Initial concentration of sodium bicarbonate: c_{B0}=6.63*1000*2.6/(0.74*6935.78)=3.36mol/L. The concentration of chloroethanol: c_{A}=c_{A0}*(1-x). The concentration of sodium bicarbonate: c_{B}=c_{B0}-c_{A0}*x. Reaction time obtained through integral calculation: t=\int_{0}^{x_{f} } \frac{c_{A0}dx_{A} }{r_{A}}=\int_{0}^{x_{f} } \frac{c_{A0}dx_{A} }{k*c_{A}*c_{B}}=\int_{0}^{x_{f} } \frac{dx_{A} }{k*(1-x_{A})*(c_{B0}-c_{A0}*x_{A})}=0.09 h. Theoretical volume is v=0.09*6935.78=652.01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</si>
  <si>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411kg/h. 0.15 (weight) aqueous NaHCO_{3} solution and 0.45 (weight) CH_{2}ClCH_{2}OH aqueous solution are used as raw materials. The molar ratio of sodium bicarbonate to chloroethanol in the reactor charge is 2.6, and the specific gravity of the mixture is 1.32. The reaction rate of this reaction as follows $r_{A} = k \cdot c_{A} \cdot c_{B}$The rate constant of 5.21/mol*h at reaction temperature. The conversion rate is 0.74. Please calculate the residence time and volume of the reactor.&lt;|im_end|&gt;
&lt;|im_start|&gt;assistant
</t>
  </si>
  <si>
    <t xml:space="preserve">The relative molecular weight of NaHCO_{3} is 84 kg/kmol, CH_{2}ClCH_{2}OH is 80.5 kg/kmol, CH_{2}OHCH_{2}OH is 62 kg/kmol. Hourly production of ethylene glycol: 776/62=12.52kmol/h. Hourly required chloroethanol: 12.52*80.5/(0.92*0.23)=4761.57kg/h. Hourly required sodium bicarbonate: 12.52*84*4.9/(0.92*0.33)=16968.51kg/h. Raw material volumetric flow rate: Q_{0}=(4761.57+16968.51)/1.33=16338.4L/h. Initial concentration of chloroethanol: c_{A0}=12.52*1000/(0.92*16338.4)=0.83mol/L. Initial concentration of sodium bicarbonate: c_{B0}=12.52*1000*4.9/(0.92*16338.4)=4.08mol/L. The concentration of chloroethanol: c_{A}=c_{A0}*(1-x). The concentration of sodium bicarbonate: c_{B}=c_{B0}-c_{A0}*x. Reaction time obtained through integral calculation: t=\int_{0}^{x_{f} } \frac{c_{A0}dx_{A} }{r_{A}}=\int_{0}^{x_{f} } \frac{c_{A0}dx_{A} }{k*c_{A}*c_{B}}=\int_{0}^{x_{f} } \frac{dx_{A} }{k*(1-x_{A})*(c_{B0}-c_{A0}*x_{A})}=0.14 h. Theoretical volume is v=0.14*16338.4=2238.24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</si>
  <si>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776kg/h. 0.23 (weight) aqueous NaHCO_{3} solution and 0.33 (weight) CH_{2}ClCH_{2}OH aqueous solution are used as raw materials. The molar ratio of sodium bicarbonate to chloroethanol in the reactor charge is 4.9, and the specific gravity of the mixture is 1.33. The reaction rate of this reaction as follows $r_{A} = k \cdot c_{A} \cdot c_{B}$The rate constant of 5.21/mol*h at reaction temperature. The conversion rate is 0.92. Please calculate the residence time and volume of the reactor.&lt;|im_end|&gt;
&lt;|im_start|&gt;assistant
</t>
  </si>
  <si>
    <t xml:space="preserve">The relative molecular weight of NaHCO_{3} is 84 kg/kmol, CH_{2}ClCH_{2}OH is 80.5 kg/kmol, CH_{2}OHCH_{2}OH is 62 kg/kmol. Hourly production of ethylene glycol: 384/62=6.19kmol/h. Hourly required chloroethanol: 6.19*80.5/(0.84*0.44)=1348.97kg/h. Hourly required sodium bicarbonate: 6.19*84*4.6/(0.84*0.47)=6061.77kg/h. Raw material volumetric flow rate: Q_{0}=(1348.97+6061.77)/1.37=5409.3L/h. Initial concentration of chloroethanol: c_{A0}=6.19*1000/(0.84*5409.3)=1.36mol/L. Initial concentration of sodium bicarbonate: c_{B0}=6.19*1000*4.6/(0.84*5409.3)=6.27mol/L. The concentration of chloroethanol: c_{A}=c_{A0}*(1-x). The concentration of sodium bicarbonate: c_{B}=c_{B0}-c_{A0}*x. Reaction time obtained through integral calculation: t=\frac{c_{A0}*x_{f}}{r_{A}}=\frac{c_{A0}*x_{f}}{k*c_{A}*c_{B}}=\frac{x_{f}}{k*(1-x_{A})*(c_{B0}-c_{A0}*x_{A})}=0.2 h. Theoretical volume is v=0.2*5409.3=1063.55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</si>
  <si>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384kg/h. 0.44 (weight) aqueous NaHCO_{3} solution and 0.47 (weight) CH_{2}ClCH_{2}OH aqueous solution are used as raw materials. The molar ratio of sodium bicarbonate to chloroethanol in the reactor charge is 4.6, and the specific gravity of the mixture is 1.37. The reaction rate of this reaction as follows $r_{A} = k \cdot c_{A} \cdot c_{B}$The rate constant of 5.21/mol*h at reaction temperature. The conversion rate is 0.84. Please calculate the residence time and volume of the reactor.&lt;|im_end|&gt;
&lt;|im_start|&gt;assistant
</t>
  </si>
  <si>
    <t xml:space="preserve">The relative molecular weight of NaHCO_{3} is 84 kg/kmol, CH_{2}ClCH_{2}OH is 80.5 kg/kmol, CH_{2}OHCH_{2}OH is 62 kg/kmol. Hourly production of ethylene glycol: 332/62=5.35kmol/h. Hourly required chloroethanol: 5.35*80.5/(0.73*0.09)=6561.1kg/h. Hourly required sodium bicarbonate: 5.35*84*2.7/(0.73*0.24)=6931.95kg/h. Raw material volumetric flow rate: Q_{0}=(6561.1+6931.95)/1.96=6884.21L/h. Initial concentration of chloroethanol: c_{A0}=5.35*1000/(0.73*6884.21)=1.07mol/L. Initial concentration of sodium bicarbonate: c_{B0}=5.35*1000*2.7/(0.73*6884.21)=2.88mol/L. The concentration of chloroethanol: c_{A}=c_{A0}*(1-x). The concentration of sodium bicarbonate: c_{B}=c_{B0}-c_{A0}*x. Reaction time obtained through integral calculation: t=\frac{c_{A0}*x_{f}}{r_{A}}=\frac{c_{A0}*x_{f}}{k*c_{A}*c_{B}}=\frac{x_{f}}{k*(1-x_{A})*(c_{B0}-c_{A0}*x_{A})}=0.25 h. Theoretical volume is v=0.25*6884.21=1701.92 l.After comprehensively considering various factors in the reaction process, the operating temperatures remain moderate with no presence of highly corrosive substances. Given the cost considerations, we recommend using carbon steel as the reactor material.
</t>
  </si>
  <si>
    <t xml:space="preserve">The relative molecular weight of NaHCO_{3} is 84 kg/kmol, CH_{2}ClCH_{2}OH is 80.5 kg/kmol, CH_{2}OHCH_{2}OH is 62 kg/kmol. Hourly production of ethylene glycol: 848/62=13.68kmol/h. Hourly required chloroethanol: 13.68*80.5/(0.87*0.22)=5752.52kg/h. Hourly required sodium bicarbonate: 13.68*84*4.4/(0.87*0.4)=14526.36kg/h. Raw material volumetric flow rate: Q_{0}=(5752.52+14526.36)/1.45=13985.44L/h. Initial concentration of chloroethanol: c_{A0}=13.68*1000/(0.87*13985.44)=1.12mol/L. Initial concentration of sodium bicarbonate: c_{B0}=13.68*1000*4.4/(0.87*13985.44)=4.95mol/L. The concentration of chloroethanol: c_{A}=c_{A0}*(1-x). The concentration of sodium bicarbonate: c_{B}=c_{B0}-c_{A0}*x. Reaction time obtained through integral calculation: t=\int_{0}^{x_{f} } \frac{c_{A0}dx_{A} }{r_{A}}=\int_{0}^{x_{f} } \frac{c_{A0}dx_{A} }{k*c_{A}*c_{B}}=\int_{0}^{x_{f} } \frac{dx_{A} }{k*(1-x_{A})*(c_{B0}-c_{A0}*x_{A})}=0.09 h. Theoretical volume is v=0.09*13985.44=1278.21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</si>
  <si>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848kg/h. 0.22 (weight) aqueous NaHCO_{3} solution and 0.4 (weight) CH_{2}ClCH_{2}OH aqueous solution are used as raw materials. The molar ratio of sodium bicarbonate to chloroethanol in the reactor charge is 4.4, and the specific gravity of the mixture is 1.45. The reaction rate of this reaction as follows $r_{A} = k \cdot c_{A} \cdot c_{B}$The rate constant of 5.21/mol*h at reaction temperature. The conversion rate is 0.87. Please calculate the residence time and volume of the reactor.&lt;|im_end|&gt;
&lt;|im_start|&gt;assistant
</t>
  </si>
  <si>
    <t xml:space="preserve">The relative molecular weight of NaHCO_{3} is 84 kg/kmol, CH_{2}ClCH_{2}OH is 80.5 kg/kmol, CH_{2}OHCH_{2}OH is 62 kg/kmol. Hourly production of ethylene glycol: 597/62=9.63kmol/h. Hourly required chloroethanol: 9.63*80.5/(0.84*0.09)=10253.14kg/h. Hourly required sodium bicarbonate: 9.63*84*3.0/(0.84*0.16)=18054.44kg/h. Raw material volumetric flow rate: Q_{0}=(10253.14+18054.44)/1.35=20968.57L/h. Initial concentration of chloroethanol: c_{A0}=9.63*1000/(0.84*20968.57)=0.55mol/L. Initial concentration of sodium bicarbonate: c_{B0}=9.63*1000*3.0/(0.84*20968.57)=1.64mol/L. The concentration of chloroethanol: c_{A}=c_{A0}*(1-x). The concentration of sodium bicarbonate: c_{B}=c_{B0}-c_{A0}*x. Reaction time obtained through integral calculation: t=\int_{0}^{x_{f} } \frac{c_{A0}dx_{A} }{r_{A}}=\int_{0}^{x_{f} } \frac{c_{A0}dx_{A} }{k*c_{A}*c_{B}}=\int_{0}^{x_{f} } \frac{dx_{A} }{k*(1-x_{A})*(c_{B0}-c_{A0}*x_{A})}=0.26 h. Theoretical volume is v=0.26*20968.57=5536.52 l.After comprehensively considering various factors in the reaction process, the operating temperatures remain moderate with no presence of highly corrosive substances. Given the cost considerations, we recommend using carbon steel as the reactor material.
</t>
  </si>
  <si>
    <t xml:space="preserve">The relative molecular weight of NaHCO_{3} is 84 kg/kmol, CH_{2}ClCH_{2}OH is 80.5 kg/kmol, CH_{2}OHCH_{2}OH is 62 kg/kmol. Hourly production of ethylene glycol: 300/62=4.84kmol/h. Hourly required chloroethanol: 4.84*80.5/(0.8*0.25)=1947.58kg/h. Hourly required sodium bicarbonate: 4.84*84*2.1/(0.8*0.47)=2270.08kg/h. Raw material volumetric flow rate: Q_{0}=(1947.58+2270.08)/1.63=2587.52L/h. Initial concentration of chloroethanol: c_{A0}=4.84*1000/(0.8*2587.52)=2.34mol/L. Initial concentration of sodium bicarbonate: c_{B0}=4.84*1000*2.1/(0.8*2587.52)=4.91mol/L. The concentration of chloroethanol: c_{A}=c_{A0}*(1-x). The concentration of sodium bicarbonate: c_{B}=c_{B0}-c_{A0}*x. Reaction time obtained through integral calculation: t=\int_{0}^{x_{f} } \frac{c_{A0}dx_{A} }{r_{A}}=\int_{0}^{x_{f} } \frac{c_{A0}dx_{A} }{k*c_{A}*c_{B}}=\int_{0}^{x_{f} } \frac{dx_{A} }{k*(1-x_{A})*(c_{B0}-c_{A0}*x_{A})}=0.08 h. Theoretical volume is v=0.08*2587.52=218.23 l.After comprehensively considering various factors in the reaction process, the operating temperatures remain moderate with no presence of highly corrosive substances. Given the cost considerations, we recommend using carbon steel as the reactor material.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</si>
  <si>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930 kg/h. The mixture density is 1.07 kg/L. Assuming pure feed streams, the required conversion of acetic acid (A) is 0.55. Please calculate the reactor residence time and volume.&lt;|im_end|&gt;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</si>
  <si>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431 kg/h. The mixture density is 0.85 kg/L. Assuming pure feed streams, the required conversion of acetic acid (A) is 0.42. Please calculate the reactor residence time and volume.&lt;|im_end|&gt;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</si>
  <si>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886 kg/h. The mixture density is 0.95 kg/L. Assuming pure feed streams, the required conversion of acetic acid (A) is 0.59. Please calculate the reactor residence time and volume.&lt;|im_end|&gt;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</si>
  <si>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755 kg/h. The mixture density is 1.01 kg/L. Assuming pure feed streams, the required conversion of acetic acid (A) is 0.63. Please calculate the reactor residence time and volume.&lt;|im_end|&gt;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</si>
  <si>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PFR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184 kg/h. The mixture density is 1.0 kg/L. Assuming pure feed streams, the required conversion of acetic acid (A) is 0.62. Please calculate the reactor residence time and volume.&lt;|im_end|&gt;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</si>
  <si>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315 kg/h. The mixture density is 0.86 kg/L. Assuming pure feed streams, the required conversion of acetic acid (A) is 0.56. Please calculate the reactor residence time and volume.&lt;|im_end|&gt;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</si>
  <si>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344 kg/h. The mixture density is 1.05 kg/L. Assuming pure feed streams, the required conversion of acetic acid (A) is 0.53. Please calculate the reactor residence time and volume.&lt;|im_end|&gt;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</si>
  <si>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264 kg/h. The mixture density is 0.95 kg/L. Assuming pure feed streams, the required conversion of acetic acid (A) is 0.61. Please calculate the reactor residence time and volume.&lt;|im_end|&gt;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</si>
  <si>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206 kg/h. The mixture density is 0.93 kg/L. Assuming pure feed streams, the required conversion of acetic acid (A) is 0.42. Please calculate the reactor residence time and volume.&lt;|im_end|&gt;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</si>
  <si>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782 kg/h. The mixture density is 0.84 kg/L. Assuming pure feed streams, the required conversion of acetic acid (A) is 0.62. Please calculate the reactor residence time and volume.&lt;|im_end|&gt;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</si>
  <si>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345 kg/h. The mixture density is 0.81 kg/L. Assuming pure feed streams, the required conversion of acetic acid (A) is 0.64. Please calculate the reactor residence time and volume.&lt;|im_end|&gt;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</si>
  <si>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782 kg/h. The mixture density is 1.18 kg/L. Assuming pure feed streams, the required conversion of acetic acid (A) is 0.62. Please calculate the reactor residence time and volume.&lt;|im_end|&gt;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</si>
  <si>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172 kg/h. The mixture density is 0.93 kg/L. Assuming pure feed streams, the required conversion of acetic acid (A) is 0.47. Please calculate the reactor residence time and volume.&lt;|im_end|&gt;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</si>
  <si>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633 kg/h. The mixture density is 0.91 kg/L. Assuming pure feed streams, the required conversion of acetic acid (A) is 0.61. Please calculate the reactor residence time and volume.&lt;|im_end|&gt;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</si>
  <si>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529 kg/h. The mixture density is 1.04 kg/L. Assuming pure feed streams, the required conversion of acetic acid (A) is 0.44. Please calculate the reactor residence time and volume.&lt;|im_end|&gt;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</si>
  <si>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PFR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169 kg/h. The mixture density is 1.01 kg/L. Assuming pure feed streams, the required conversion of acetic acid (A) is 0.52. Please calculate the reactor residence time and volume.&lt;|im_end|&gt;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</si>
  <si>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128 kg/h. The mixture density is 1.15 kg/L. Assuming pure feed streams, the required conversion of acetic acid (A) is 0.65. Please calculate the reactor residence time and volume.&lt;|im_end|&gt;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</si>
  <si>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637 kg/h. The mixture density is 0.8 kg/L. Assuming pure feed streams, the required conversion of acetic acid (A) is 0.61. Please calculate the reactor residence time and volume.&lt;|im_end|&gt;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</si>
  <si>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494 kg/h. The mixture density is 0.85 kg/L. Assuming pure feed streams, the required conversion of acetic acid (A) is 0.45. Please calculate the reactor residence time and volume.&lt;|im_end|&gt;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</si>
  <si>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695 kg/h. The mixture density is 1.05 kg/L. Assuming pure feed streams, the required conversion of acetic acid (A) is 0.6. Please calculate the reactor residence time and volume.&lt;|im_end|&gt;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</si>
  <si>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108 kg/h. The mixture density is 1.14 kg/L. Assuming pure feed streams, the required conversion of acetic acid (A) is 0.48. Please calculate the reactor residence time and volume.&lt;|im_end|&gt;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</si>
  <si>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PFR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675 kg/h. The mixture density is 0.99 kg/L. Assuming pure feed streams, the required conversion of acetic acid (A) is 0.46. Please calculate the reactor residence time and volume.&lt;|im_end|&gt;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</si>
  <si>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675 kg/h. The mixture density is 1.12 kg/L. Assuming pure feed streams, the required conversion of acetic acid (A) is 0.56. Please calculate the reactor residence time and volume.&lt;|im_end|&gt;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</si>
  <si>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921 kg/h. The mixture density is 1.08 kg/L. Assuming pure feed streams, the required conversion of acetic acid (A) is 0.63. Please calculate the reactor residence time and volume.&lt;|im_end|&gt;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</si>
  <si>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839 kg/h. The mixture density is 0.89 kg/L. Assuming pure feed streams, the required conversion of acetic acid (A) is 0.52. Please calculate the reactor residence time and volume.&lt;|im_end|&gt;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</si>
  <si>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PFR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723 kg/h. The mixture density is 0.79 kg/L. Assuming pure feed streams, the required conversion of acetic acid (A) is 0.6. Please calculate the reactor residence time and volume.&lt;|im_end|&gt;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</si>
  <si>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343 kg/h. The mixture density is 0.93 kg/L. Assuming pure feed streams, the required conversion of acetic acid (A) is 0.48. Please calculate the reactor residence time and volume.&lt;|im_end|&gt;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</si>
  <si>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123 kg/h. The mixture density is 1.05 kg/L. Assuming pure feed streams, the required conversion of acetic acid (A) is 0.57. Please calculate the reactor residence time and volume.&lt;|im_end|&gt;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</si>
  <si>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1.19. The reaction rate of this reaction as follows r_{A}=k*c_{A}*c_{B}The rate constant of 5.63/mol*h at reaction temperature. The conversion rate is 0.79.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</si>
  <si>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1.83. The reaction rate of this reaction as follows r_{A}=k*c_{A}*c_{B}The rate constant of 5.63/mol*h at reaction temperature. The conversion rate is 0.94.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</si>
  <si>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1.63. The reaction rate of this reaction as follows r_{A}=k*c_{A}*c_{B}The rate constant of 5.63/mol*h at reaction temperature. The conversion rate is 0.72.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</si>
  <si>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1.9. The reaction rate of this reaction as follows r_{A}=k*c_{A}*c_{B}The rate constant of 5.63/mol*h at reaction temperature. The conversion rate is 0.9.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</si>
  <si>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1.7. The reaction rate of this reaction as follows r_{A}=k*c_{A}*c_{B}The rate constant of 5.63/mol*h at reaction temperature. The conversion rate is 0.79.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</si>
  <si>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1.01. The reaction rate of this reaction as follows r_{A}=k*c_{A}*c_{B}The rate constant of 5.63/mol*h at reaction temperature. The conversion rate is 0.76.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</si>
  <si>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1.64. The reaction rate of this reaction as follows r_{A}=k*c_{A}*c_{B}The rate constant of 5.63/mol*h at reaction temperature. The conversion rate is 0.78.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</si>
  <si>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1.29. The reaction rate of this reaction as follows r_{A}=k*c_{A}*c_{B}The rate constant of 5.63/mol*h at reaction temperature. The conversion rate is 0.84.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</si>
  <si>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1.75. The reaction rate of this reaction as follows r_{A}=k*c_{A}*c_{B}The rate constant of 5.63/mol*h at reaction temperature. The conversion rate is 0.79.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</si>
  <si>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1.49. The reaction rate of this reaction as follows r_{A}=k*c_{A}*c_{B}The rate constant of 5.63/mol*h at reaction temperature. The conversion rate is 0.86.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</si>
  <si>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1.82. The reaction rate of this reaction as follows r_{A}=k*c_{A}*c_{B}The rate constant of 5.63/mol*h at reaction temperature. The conversion rate is 0.74. Please calculate the residence time and volume of the reactor.&lt;|im_end|&gt;
&lt;|im_start|&gt;assistant
</t>
  </si>
  <si>
    <t>The relative molecular weight of CH_{3}COOC_{2}H_{5} is 76 kg/kmol, NaOH is 40 kg/kmol. Raw material volumetric flow rate: Q_{0}=(998+998)/1.87=1065.14 m^3/h. Initial concentration of ethyl acetate: c_{A0}=998*1000/(76*1065.14)=12.37 mol/L. Initial concentration of sodium hydroxide: c_{B0}=998*1000*1/(40*1065.14)=23.5 mol/L. The concentration of chloroethanol: c_{A}=c_{A0}*(1-x). The concentration of sodium bicarbonate: c_{B}=c_{B0}-c_{A0}*x. Reaction time obtained through integral calculation: t=\frac{c_{A0} \cdot x_{f}}{r_{A}}=\frac{c_{A0} \cdot x_{f}}{k \cdot c_{A} \cdot c_{B}}=\frac{x_{f}}{k \cdot (1-x_{A}) \cdot (c_{B0}-c_{A0} \cdot x_{A})}=0.06 h. Theoretical volume is v=0.06*1065.14=63.22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</si>
  <si>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1.87. The reaction rate of this reaction as follows r_{A}=k*c_{A}*c_{B}The rate constant of 5.63/mol*h at reaction temperature. The conversion rate is 0.87.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</si>
  <si>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1.47. The reaction rate of this reaction as follows r_{A}=k*c_{A}*c_{B}The rate constant of 5.63/mol*h at reaction temperature. The conversion rate is 0.88.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</si>
  <si>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1.33. The reaction rate of this reaction as follows r_{A}=k*c_{A}*c_{B}The rate constant of 5.63/mol*h at reaction temperature. The conversion rate is 0.86.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</si>
  <si>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1.3. The reaction rate of this reaction as follows r_{A}=k*c_{A}*c_{B}The rate constant of 5.63/mol*h at reaction temperature. The conversion rate is 0.81.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</si>
  <si>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1.45. The reaction rate of this reaction as follows r_{A}=k*c_{A}*c_{B}The rate constant of 5.63/mol*h at reaction temperature. The conversion rate is 0.82.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</si>
  <si>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1.55. The reaction rate of this reaction as follows r_{A}=k*c_{A}*c_{B}The rate constant of 5.63/mol*h at reaction temperature. The conversion rate is 0.8.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</si>
  <si>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1.16. The reaction rate of this reaction as follows r_{A}=k*c_{A}*c_{B}The rate constant of 5.63/mol*h at reaction temperature. The conversion rate is 0.76.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</si>
  <si>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1.61. The reaction rate of this reaction as follows r_{A}=k*c_{A}*c_{B}The rate constant of 5.63/mol*h at reaction temperature. The conversion rate is 0.97.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</si>
  <si>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1.23. The reaction rate of this reaction as follows r_{A}=k*c_{A}*c_{B}The rate constant of 5.63/mol*h at reaction temperature. The conversion rate is 0.87.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</si>
  <si>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1.9. The reaction rate of this reaction as follows r_{A}=k*c_{A}*c_{B}The rate constant of 5.63/mol*h at reaction temperature. The conversion rate is 0.83.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</si>
  <si>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1.37. The reaction rate of this reaction as follows r_{A}=k*c_{A}*c_{B}The rate constant of 5.63/mol*h at reaction temperature. The conversion rate is 0.97.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</si>
  <si>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1.47. The reaction rate of this reaction as follows r_{A}=k*c_{A}*c_{B}The rate constant of 5.63/mol*h at reaction temperature. The conversion rate is 0.75.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</si>
  <si>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1.16. The reaction rate of this reaction as follows r_{A}=k*c_{A}*c_{B}The rate constant of 5.63/mol*h at reaction temperature. The conversion rate is 0.98.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</si>
  <si>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1.51. The reaction rate of this reaction as follows r_{A}=k*c_{A}*c_{B}The rate constant of 5.63/mol*h at reaction temperature. The conversion rate is 0.87.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</si>
  <si>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1.14. The reaction rate of this reaction as follows r_{A}=k*c_{A}*c_{B}The rate constant of 5.63/mol*h at reaction temperature. The conversion rate is 0.9.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</si>
  <si>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1.77. The reaction rate of this reaction as follows r_{A}=k*c_{A}*c_{B}The rate constant of 5.63/mol*h at reaction temperature. The conversion rate is 0.87.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</si>
  <si>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1.55. The reaction rate of this reaction as follows r_{A}=k*c_{A}*c_{B}The rate constant of 5.63/mol*h at reaction temperature. The conversion rate is 0.87.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</si>
  <si>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1.27. The reaction rate of this reaction as follows r_{A}=k*c_{A}*c_{B}The rate constant of 5.63/mol*h at reaction temperature. The conversion rate is 0.74.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</si>
  <si>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1.63. The reaction rate of this reaction as follows r_{A}=k*c_{A}*c_{B}The rate constant of 5.63/mol*h at reaction temperature. The conversion rate is 0.8.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</si>
  <si>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130kg/h. 0.12 (weight) aqueous NaHCO_{3} solution and 0.34 (weight) CH_{2}ClCH_{2}OH aqueous solution are used as raw materials. The molar ratio of sodium bicarbonate to chloroethanol in the reactor charge is 3.6, and the specific gravity of the mixture is 1.04. The reaction rate of this reaction as follows $r_{A} = k \cdot c_{A} \cdot c_{B}$The rate constant of 5.21/mol*h at reaction temperature. The conversion rate is 0.76.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</si>
  <si>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453kg/h. 0.18 (weight) aqueous NaHCO_{3} solution and 0.23 (weight) CH_{2}ClCH_{2}OH aqueous solution are used as raw materials. The molar ratio of sodium bicarbonate to chloroethanol in the reactor charge is 3.8, and the specific gravity of the mixture is 1.57. The reaction rate of this reaction as follows $r_{A} = k \cdot c_{A} \cdot c_{B}$The rate constant of 5.21/mol*h at reaction temperature. The conversion rate is 0.81.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</si>
  <si>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602kg/h. 0.31 (weight) aqueous NaHCO_{3} solution and 0.37 (weight) CH_{2}ClCH_{2}OH aqueous solution are used as raw materials. The molar ratio of sodium bicarbonate to chloroethanol in the reactor charge is 1.0, and the specific gravity of the mixture is 1.59. The reaction rate of this reaction as follows $r_{A} = k \cdot c_{A} \cdot c_{B}$The rate constant of 5.21/mol*h at reaction temperature. The conversion rate is 0.87.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</si>
  <si>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816kg/h. 0.4 (weight) aqueous NaHCO_{3} solution and 0.45 (weight) CH_{2}ClCH_{2}OH aqueous solution are used as raw materials. The molar ratio of sodium bicarbonate to chloroethanol in the reactor charge is 2.9, and the specific gravity of the mixture is 1.31. The reaction rate of this reaction as follows $r_{A} = k \cdot c_{A} \cdot c_{B}$The rate constant of 5.21/mol*h at reaction temperature. The conversion rate is 0.95.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</si>
  <si>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464kg/h. 0.05 (weight) aqueous NaHCO_{3} solution and 0.23 (weight) CH_{2}ClCH_{2}OH aqueous solution are used as raw materials. The molar ratio of sodium bicarbonate to chloroethanol in the reactor charge is 3.3, and the specific gravity of the mixture is 1.41. The reaction rate of this reaction as follows $r_{A} = k \cdot c_{A} \cdot c_{B}$The rate constant of 5.21/mol*h at reaction temperature. The conversion rate is 0.72.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</si>
  <si>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867kg/h. 0.37 (weight) aqueous NaHCO_{3} solution and 0.42 (weight) CH_{2}ClCH_{2}OH aqueous solution are used as raw materials. The molar ratio of sodium bicarbonate to chloroethanol in the reactor charge is 4.0, and the specific gravity of the mixture is 1.48. The reaction rate of this reaction as follows $r_{A} = k \cdot c_{A} \cdot c_{B}$The rate constant of 5.21/mol*h at reaction temperature. The conversion rate is 0.85.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</si>
  <si>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447kg/h. 0.1 (weight) aqueous NaHCO_{3} solution and 0.12 (weight) CH_{2}ClCH_{2}OH aqueous solution are used as raw materials. The molar ratio of sodium bicarbonate to chloroethanol in the reactor charge is 1.1, and the specific gravity of the mixture is 1.93. The reaction rate of this reaction as follows $r_{A} = k \cdot c_{A} \cdot c_{B}$The rate constant of 5.21/mol*h at reaction temperature. The conversion rate is 0.86.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</si>
  <si>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182kg/h. 0.23 (weight) aqueous NaHCO_{3} solution and 0.43 (weight) CH_{2}ClCH_{2}OH aqueous solution are used as raw materials. The molar ratio of sodium bicarbonate to chloroethanol in the reactor charge is 1.4, and the specific gravity of the mixture is 1.47. The reaction rate of this reaction as follows $r_{A} = k \cdot c_{A} \cdot c_{B}$The rate constant of 5.21/mol*h at reaction temperature. The conversion rate is 0.7.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</si>
  <si>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115kg/h. 0.49 (weight) aqueous NaHCO_{3} solution and 0.5 (weight) CH_{2}ClCH_{2}OH aqueous solution are used as raw materials. The molar ratio of sodium bicarbonate to chloroethanol in the reactor charge is 2.4, and the specific gravity of the mixture is 1.15. The reaction rate of this reaction as follows $r_{A} = k \cdot c_{A} \cdot c_{B}$The rate constant of 5.21/mol*h at reaction temperature. The conversion rate is 0.84.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</si>
  <si>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782kg/h. 0.1 (weight) aqueous NaHCO_{3} solution and 0.47 (weight) CH_{2}ClCH_{2}OH aqueous solution are used as raw materials. The molar ratio of sodium bicarbonate to chloroethanol in the reactor charge is 1.9, and the specific gravity of the mixture is 1.91. The reaction rate of this reaction as follows $r_{A} = k \cdot c_{A} \cdot c_{B}$The rate constant of 5.21/mol*h at reaction temperature. The conversion rate is 0.76.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</si>
  <si>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480kg/h. 0.09 (weight) aqueous NaHCO_{3} solution and 0.26 (weight) CH_{2}ClCH_{2}OH aqueous solution are used as raw materials. The molar ratio of sodium bicarbonate to chloroethanol in the reactor charge is 3.8, and the specific gravity of the mixture is 1.55. The reaction rate of this reaction as follows $r_{A} = k \cdot c_{A} \cdot c_{B}$The rate constant of 5.21/mol*h at reaction temperature. The conversion rate is 0.9.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</si>
  <si>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604kg/h. 0.26 (weight) aqueous NaHCO_{3} solution and 0.36 (weight) CH_{2}ClCH_{2}OH aqueous solution are used as raw materials. The molar ratio of sodium bicarbonate to chloroethanol in the reactor charge is 1.8, and the specific gravity of the mixture is 1.21. The reaction rate of this reaction as follows $r_{A} = k \cdot c_{A} \cdot c_{B}$The rate constant of 5.21/mol*h at reaction temperature. The conversion rate is 0.98.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</si>
  <si>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441kg/h. 0.17 (weight) aqueous NaHCO_{3} solution and 0.22 (weight) CH_{2}ClCH_{2}OH aqueous solution are used as raw materials. The molar ratio of sodium bicarbonate to chloroethanol in the reactor charge is 1.7, and the specific gravity of the mixture is 1.32. The reaction rate of this reaction as follows $r_{A} = k \cdot c_{A} \cdot c_{B}$The rate constant of 5.21/mol*h at reaction temperature. The conversion rate is 0.79.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</si>
  <si>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666kg/h. 0.15 (weight) aqueous NaHCO_{3} solution and 0.24 (weight) CH_{2}ClCH_{2}OH aqueous solution are used as raw materials. The molar ratio of sodium bicarbonate to chloroethanol in the reactor charge is 1.4, and the specific gravity of the mixture is 1.46. The reaction rate of this reaction as follows $r_{A} = k \cdot c_{A} \cdot c_{B}$The rate constant of 5.21/mol*h at reaction temperature. The conversion rate is 0.9.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</si>
  <si>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751kg/h. 0.21 (weight) aqueous NaHCO_{3} solution and 0.24 (weight) CH_{2}ClCH_{2}OH aqueous solution are used as raw materials. The molar ratio of sodium bicarbonate to chloroethanol in the reactor charge is 2.9, and the specific gravity of the mixture is 1.59. The reaction rate of this reaction as follows $r_{A} = k \cdot c_{A} \cdot c_{B}$The rate constant of 5.21/mol*h at reaction temperature. The conversion rate is 0.96.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</si>
  <si>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587kg/h. 0.13 (weight) aqueous NaHCO_{3} solution and 0.27 (weight) CH_{2}ClCH_{2}OH aqueous solution are used as raw materials. The molar ratio of sodium bicarbonate to chloroethanol in the reactor charge is 5.0, and the specific gravity of the mixture is 1.78. The reaction rate of this reaction as follows $r_{A} = k \cdot c_{A} \cdot c_{B}$The rate constant of 5.21/mol*h at reaction temperature. The conversion rate is 0.71.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</si>
  <si>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839kg/h. 0.08 (weight) aqueous NaHCO_{3} solution and 0.26 (weight) CH_{2}ClCH_{2}OH aqueous solution are used as raw materials. The molar ratio of sodium bicarbonate to chloroethanol in the reactor charge is 3.1, and the specific gravity of the mixture is 1.88. The reaction rate of this reaction as follows $r_{A} = k \cdot c_{A} \cdot c_{B}$The rate constant of 5.21/mol*h at reaction temperature. The conversion rate is 0.98.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</si>
  <si>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853kg/h. 0.21 (weight) aqueous NaHCO_{3} solution and 0.29 (weight) CH_{2}ClCH_{2}OH aqueous solution are used as raw materials. The molar ratio of sodium bicarbonate to chloroethanol in the reactor charge is 4.8, and the specific gravity of the mixture is 1.35. The reaction rate of this reaction as follows $r_{A} = k \cdot c_{A} \cdot c_{B}$The rate constant of 5.21/mol*h at reaction temperature. The conversion rate is 0.96.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</si>
  <si>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353kg/h. 0.13 (weight) aqueous NaHCO_{3} solution and 0.22 (weight) CH_{2}ClCH_{2}OH aqueous solution are used as raw materials. The molar ratio of sodium bicarbonate to chloroethanol in the reactor charge is 3.9, and the specific gravity of the mixture is 1.79. The reaction rate of this reaction as follows $r_{A} = k \cdot c_{A} \cdot c_{B}$The rate constant of 5.21/mol*h at reaction temperature. The conversion rate is 0.95.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</si>
  <si>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651kg/h. 0.21 (weight) aqueous NaHCO_{3} solution and 0.38 (weight) CH_{2}ClCH_{2}OH aqueous solution are used as raw materials. The molar ratio of sodium bicarbonate to chloroethanol in the reactor charge is 3.1, and the specific gravity of the mixture is 1.97. The reaction rate of this reaction as follows $r_{A} = k \cdot c_{A} \cdot c_{B}$The rate constant of 5.21/mol*h at reaction temperature. The conversion rate is 0.94.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</si>
  <si>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242kg/h. 0.25 (weight) aqueous NaHCO_{3} solution and 0.33 (weight) CH_{2}ClCH_{2}OH aqueous solution are used as raw materials. The molar ratio of sodium bicarbonate to chloroethanol in the reactor charge is 1.5, and the specific gravity of the mixture is 1.63. The reaction rate of this reaction as follows $r_{A} = k \cdot c_{A} \cdot c_{B}$The rate constant of 5.21/mol*h at reaction temperature. The conversion rate is 0.9.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</si>
  <si>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491kg/h. 0.16 (weight) aqueous NaHCO_{3} solution and 0.41 (weight) CH_{2}ClCH_{2}OH aqueous solution are used as raw materials. The molar ratio of sodium bicarbonate to chloroethanol in the reactor charge is 1.4, and the specific gravity of the mixture is 1.87. The reaction rate of this reaction as follows $r_{A} = k \cdot c_{A} \cdot c_{B}$The rate constant of 5.21/mol*h at reaction temperature. The conversion rate is 0.89.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</si>
  <si>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792kg/h. 0.31 (weight) aqueous NaHCO_{3} solution and 0.45 (weight) CH_{2}ClCH_{2}OH aqueous solution are used as raw materials. The molar ratio of sodium bicarbonate to chloroethanol in the reactor charge is 2.3, and the specific gravity of the mixture is 1.8. The reaction rate of this reaction as follows $r_{A} = k \cdot c_{A} \cdot c_{B}$The rate constant of 5.21/mol*h at reaction temperature. The conversion rate is 0.92.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</si>
  <si>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411kg/h. 0.15 (weight) aqueous NaHCO_{3} solution and 0.45 (weight) CH_{2}ClCH_{2}OH aqueous solution are used as raw materials. The molar ratio of sodium bicarbonate to chloroethanol in the reactor charge is 2.6, and the specific gravity of the mixture is 1.32. The reaction rate of this reaction as follows $r_{A} = k \cdot c_{A} \cdot c_{B}$The rate constant of 5.21/mol*h at reaction temperature. The conversion rate is 0.74.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</si>
  <si>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776kg/h. 0.23 (weight) aqueous NaHCO_{3} solution and 0.33 (weight) CH_{2}ClCH_{2}OH aqueous solution are used as raw materials. The molar ratio of sodium bicarbonate to chloroethanol in the reactor charge is 4.9, and the specific gravity of the mixture is 1.33. The reaction rate of this reaction as follows $r_{A} = k \cdot c_{A} \cdot c_{B}$The rate constant of 5.21/mol*h at reaction temperature. The conversion rate is 0.92.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</si>
  <si>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384kg/h. 0.44 (weight) aqueous NaHCO_{3} solution and 0.47 (weight) CH_{2}ClCH_{2}OH aqueous solution are used as raw materials. The molar ratio of sodium bicarbonate to chloroethanol in the reactor charge is 4.6, and the specific gravity of the mixture is 1.37. The reaction rate of this reaction as follows $r_{A} = k \cdot c_{A} \cdot c_{B}$The rate constant of 5.21/mol*h at reaction temperature. The conversion rate is 0.84.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</si>
  <si>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332kg/h. 0.09 (weight) aqueous NaHCO_{3} solution and 0.24 (weight) CH_{2}ClCH_{2}OH aqueous solution are used as raw materials. The molar ratio of sodium bicarbonate to chloroethanol in the reactor charge is 2.7, and the specific gravity of the mixture is 1.96. The reaction rate of this reaction as follows $r_{A} = k \cdot c_{A} \cdot c_{B}$The rate constant of 5.21/mol*h at reaction temperature. The conversion rate is 0.73.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</si>
  <si>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848kg/h. 0.22 (weight) aqueous NaHCO_{3} solution and 0.4 (weight) CH_{2}ClCH_{2}OH aqueous solution are used as raw materials. The molar ratio of sodium bicarbonate to chloroethanol in the reactor charge is 4.4, and the specific gravity of the mixture is 1.45. The reaction rate of this reaction as follows $r_{A} = k \cdot c_{A} \cdot c_{B}$The rate constant of 5.21/mol*h at reaction temperature. The conversion rate is 0.87.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</si>
  <si>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597kg/h. 0.09 (weight) aqueous NaHCO_{3} solution and 0.16 (weight) CH_{2}ClCH_{2}OH aqueous solution are used as raw materials. The molar ratio of sodium bicarbonate to chloroethanol in the reactor charge is 3.0, and the specific gravity of the mixture is 1.35. The reaction rate of this reaction as follows $r_{A} = k \cdot c_{A} \cdot c_{B}$The rate constant of 5.21/mol*h at reaction temperature. The conversion rate is 0.84. Please calculate the residence time and volume of the reactor.&lt;|im_end|&gt;
&lt;|im_start|&gt;assistant
</t>
  </si>
  <si>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300kg/h. 0.25 (weight) aqueous NaHCO_{3} solution and 0.47 (weight) CH_{2}ClCH_{2}OH aqueous solution are used as raw materials. The molar ratio of sodium bicarbonate to chloroethanol in the reactor charge is 2.1, and the specific gravity of the mixture is 1.63. The reaction rate of this reaction as follows $r_{A} = k \cdot c_{A} \cdot c_{B}$The rate constant of 5.21/mol*h at reaction temperature. The conversion rate is 0.8. Please calculate the residence time and volume of the reactor.&lt;|im_end|&gt;
&lt;|im_start|&gt;assistant
</t>
  </si>
  <si>
    <t>The molar mass of acetic acid is 60 kg/kmol, ethanol is 46 kg/kmol, and ethyl acetate is 88 kg/kmol. The molar flow rate of ethyl acetate required per hour is n_product = 930/88 = 10.57 kmol/h. According to the chemical reaction equation, the mass flow rate of acetic acid required per hour is m_A = 10.57*60 = 634.09 kg/h. The mass flow rate of ethanol required per hour is m_B = 10.57*46 = 486.14 kg/h. The total volumetric feed flow rate is q_raw = (634.09+486.14)*1000/1.07 = 1046.94 L/h. The initial concentration of acetic acid is c_{A0} = 634.09*1000/(60*1046.94) = 10.09 mol/L. The initial concentration of ethanol is c_{B0} = 486.14*1000/(46*1046.94) = 10.09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x)}=23.19 h. Theoretical volume is v=23.19*1046.94=24274.3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</si>
  <si>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930 kg/h. The mixture density is 1.07 kg/L. Assuming pure feed streams, the required conversion of acetic acid (A) is 0.55. Please calculate the reactor residence time and volume.&lt;|eot_id|&gt;&lt;|start_header_id|&gt;assistant&lt;|end_header_id|&gt;
</t>
  </si>
  <si>
    <t>The molar mass of acetic acid is 60 kg/kmol, ethanol is 46 kg/kmol, and ethyl acetate is 88 kg/kmol. The molar flow rate of ethyl acetate required per hour is n_product = 431/88 = 4.9 kmol/h. According to the chemical reaction equation, the mass flow rate of acetic acid required per hour is m_A = 4.9*60 = 293.86 kg/h. The mass flow rate of ethanol required per hour is m_B = 4.9*46 = 225.3 kg/h. The total volumetric feed flow rate is q_raw = (293.86+225.3)*1000/0.85 = 610.78 L/h. The initial concentration of acetic acid is c_{A0} = 293.86*1000/(60*610.78) = 8.02 mol/L. The initial concentration of ethanol is c_{B0} = 225.3*1000/(46*610.78) = 8.02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}{k1*(1-x_{A})*(c_{B0}-c_{A0}*x_{A})-\frac{c_{A0}*x_{A}*x_{A}}{kc}}=97.25 h. Theoretical volume is v=97.25*610.78=59397.91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</si>
  <si>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431 kg/h. The mixture density is 0.85 kg/L. Assuming pure feed streams, the required conversion of acetic acid (A) is 0.42. Please calculate the reactor residence time and volume.&lt;|eot_id|&gt;&lt;|start_header_id|&gt;assistant&lt;|end_header_id|&gt;
</t>
  </si>
  <si>
    <t>The molar mass of acetic acid is 60 kg/kmol, ethanol is 46 kg/kmol, and ethyl acetate is 88 kg/kmol. The molar flow rate of ethyl acetate required per hour is n_product = 886/88 = 10.07 kmol/h. According to the chemical reaction equation, the mass flow rate of acetic acid required per hour is m_A = 10.07*60 = 604.09 kg/h. The mass flow rate of ethanol required per hour is m_B = 10.07*46 = 463.14 kg/h. The total volumetric feed flow rate is q_raw = (604.09+463.14)*1000/0.95 = 1123.4 L/h. The initial concentration of acetic acid is c_{A0} = 604.09*1000/(60*1123.4) = 8.96 mol/L. The initial concentration of ethanol is c_{B0} = 463.14*1000/(46*1123.4) = 8.96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}{k1*(1-x_{A})*(c_{B0}-c_{A0}*x_{A})-\frac{c_{A0}*x_{A}*x_{A}}{kc}}=119.46 h. Theoretical volume is v=119.46*1123.4=134204.41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</si>
  <si>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886 kg/h. The mixture density is 0.95 kg/L. Assuming pure feed streams, the required conversion of acetic acid (A) is 0.59. Please calculate the reactor residence time and volume.&lt;|eot_id|&gt;&lt;|start_header_id|&gt;assistant&lt;|end_header_id|&gt;
</t>
  </si>
  <si>
    <t>The molar mass of acetic acid is 60 kg/kmol, ethanol is 46 kg/kmol, and ethyl acetate is 88 kg/kmol. The molar flow rate of ethyl acetate required per hour is n_product = 755/88 = 8.58 kmol/h. According to the chemical reaction equation, the mass flow rate of acetic acid required per hour is m_A = 8.58*60 = 514.77 kg/h. The mass flow rate of ethanol required per hour is m_B = 8.58*46 = 394.66 kg/h. The total volumetric feed flow rate is q_raw = (514.77+394.66)*1000/1.01 = 900.43 L/h. The initial concentration of acetic acid is c_{A0} = 514.77*1000/(60*900.43) = 9.53 mol/L. The initial concentration of ethanol is c_{B0} = 394.66*1000/(46*900.43) = 9.53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}{k1*(1-x_{A})*(c_{B0}-c_{A0}*x_{A})-\frac{c_{A0}*x_{A}*x_{A}}{kc}}=127.24 h. Theoretical volume is v=127.24*900.43=114567.52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</si>
  <si>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755 kg/h. The mixture density is 1.01 kg/L. Assuming pure feed streams, the required conversion of acetic acid (A) is 0.63. Please calculate the reactor residence time and volume.&lt;|eot_id|&gt;&lt;|start_header_id|&gt;assistant&lt;|end_header_id|&gt;
</t>
  </si>
  <si>
    <t>The molar mass of acetic acid is 60 kg/kmol, ethanol is 46 kg/kmol, and ethyl acetate is 88 kg/kmol. The molar flow rate of ethyl acetate required per hour is n_product = 184/88 = 2.09 kmol/h. According to the chemical reaction equation, the mass flow rate of acetic acid required per hour is m_A = 2.09*60 = 125.45 kg/h. The mass flow rate of ethanol required per hour is m_B = 2.09*46 = 96.18 kg/h. The total volumetric feed flow rate is q_raw = (125.45+96.18)*1000/1.0 = 221.64 L/h. The initial concentration of acetic acid is c_{A0} = 125.45*1000/(60*221.64) = 9.43 mol/L. The initial concentration of ethanol is c_{B0} = 96.18*1000/(46*221.64) = 9.43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}{k1*(1-x_{A})*(c_{B0}-c_{A0}*x_{A})-\frac{c_{A0}*x_{A}*x_{A}}{kc}}=126.0 h. Theoretical volume is v=126.0*221.64=27926.64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</si>
  <si>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In a PFR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184 kg/h. The mixture density is 1.0 kg/L. Assuming pure feed streams, the required conversion of acetic acid (A) is 0.62. Please calculate the reactor residence time and volume.&lt;|eot_id|&gt;&lt;|start_header_id|&gt;assistant&lt;|end_header_id|&gt;
</t>
  </si>
  <si>
    <t>The molar mass of acetic acid is 60 kg/kmol, ethanol is 46 kg/kmol, and ethyl acetate is 88 kg/kmol. The molar flow rate of ethyl acetate required per hour is n_product = 315/88 = 3.58 kmol/h. According to the chemical reaction equation, the mass flow rate of acetic acid required per hour is m_A = 3.58*60 = 214.77 kg/h. The mass flow rate of ethanol required per hour is m_B = 3.58*46 = 164.66 kg/h. The total volumetric feed flow rate is q_raw = (214.77+164.66)*1000/0.86 = 441.2 L/h. The initial concentration of acetic acid is c_{A0} = 214.77*1000/(60*441.2) = 8.11 mol/L. The initial concentration of ethanol is c_{B0} = 164.66*1000/(46*441.2) = 8.11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}{k1*(1-x_{A})*(c_{B0}-c_{A0}*x_{A})-\frac{c_{A0}*x_{A}*x_{A}}{kc}}=107.5 h. Theoretical volume is v=107.5*441.2=47427.98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</si>
  <si>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315 kg/h. The mixture density is 0.86 kg/L. Assuming pure feed streams, the required conversion of acetic acid (A) is 0.56. Please calculate the reactor residence time and volume.&lt;|eot_id|&gt;&lt;|start_header_id|&gt;assistant&lt;|end_header_id|&gt;
</t>
  </si>
  <si>
    <t>The molar mass of acetic acid is 60 kg/kmol, ethanol is 46 kg/kmol, and ethyl acetate is 88 kg/kmol. The molar flow rate of ethyl acetate required per hour is n_product = 344/88 = 3.91 kmol/h. According to the chemical reaction equation, the mass flow rate of acetic acid required per hour is m_A = 3.91*60 = 234.55 kg/h. The mass flow rate of ethanol required per hour is m_B = 3.91*46 = 179.82 kg/h. The total volumetric feed flow rate is q_raw = (234.55+179.82)*1000/1.05 = 394.63 L/h. The initial concentration of acetic acid is c_{A0} = 234.55*1000/(60*394.63) = 9.91 mol/L. The initial concentration of ethanol is c_{B0} = 179.82*1000/(46*394.63) = 9.91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x)}=28.44 h. Theoretical volume is v=28.44*394.63=11221.77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</si>
  <si>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344 kg/h. The mixture density is 1.05 kg/L. Assuming pure feed streams, the required conversion of acetic acid (A) is 0.53. Please calculate the reactor residence time and volume.&lt;|eot_id|&gt;&lt;|start_header_id|&gt;assistant&lt;|end_header_id|&gt;
</t>
  </si>
  <si>
    <t>The molar mass of acetic acid is 60 kg/kmol, ethanol is 46 kg/kmol, and ethyl acetate is 88 kg/kmol. The molar flow rate of ethyl acetate required per hour is n_product = 264/88 = 3.0 kmol/h. According to the chemical reaction equation, the mass flow rate of acetic acid required per hour is m_A = 3.0*60 = 180.0 kg/h. The mass flow rate of ethanol required per hour is m_B = 3.0*46 = 138.0 kg/h. The total volumetric feed flow rate is q_raw = (180.0+138.0)*1000/0.95 = 334.74 L/h. The initial concentration of acetic acid is c_{A0} = 180.0*1000/(60*334.74) = 8.96 mol/L. The initial concentration of ethanol is c_{B0} = 138.0*1000/(46*334.74) = 8.96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}{k1*(1-x_{A})*(c_{B0}-c_{A0}*x_{A})-\frac{c_{A0}*x_{A}*x_{A}}{kc}}=119.67 h. Theoretical volume is v=119.67*334.74=40059.43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</si>
  <si>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264 kg/h. The mixture density is 0.95 kg/L. Assuming pure feed streams, the required conversion of acetic acid (A) is 0.61. Please calculate the reactor residence time and volume.&lt;|eot_id|&gt;&lt;|start_header_id|&gt;assistant&lt;|end_header_id|&gt;
</t>
  </si>
  <si>
    <t>The molar mass of acetic acid is 60 kg/kmol, ethanol is 46 kg/kmol, and ethyl acetate is 88 kg/kmol. The molar flow rate of ethyl acetate required per hour is n_product = 206/88 = 2.34 kmol/h. According to the chemical reaction equation, the mass flow rate of acetic acid required per hour is m_A = 2.34*60 = 140.45 kg/h. The mass flow rate of ethanol required per hour is m_B = 2.34*46 = 107.68 kg/h. The total volumetric feed flow rate is q_raw = (140.45+107.68)*1000/0.93 = 266.81 L/h. The initial concentration of acetic acid is c_{A0} = 140.45*1000/(60*266.81) = 8.77 mol/L. The initial concentration of ethanol is c_{B0} = 107.68*1000/(46*266.81) = 8.77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}{k1*(1-x_{A})*(c_{B0}-c_{A0}*x_{A})-\frac{c_{A0}*x_{A}*x_{A}}{kc}}=106.4 h. Theoretical volume is v=106.4*266.81=28389.72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</si>
  <si>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206 kg/h. The mixture density is 0.93 kg/L. Assuming pure feed streams, the required conversion of acetic acid (A) is 0.42. Please calculate the reactor residence time and volume.&lt;|eot_id|&gt;&lt;|start_header_id|&gt;assistant&lt;|end_header_id|&gt;
</t>
  </si>
  <si>
    <t>The molar mass of acetic acid is 60 kg/kmol, ethanol is 46 kg/kmol, and ethyl acetate is 88 kg/kmol. The molar flow rate of ethyl acetate required per hour is n_product = 782/88 = 8.89 kmol/h. According to the chemical reaction equation, the mass flow rate of acetic acid required per hour is m_A = 8.89*60 = 533.18 kg/h. The mass flow rate of ethanol required per hour is m_B = 8.89*46 = 408.77 kg/h. The total volumetric feed flow rate is q_raw = (533.18+408.77)*1000/0.84 = 1121.37 L/h. The initial concentration of acetic acid is c_{A0} = 533.18*1000/(60*1121.37) = 7.92 mol/L. The initial concentration of ethanol is c_{B0} = 408.77*1000/(46*1121.37) = 7.92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x)}=0.1 h. Theoretical volume is v=0.1*1121.37=110.9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</si>
  <si>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782 kg/h. The mixture density is 0.84 kg/L. Assuming pure feed streams, the required conversion of acetic acid (A) is 0.62. Please calculate the reactor residence time and volume.&lt;|eot_id|&gt;&lt;|start_header_id|&gt;assistant&lt;|end_header_id|&gt;
</t>
  </si>
  <si>
    <t>The molar mass of acetic acid is 60 kg/kmol, ethanol is 46 kg/kmol, and ethyl acetate is 88 kg/kmol. The molar flow rate of ethyl acetate required per hour is n_product = 345/88 = 3.92 kmol/h. According to the chemical reaction equation, the mass flow rate of acetic acid required per hour is m_A = 3.92*60 = 235.23 kg/h. The mass flow rate of ethanol required per hour is m_B = 3.92*46 = 180.34 kg/h. The total volumetric feed flow rate is q_raw = (235.23+180.34)*1000/0.81 = 513.05 L/h. The initial concentration of acetic acid is c_{A0} = 235.23*1000/(60*513.05) = 7.64 mol/L. The initial concentration of ethanol is c_{B0} = 180.34*1000/(46*513.05) = 7.64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}{k1*(1-x_{A})*(c_{B0}-c_{A0}*x_{A})-\frac{c_{A0}*x_{A}*x_{A}}{kc}}=101.98 h. Theoretical volume is v=101.98*513.05=52319.39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</si>
  <si>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345 kg/h. The mixture density is 0.81 kg/L. Assuming pure feed streams, the required conversion of acetic acid (A) is 0.64. Please calculate the reactor residence time and volume.&lt;|eot_id|&gt;&lt;|start_header_id|&gt;assistant&lt;|end_header_id|&gt;
</t>
  </si>
  <si>
    <t>The molar mass of acetic acid is 60 kg/kmol, ethanol is 46 kg/kmol, and ethyl acetate is 88 kg/kmol. The molar flow rate of ethyl acetate required per hour is n_product = 782/88 = 8.89 kmol/h. According to the chemical reaction equation, the mass flow rate of acetic acid required per hour is m_A = 8.89*60 = 533.18 kg/h. The mass flow rate of ethanol required per hour is m_B = 8.89*46 = 408.77 kg/h. The total volumetric feed flow rate is q_raw = (533.18+408.77)*1000/1.18 = 798.27 L/h. The initial concentration of acetic acid is c_{A0} = 533.18*1000/(60*798.27) = 11.13 mol/L. The initial concentration of ethanol is c_{B0} = 408.77*1000/(46*798.27) = 11.13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x)}=0.14 h. Theoretical volume is v=0.14*798.27=110.9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</si>
  <si>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782 kg/h. The mixture density is 1.18 kg/L. Assuming pure feed streams, the required conversion of acetic acid (A) is 0.62. Please calculate the reactor residence time and volume.&lt;|eot_id|&gt;&lt;|start_header_id|&gt;assistant&lt;|end_header_id|&gt;
</t>
  </si>
  <si>
    <t>The molar mass of acetic acid is 60 kg/kmol, ethanol is 46 kg/kmol, and ethyl acetate is 88 kg/kmol. The molar flow rate of ethyl acetate required per hour is n_product = 172/88 = 1.95 kmol/h. According to the chemical reaction equation, the mass flow rate of acetic acid required per hour is m_A = 1.95*60 = 117.27 kg/h. The mass flow rate of ethanol required per hour is m_B = 1.95*46 = 89.91 kg/h. The total volumetric feed flow rate is q_raw = (117.27+89.91)*1000/0.93 = 222.78 L/h. The initial concentration of acetic acid is c_{A0} = 117.27*1000/(60*222.78) = 8.77 mol/L. The initial concentration of ethanol is c_{B0} = 89.91*1000/(46*222.78) = 8.77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}{k1*(1-x_{A})*(c_{B0}-c_{A0}*x_{A})-\frac{c_{A0}*x_{A}*x_{A}}{kc}}=111.21 h. Theoretical volume is v=111.21*222.78=24774.6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</si>
  <si>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172 kg/h. The mixture density is 0.93 kg/L. Assuming pure feed streams, the required conversion of acetic acid (A) is 0.47. Please calculate the reactor residence time and volume.&lt;|eot_id|&gt;&lt;|start_header_id|&gt;assistant&lt;|end_header_id|&gt;
</t>
  </si>
  <si>
    <t>The molar mass of acetic acid is 60 kg/kmol, ethanol is 46 kg/kmol, and ethyl acetate is 88 kg/kmol. The molar flow rate of ethyl acetate required per hour is n_product = 633/88 = 7.19 kmol/h. According to the chemical reaction equation, the mass flow rate of acetic acid required per hour is m_A = 7.19*60 = 431.59 kg/h. The mass flow rate of ethanol required per hour is m_B = 7.19*46 = 330.89 kg/h. The total volumetric feed flow rate is q_raw = (431.59+330.89)*1000/0.91 = 837.89 L/h. The initial concentration of acetic acid is c_{A0} = 431.59*1000/(60*837.89) = 8.58 mol/L. The initial concentration of ethanol is c_{B0} = 330.89*1000/(46*837.89) = 8.58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}{k1*(1-x_{A})*(c_{B0}-c_{A0}*x_{A})-\frac{c_{A0}*x_{A}*x_{A}}{kc}}=114.64 h. Theoretical volume is v=114.64*837.89=96051.58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</si>
  <si>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633 kg/h. The mixture density is 0.91 kg/L. Assuming pure feed streams, the required conversion of acetic acid (A) is 0.61. Please calculate the reactor residence time and volume.&lt;|eot_id|&gt;&lt;|start_header_id|&gt;assistant&lt;|end_header_id|&gt;
</t>
  </si>
  <si>
    <t>The molar mass of acetic acid is 60 kg/kmol, ethanol is 46 kg/kmol, and ethyl acetate is 88 kg/kmol. The molar flow rate of ethyl acetate required per hour is n_product = 529/88 = 6.01 kmol/h. According to the chemical reaction equation, the mass flow rate of acetic acid required per hour is m_A = 6.01*60 = 360.68 kg/h. The mass flow rate of ethanol required per hour is m_B = 6.01*46 = 276.52 kg/h. The total volumetric feed flow rate is q_raw = (360.68+276.52)*1000/1.04 = 612.7 L/h. The initial concentration of acetic acid is c_{A0} = 360.68*1000/(60*612.7) = 9.81 mol/L. The initial concentration of ethanol is c_{B0} = 276.52*1000/(46*612.7) = 9.81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x)}=48.73 h. Theoretical volume is v=48.73*612.7=29854.15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</si>
  <si>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529 kg/h. The mixture density is 1.04 kg/L. Assuming pure feed streams, the required conversion of acetic acid (A) is 0.44. Please calculate the reactor residence time and volume.&lt;|eot_id|&gt;&lt;|start_header_id|&gt;assistant&lt;|end_header_id|&gt;
</t>
  </si>
  <si>
    <t>The molar mass of acetic acid is 60 kg/kmol, ethanol is 46 kg/kmol, and ethyl acetate is 88 kg/kmol. The molar flow rate of ethyl acetate required per hour is n_product = 169/88 = 1.92 kmol/h. According to the chemical reaction equation, the mass flow rate of acetic acid required per hour is m_A = 1.92*60 = 115.23 kg/h. The mass flow rate of ethanol required per hour is m_B = 1.92*46 = 88.34 kg/h. The total volumetric feed flow rate is q_raw = (115.23+88.34)*1000/1.01 = 201.55 L/h. The initial concentration of acetic acid is c_{A0} = 115.23*1000/(60*201.55) = 9.53 mol/L. The initial concentration of ethanol is c_{B0} = 88.34*1000/(46*201.55) = 9.53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}{k1*(1-x_{A})*(c_{B0}-c_{A0}*x_{A})-\frac{c_{A0}*x_{A}*x_{A}}{kc}}=124.42 h. Theoretical volume is v=124.42*201.55=25076.97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</si>
  <si>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In a PFR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169 kg/h. The mixture density is 1.01 kg/L. Assuming pure feed streams, the required conversion of acetic acid (A) is 0.52. Please calculate the reactor residence time and volume.&lt;|eot_id|&gt;&lt;|start_header_id|&gt;assistant&lt;|end_header_id|&gt;
</t>
  </si>
  <si>
    <t>The molar mass of acetic acid is 60 kg/kmol, ethanol is 46 kg/kmol, and ethyl acetate is 88 kg/kmol. The molar flow rate of ethyl acetate required per hour is n_product = 128/88 = 1.45 kmol/h. According to the chemical reaction equation, the mass flow rate of acetic acid required per hour is m_A = 1.45*60 = 87.27 kg/h. The mass flow rate of ethanol required per hour is m_B = 1.45*46 = 66.91 kg/h. The total volumetric feed flow rate is q_raw = (87.27+66.91)*1000/1.15 = 134.07 L/h. The initial concentration of acetic acid is c_{A0} = 87.27*1000/(60*134.07) = 10.85 mol/L. The initial concentration of ethanol is c_{B0} = 66.91*1000/(46*134.07) = 10.85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}{k1*(1-x_{A})*(c_{B0}-c_{A0}*x_{A})-\frac{c_{A0}*x_{A}*x_{A}}{kc}}=144.63 h. Theoretical volume is v=144.63*134.07=19390.97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</si>
  <si>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128 kg/h. The mixture density is 1.15 kg/L. Assuming pure feed streams, the required conversion of acetic acid (A) is 0.65. Please calculate the reactor residence time and volume.&lt;|eot_id|&gt;&lt;|start_header_id|&gt;assistant&lt;|end_header_id|&gt;
</t>
  </si>
  <si>
    <t>The molar mass of acetic acid is 60 kg/kmol, ethanol is 46 kg/kmol, and ethyl acetate is 88 kg/kmol. The molar flow rate of ethyl acetate required per hour is n_product = 637/88 = 7.24 kmol/h. According to the chemical reaction equation, the mass flow rate of acetic acid required per hour is m_A = 7.24*60 = 434.32 kg/h. The mass flow rate of ethanol required per hour is m_B = 7.24*46 = 332.98 kg/h. The total volumetric feed flow rate is q_raw = (434.32+332.98)*1000/0.8 = 959.12 L/h. The initial concentration of acetic acid is c_{A0} = 434.32*1000/(60*959.12) = 7.55 mol/L. The initial concentration of ethanol is c_{B0} = 332.98*1000/(46*959.12) = 7.55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x)}=2.75 h. Theoretical volume is v=2.75*959.12=2632.95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</si>
  <si>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637 kg/h. The mixture density is 0.8 kg/L. Assuming pure feed streams, the required conversion of acetic acid (A) is 0.61. Please calculate the reactor residence time and volume.&lt;|eot_id|&gt;&lt;|start_header_id|&gt;assistant&lt;|end_header_id|&gt;
</t>
  </si>
  <si>
    <t>The molar mass of acetic acid is 60 kg/kmol, ethanol is 46 kg/kmol, and ethyl acetate is 88 kg/kmol. The molar flow rate of ethyl acetate required per hour is n_product = 494/88 = 5.61 kmol/h. According to the chemical reaction equation, the mass flow rate of acetic acid required per hour is m_A = 5.61*60 = 336.82 kg/h. The mass flow rate of ethanol required per hour is m_B = 5.61*46 = 258.23 kg/h. The total volumetric feed flow rate is q_raw = (336.82+258.23)*1000/0.85 = 700.05 L/h. The initial concentration of acetic acid is c_{A0} = 336.82*1000/(60*700.05) = 8.02 mol/L. The initial concentration of ethanol is c_{B0} = 258.23*1000/(46*700.05) = 8.02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x)}=38.29 h. Theoretical volume is v=38.29*700.05=26805.58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</si>
  <si>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494 kg/h. The mixture density is 0.85 kg/L. Assuming pure feed streams, the required conversion of acetic acid (A) is 0.45. Please calculate the reactor residence time and volume.&lt;|eot_id|&gt;&lt;|start_header_id|&gt;assistant&lt;|end_header_id|&gt;
</t>
  </si>
  <si>
    <t>The molar mass of acetic acid is 60 kg/kmol, ethanol is 46 kg/kmol, and ethyl acetate is 88 kg/kmol. The molar flow rate of ethyl acetate required per hour is n_product = 695/88 = 7.9 kmol/h. According to the chemical reaction equation, the mass flow rate of acetic acid required per hour is m_A = 7.9*60 = 473.86 kg/h. The mass flow rate of ethanol required per hour is m_B = 7.9*46 = 363.3 kg/h. The total volumetric feed flow rate is q_raw = (473.86+363.3)*1000/1.05 = 797.29 L/h. The initial concentration of acetic acid is c_{A0} = 473.86*1000/(60*797.29) = 9.91 mol/L. The initial concentration of ethanol is c_{B0} = 363.3*1000/(46*797.29) = 9.91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x)}=7.0 h. Theoretical volume is v=7.0*797.29=5583.55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</si>
  <si>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695 kg/h. The mixture density is 1.05 kg/L. Assuming pure feed streams, the required conversion of acetic acid (A) is 0.6. Please calculate the reactor residence time and volume.&lt;|eot_id|&gt;&lt;|start_header_id|&gt;assistant&lt;|end_header_id|&gt;
</t>
  </si>
  <si>
    <t>The molar mass of acetic acid is 60 kg/kmol, ethanol is 46 kg/kmol, and ethyl acetate is 88 kg/kmol. The molar flow rate of ethyl acetate required per hour is n_product = 108/88 = 1.23 kmol/h. According to the chemical reaction equation, the mass flow rate of acetic acid required per hour is m_A = 1.23*60 = 73.64 kg/h. The mass flow rate of ethanol required per hour is m_B = 1.23*46 = 56.45 kg/h. The total volumetric feed flow rate is q_raw = (73.64+56.45)*1000/1.14 = 114.11 L/h. The initial concentration of acetic acid is c_{A0} = 73.64*1000/(60*114.11) = 10.75 mol/L. The initial concentration of ethanol is c_{B0} = 56.45*1000/(46*114.11) = 10.75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x)}=44.5 h. Theoretical volume is v=44.5*114.11=5077.54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</si>
  <si>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108 kg/h. The mixture density is 1.14 kg/L. Assuming pure feed streams, the required conversion of acetic acid (A) is 0.48. Please calculate the reactor residence time and volume.&lt;|eot_id|&gt;&lt;|start_header_id|&gt;assistant&lt;|end_header_id|&gt;
</t>
  </si>
  <si>
    <t>The molar mass of acetic acid is 60 kg/kmol, ethanol is 46 kg/kmol, and ethyl acetate is 88 kg/kmol. The molar flow rate of ethyl acetate required per hour is n_product = 675/88 = 7.67 kmol/h. According to the chemical reaction equation, the mass flow rate of acetic acid required per hour is m_A = 7.67*60 = 460.23 kg/h. The mass flow rate of ethanol required per hour is m_B = 7.67*46 = 352.84 kg/h. The total volumetric feed flow rate is q_raw = (460.23+352.84)*1000/0.99 = 821.28 L/h. The initial concentration of acetic acid is c_{A0} = 460.23*1000/(60*821.28) = 9.34 mol/L. The initial concentration of ethanol is c_{B0} = 352.84*1000/(46*821.28) = 9.34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}{k1*(1-x_{A})*(c_{B0}-c_{A0}*x_{A})-\frac{c_{A0}*x_{A}*x_{A}}{kc}}=117.49 h. Theoretical volume is v=117.49*821.28=96488.83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</si>
  <si>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In a PFR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675 kg/h. The mixture density is 0.99 kg/L. Assuming pure feed streams, the required conversion of acetic acid (A) is 0.46. Please calculate the reactor residence time and volume.&lt;|eot_id|&gt;&lt;|start_header_id|&gt;assistant&lt;|end_header_id|&gt;
</t>
  </si>
  <si>
    <t>The molar mass of acetic acid is 60 kg/kmol, ethanol is 46 kg/kmol, and ethyl acetate is 88 kg/kmol. The molar flow rate of ethyl acetate required per hour is n_product = 675/88 = 7.67 kmol/h. According to the chemical reaction equation, the mass flow rate of acetic acid required per hour is m_A = 7.67*60 = 460.23 kg/h. The mass flow rate of ethanol required per hour is m_B = 7.67*46 = 352.84 kg/h. The total volumetric feed flow rate is q_raw = (460.23+352.84)*1000/1.12 = 725.95 L/h. The initial concentration of acetic acid is c_{A0} = 460.23*1000/(60*725.95) = 10.57 mol/L. The initial concentration of ethanol is c_{B0} = 352.84*1000/(46*725.95) = 10.57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x)}=21.09 h. Theoretical volume is v=21.09*725.95=15312.98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</si>
  <si>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675 kg/h. The mixture density is 1.12 kg/L. Assuming pure feed streams, the required conversion of acetic acid (A) is 0.56. Please calculate the reactor residence time and volume.&lt;|eot_id|&gt;&lt;|start_header_id|&gt;assistant&lt;|end_header_id|&gt;
</t>
  </si>
  <si>
    <t>The molar mass of acetic acid is 60 kg/kmol, ethanol is 46 kg/kmol, and ethyl acetate is 88 kg/kmol. The molar flow rate of ethyl acetate required per hour is n_product = 921/88 = 10.47 kmol/h. According to the chemical reaction equation, the mass flow rate of acetic acid required per hour is m_A = 10.47*60 = 627.95 kg/h. The mass flow rate of ethanol required per hour is m_B = 10.47*46 = 481.43 kg/h. The total volumetric feed flow rate is q_raw = (627.95+481.43)*1000/1.08 = 1027.21 L/h. The initial concentration of acetic acid is c_{A0} = 627.95*1000/(60*1027.21) = 10.19 mol/L. The initial concentration of ethanol is c_{B0} = 481.43*1000/(46*1027.21) = 10.19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}{k1*(1-x_{A})*(c_{B0}-c_{A0}*x_{A})-\frac{c_{A0}*x_{A}*x_{A}}{kc}}=136.06 h. Theoretical volume is v=136.06*1027.21=139757.2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</si>
  <si>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921 kg/h. The mixture density is 1.08 kg/L. Assuming pure feed streams, the required conversion of acetic acid (A) is 0.63. Please calculate the reactor residence time and volume.&lt;|eot_id|&gt;&lt;|start_header_id|&gt;assistant&lt;|end_header_id|&gt;
</t>
  </si>
  <si>
    <t>The molar mass of acetic acid is 60 kg/kmol, ethanol is 46 kg/kmol, and ethyl acetate is 88 kg/kmol. The molar flow rate of ethyl acetate required per hour is n_product = 839/88 = 9.53 kmol/h. According to the chemical reaction equation, the mass flow rate of acetic acid required per hour is m_A = 9.53*60 = 572.05 kg/h. The mass flow rate of ethanol required per hour is m_B = 9.53*46 = 438.57 kg/h. The total volumetric feed flow rate is q_raw = (572.05+438.57)*1000/0.89 = 1135.52 L/h. The initial concentration of acetic acid is c_{A0} = 572.05*1000/(60*1135.52) = 8.4 mol/L. The initial concentration of ethanol is c_{B0} = 438.57*1000/(46*1135.52) = 8.4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x)}=26.39 h. Theoretical volume is v=26.39*1135.52=29970.71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</si>
  <si>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839 kg/h. The mixture density is 0.89 kg/L. Assuming pure feed streams, the required conversion of acetic acid (A) is 0.52. Please calculate the reactor residence time and volume.&lt;|eot_id|&gt;&lt;|start_header_id|&gt;assistant&lt;|end_header_id|&gt;
</t>
  </si>
  <si>
    <t>The molar mass of acetic acid is 60 kg/kmol, ethanol is 46 kg/kmol, and ethyl acetate is 88 kg/kmol. The molar flow rate of ethyl acetate required per hour is n_product = 723/88 = 8.22 kmol/h. According to the chemical reaction equation, the mass flow rate of acetic acid required per hour is m_A = 8.22*60 = 492.95 kg/h. The mass flow rate of ethanol required per hour is m_B = 8.22*46 = 377.93 kg/h. The total volumetric feed flow rate is q_raw = (492.95+377.93)*1000/0.79 = 1102.39 L/h. The initial concentration of acetic acid is c_{A0} = 492.95*1000/(60*1102.39) = 7.45 mol/L. The initial concentration of ethanol is c_{B0} = 377.93*1000/(46*1102.39) = 7.45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}{k1*(1-x_{A})*(c_{B0}-c_{A0}*x_{A})-\frac{c_{A0}*x_{A}*x_{A}}{kc}}=99.45 h. Theoretical volume is v=99.45*1102.39=109635.35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</si>
  <si>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In a PFR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723 kg/h. The mixture density is 0.79 kg/L. Assuming pure feed streams, the required conversion of acetic acid (A) is 0.6. Please calculate the reactor residence time and volume.&lt;|eot_id|&gt;&lt;|start_header_id|&gt;assistant&lt;|end_header_id|&gt;
</t>
  </si>
  <si>
    <t>The molar mass of acetic acid is 60 kg/kmol, ethanol is 46 kg/kmol, and ethyl acetate is 88 kg/kmol. The molar flow rate of ethyl acetate required per hour is n_product = 343/88 = 3.9 kmol/h. According to the chemical reaction equation, the mass flow rate of acetic acid required per hour is m_A = 3.9*60 = 233.86 kg/h. The mass flow rate of ethanol required per hour is m_B = 3.9*46 = 179.3 kg/h. The total volumetric feed flow rate is q_raw = (233.86+179.3)*1000/0.93 = 444.26 L/h. The initial concentration of acetic acid is c_{A0} = 233.86*1000/(60*444.26) = 8.77 mol/L. The initial concentration of ethanol is c_{B0} = 179.3*1000/(46*444.26) = 8.77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}{k1*(1-x_{A})*(c_{B0}-c_{A0}*x_{A})-\frac{c_{A0}*x_{A}*x_{A}}{kc}}=111.99 h. Theoretical volume is v=111.99*444.26=49753.92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</si>
  <si>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343 kg/h. The mixture density is 0.93 kg/L. Assuming pure feed streams, the required conversion of acetic acid (A) is 0.48. Please calculate the reactor residence time and volume.&lt;|eot_id|&gt;&lt;|start_header_id|&gt;assistant&lt;|end_header_id|&gt;
</t>
  </si>
  <si>
    <t>The molar mass of acetic acid is 60 kg/kmol, ethanol is 46 kg/kmol, and ethyl acetate is 88 kg/kmol. The molar flow rate of ethyl acetate required per hour is n_product = 123/88 = 1.4 kmol/h. According to the chemical reaction equation, the mass flow rate of acetic acid required per hour is m_A = 1.4*60 = 83.86 kg/h. The mass flow rate of ethanol required per hour is m_B = 1.4*46 = 64.3 kg/h. The total volumetric feed flow rate is q_raw = (83.86+64.3)*1000/1.05 = 141.1 L/h. The initial concentration of acetic acid is c_{A0} = 83.86*1000/(60*141.1) = 9.91 mol/L. The initial concentration of ethanol is c_{B0} = 64.3*1000/(46*141.1) = 9.91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x)}=16.71 h. Theoretical volume is v=16.71*141.1=2357.84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</si>
  <si>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123/88 = 1.39 kmol/h. According to the chemical reaction equation, the mass flow rate of acetic acid required per hour is m_A = 1.39*60 = 83.18 kg/h. The mass flow rate of ethanol required per hour is m_B = 1.39*46 = 64.17 kg/h. The total volumetric feed flow rate is q_raw = (83.18+64.17)*1000/1.05 = 138.14 L/h. The initial concentration of acetic acid is c_{A0} = 83.18*1000/(60*138.14) = 10.09 mol/L. The initial concentration of ethanol is c_{B0} = 64.17*1000/(46*138.14) = 10.09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x)}=18.41 h. Theoretical volume is v=18.41*138.14=2553.63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</si>
  <si>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123 kg/h. The mixture density is 1.05 kg/L. Assuming pure feed streams, the required conversion of acetic acid (A) is 0.57. Please calculate the reactor residence time and volume.&lt;|eot_id|&gt;&lt;|start_header_id|&gt;assistant&lt;|end_header_id|&gt;
</t>
  </si>
  <si>
    <t>The relative molecular weight of CH_{3}COOC_{2}H_{5} is 76 kg/kmol, NaOH is 40 kg/kmol. Raw material volumetric flow rate: Q_{0}=(470+470)/1.19=789.92 m^3/h. Initial concentration of ethyl acetate: c_{A0}=470*1000/(76*789.92)=7.83 mol/L. Initial concentration of sodium hydroxide: c_{B0}=470*1000*1/(40*789.92)=14.88 mol/L. The concentration of chloroethanol: c_{A}=c_{A0}*(1-x). The concentration of sodium bicarbonate: c_{B}=c_{B0}-c_{A0}*x. Reaction time obtained through integral calculation: t=\frac{c_{A0} \cdot x_{f}}{r_{A}}=\frac{c_{A0} \cdot x_{f}}{k \cdot c_{A} \cdot c_{B}}=\frac{x_{f}}{k \cdot (1-x_{A}) \cdot (c_{B0}-c_{A0} \cdot x_{A})}=0.08 h. Theoretical volume is v=0.08*789.92=60.74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</si>
  <si>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Q_{0}=(341+341)/1.19=571.09 m^3/h. Initial concentration of ethyl acetate: c_{A0}=341*1000/(76*571.09)=7.83 mol/L. Initial concentration of sodium hydroxide: c_{B0}=341*1000*1/(40*571.09)=18.88 mol/L. The concentration of chloroethanol: c_{A}=c_{A0}*(1-x). The concentration of sodium bicarbonate: c_{B}=c_{B0}-c_{A0}*x. Reaction time obtained through integral calculation: t=\frac{c_{A0} \cdot x_{f}}{r_{A}}=\frac{c_{A0} \cdot x_{f}}{k \cdot c_{A} \cdot c_{B}}=\frac{x_{f}}{k \cdot (1-x_{A}) \cdot (c_{B0}-c_{A0} \cdot x_{A})}=0.08 h. Theoretical volume is v=0.08*571.09=44.39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</si>
  <si>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1.19. The reaction rate of this reaction as follows r_{A}=k*c_{A}*c_{B}The rate constant of 5.63/mol*h at reaction temperature. The conversion rate is 0.79. Please calculate the residence time and volume of the reactor.&lt;|eot_id|&gt;&lt;|start_header_id|&gt;assistant&lt;|end_header_id|&gt;
</t>
  </si>
  <si>
    <t>The relative molecular weight of CH_{3}COOC_{2}H_{5} is 76 kg/kmol, NaOH is 40 kg/kmol. Raw material volumetric flow rate: Q_{0}=(755+755)/1.83=825.14 m^3/h. Initial concentration of ethyl acetate: c_{A0}=755*1000/(76*825.14)=12.04 mol/L. Initial concentration of sodium hydroxide: c_{B0}=755*1000*1/(40*825.14)=22.88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v=0.03*825.14=28.82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</si>
  <si>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Q_{0}=(907+907)/1.83=996.79 m^3/h. Initial concentration of ethyl acetate: c_{A0}=907*1000/(76*996.79)=11.97 mol/L. Initial concentration of sodium hydroxide: c_{B0}=907*1000*1/(40*996.79)=22.75 mol/L. The concentration of chloroethanol: c_{A}=c_{A0}*(1-x). The concentration of sodium bicarbonate: c_{B}=c_{B0}-c_{A0}*x. Reaction time obtained through integral calculation: t=\int_{0}^{x_{f} } \frac{c_{A0}dx_{A} }{r_{A}}=\int_{0}^{x_{f} } \frac{c_{A0}dx_{A} }{k*c_{A}*c_{B}}=\int_{0}^{x_{f} } \frac{dx_{A} }{k*(1-x_{A})*(c_{B0}-c_{A0}*x_{A})}=0.04 h. Theoretical volume is v=0.04*996.79=40.16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</si>
  <si>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1.83. The reaction rate of this reaction as follows r_{A}=k*c_{A}*c_{B}The rate constant of 5.63/mol*h at reaction temperature. The conversion rate is 0.94. Please calculate the residence time and volume of the reactor.&lt;|eot_id|&gt;&lt;|start_header_id|&gt;assistant&lt;|end_header_id|&gt;
</t>
  </si>
  <si>
    <t>The relative molecular weight of CH_{3}COOC_{2}H_{5} is 76 kg/kmol, NaOH is 40 kg/kmol. Raw material volumetric flow rate: Q_{0}=(160+160)/1.63=196.32 m^3/h. Initial concentration of ethyl acetate: c_{A0}=160*1000/(76*196.32)=10.72 mol/L. Initial concentration of sodium hydroxide: c_{B0}=160*1000*1/(40*196.32)=20.38 mol/L. The concentration of chloroethanol: c_{A}=c_{A0}*(1-x). The concentration of sodium bicarbonate: c_{B}=c_{B0}-c_{A0}*x. Reaction time obtained through integral calculation: t=\frac{c_{A0} \cdot x_{f}}{r_{A}}=\frac{c_{A0} \cdot x_{f}}{k \cdot c_{A} \cdot c_{B}}=\frac{x_{f}}{k \cdot (1-x_{A}) \cdot (c_{B0}-c_{A0} \cdot x_{A})}=0.04 h. Theoretical volume is v=0.04*196.32=7.09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</si>
  <si>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Q_{0}=(601+601)/1.63=730.58 m^3/h. Initial concentration of ethyl acetate: c_{A0}=601*1000/(76*730.58)=10.72 mol/L. Initial concentration of sodium hydroxide: c_{B0}=601*1000*1/(40*730.58)=20.62 mol/L. The concentration of chloroethanol: c_{A}=c_{A0}*(1-x). The concentration of sodium bicarbonate: c_{B}=c_{B0}-c_{A0}*x. Reaction time obtained through integral calculation: t=\frac{c_{A0} \cdot x_{f}}{r_{A}}=\frac{c_{A0} \cdot x_{f}}{k \cdot c_{A} \cdot c_{B}}=\frac{x_{f}}{k \cdot (1-x_{A}) \cdot (c_{B0}-c_{A0} \cdot x_{A})}=0.03 h. Theoretical volume is v=0.03*730.58=22.11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</si>
  <si>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1.63. The reaction rate of this reaction as follows r_{A}=k*c_{A}*c_{B}The rate constant of 5.63/mol*h at reaction temperature. The conversion rate is 0.72. Please calculate the residence time and volume of the reactor.&lt;|eot_id|&gt;&lt;|start_header_id|&gt;assistant&lt;|end_header_id|&gt;
</t>
  </si>
  <si>
    <t>The relative molecular weight of CH_{3}COOC_{2}H_{5} is 76 kg/kmol, NaOH is 40 kg/kmol. Raw material volumetric flow rate: Q_{0}=(352+352)/1.9=370.53 m^3/h. Initial concentration of ethyl acetate: c_{A0}=352*1000/(76*370.53)=12.5 mol/L. Initial concentration of sodium hydroxide: c_{B0}=352*1000*1/(40*370.53)=23.75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v=0.03*370.53=9.72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</si>
  <si>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Q_{0}=(863+863)/1.9=910.53 m^3/h. Initial concentration of ethyl acetate: c_{A0}=863*1000/(76*910.53)=12.63 mol/L. Initial concentration of sodium hydroxide: c_{B0}=863*1000*1/(40*910.53)=23.75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v=0.03*910.53=25.84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</si>
  <si>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1.9. The reaction rate of this reaction as follows r_{A}=k*c_{A}*c_{B}The rate constant of 5.63/mol*h at reaction temperature. The conversion rate is 0.9. Please calculate the residence time and volume of the reactor.&lt;|eot_id|&gt;&lt;|start_header_id|&gt;assistant&lt;|end_header_id|&gt;
</t>
  </si>
  <si>
    <t>The relative molecular weight of CH_{3}COOC_{2}H_{5} is 76 kg/kmol, NaOH is 40 kg/kmol. Raw material volumetric flow rate: Q_{0}=(703+703)/1.7=827.06 m^3/h. Initial concentration of ethyl acetate: c_{A0}=703*1000/(76*827.06)=11.18 mol/L. Initial concentration of sodium hydroxide: c_{B0}=703*1000*1/(40*827.06)=21.25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v=0.02*827.06=14.93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</si>
  <si>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Q_{0}=(793+793)/1.7=934.71 m^3/h. Initial concentration of ethyl acetate: c_{A0}=793*1000/(76*934.71)=11.25 mol/L. Initial concentration of sodium hydroxide: c_{B0}=793*1000*1/(40*934.71)=21.25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v=0.02*934.71=18.7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</si>
  <si>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1.7. The reaction rate of this reaction as follows r_{A}=k*c_{A}*c_{B}The rate constant of 5.63/mol*h at reaction temperature. The conversion rate is 0.79. Please calculate the residence time and volume of the reactor.&lt;|eot_id|&gt;&lt;|start_header_id|&gt;assistant&lt;|end_header_id|&gt;
</t>
  </si>
  <si>
    <t>The relative molecular weight of CH_{3}COOC_{2}H_{5} is 76 kg/kmol, NaOH is 40 kg/kmol. Raw material volumetric flow rate: Q_{0}=(969+969)/1.01=1918.81 m^3/h. Initial concentration of ethyl acetate: c_{A0}=969*1000/(76*1918.81)=6.64 mol/L. Initial concentration of sodium hydroxide: c_{B0}=969*1000*1/(40*1918.81)=12.62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v=0.03*1918.81=52.22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</si>
  <si>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Q_{0}=(673+673)/1.01=1330.29 m^3/h. Initial concentration of ethyl acetate: c_{A0}=673*1000/(76*1330.29)=6.64 mol/L. Initial concentration of sodium hydroxide: c_{B0}=673*1000*1/(40*1330.29)=12.75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v=0.03*1330.29=32.2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</si>
  <si>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1.01. The reaction rate of this reaction as follows r_{A}=k*c_{A}*c_{B}The rate constant of 5.63/mol*h at reaction temperature. The conversion rate is 0.76. Please calculate the residence time and volume of the reactor.&lt;|eot_id|&gt;&lt;|start_header_id|&gt;assistant&lt;|end_header_id|&gt;
</t>
  </si>
  <si>
    <t>The relative molecular weight of CH_{3}COOC_{2}H_{5} is 76 kg/kmol, NaOH is 40 kg/kmol. Raw material volumetric flow rate: Q_{0}=(137+137)/1.64=167.07 m^3/h. Initial concentration of ethyl acetate: c_{A0}=137*1000/(76*167.07)=10.79 mol/L. Initial concentration of sodium hydroxide: c_{B0}=137*1000*1/(40*167.07)=20.5 mol/L. The concentration of chloroethanol: c_{A}=c_{A0}*(1-x). The concentration of sodium bicarbonate: c_{B}=c_{B0}-c_{A0}*x. Reaction time obtained through integral calculation: t=\frac{c_{A0} \cdot x_{f}}{r_{A}}=\frac{c_{A0} \cdot x_{f}}{k \cdot c_{A} \cdot c_{B}}=\frac{x_{f}}{k \cdot (1-x_{A}) \cdot (c_{B0}-c_{A0} \cdot x_{A})}=0.05 h. Theoretical volume is v=0.05*167.07=8.71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</si>
  <si>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Q_{0}=(650+650)/1.64=803.65 m^3/h. Initial concentration of ethyl acetate: c_{A0}=650*1000/(76*803.65)=10.66 mol/L. Initial concentration of sodium hydroxide: c_{B0}=650*1000*1/(40*803.65)=20.25 mol/L. The concentration of chloroethanol: c_{A}=c_{A0}*(1-x). The concentration of sodium bicarbonate: c_{B}=c_{B0}-c_{A0}*x. Reaction time obtained through integral calculation: t=\frac{c_{A0} \cdot x_{f}}{r_{A}}=\frac{c_{A0} \cdot x_{f}}{k \cdot c_{A} \cdot c_{B}}=\frac{x_{f}}{k \cdot (1-x_{A}) \cdot (c_{B0}-c_{A0} \cdot x_{A})}=0.05 h. Theoretical volume is v=0.05*803.65=40.16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</si>
  <si>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1.64. The reaction rate of this reaction as follows r_{A}=k*c_{A}*c_{B}The rate constant of 5.63/mol*h at reaction temperature. The conversion rate is 0.78. Please calculate the residence time and volume of the reactor.&lt;|eot_id|&gt;&lt;|start_header_id|&gt;assistant&lt;|end_header_id|&gt;
</t>
  </si>
  <si>
    <t>The relative molecular weight of CH_{3}COOC_{2}H_{5} is 76 kg/kmol, NaOH is 40 kg/kmol. Raw material volumetric flow rate: Q_{0}=(161+161)/1.29=249.61 m^3/h. Initial concentration of ethyl acetate: c_{A0}=161*1000/(76*249.61)=8.49 mol/L. Initial concentration of sodium hydroxide: c_{B0}=161*1000*1/(40*249.61)=16.12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v=0.03*249.61=7.25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</si>
  <si>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Q_{0}=(201+201)/1.29=310.91 m^3/h. Initial concentration of ethyl acetate: c_{A0}=201*1000/(76*310.91)=8.55 mol/L. Initial concentration of sodium hydroxide: c_{B0}=201*1000*1/(40*310.91)=16.12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v=0.03*310.91=9.39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</si>
  <si>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1.29. The reaction rate of this reaction as follows r_{A}=k*c_{A}*c_{B}The rate constant of 5.63/mol*h at reaction temperature. The conversion rate is 0.84. Please calculate the residence time and volume of the reactor.&lt;|eot_id|&gt;&lt;|start_header_id|&gt;assistant&lt;|end_header_id|&gt;
</t>
  </si>
  <si>
    <t>The relative molecular weight of CH_{3}COOC_{2}H_{5} is 76 kg/kmol, NaOH is 40 kg/kmol. Raw material volumetric flow rate: Q_{0}=(225+225)/1.75=257.14 m^3/h. Initial concentration of ethyl acetate: c_{A0}=225*1000/(76*257.14)=11.51 mol/L. Initial concentration of sodium hydroxide: c_{B0}=225*1000*1/(40*257.14)=21.87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v=0.02*257.14=4.51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</si>
  <si>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Q_{0}=(542+542)/1.75=617.71 m^3/h. Initial concentration of ethyl acetate: c_{A0}=542*1000/(76*617.71)=11.64 mol/L. Initial concentration of sodium hydroxide: c_{B0}=542*1000*1/(40*617.71)=21.88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v=0.02*617.71=9.9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</si>
  <si>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1.75. The reaction rate of this reaction as follows r_{A}=k*c_{A}*c_{B}The rate constant of 5.63/mol*h at reaction temperature. The conversion rate is 0.79. Please calculate the residence time and volume of the reactor.&lt;|eot_id|&gt;&lt;|start_header_id|&gt;assistant&lt;|end_header_id|&gt;
</t>
  </si>
  <si>
    <t>The relative molecular weight of CH_{3}COOC_{2}H_{5} is 76 kg/kmol, NaOH is 40 kg/kmol. Raw material volumetric flow rate: Q_{0}=(265+265)/1.49=355.7 m^3/h. Initial concentration of ethyl acetate: c_{A0}=265*1000/(76*355.7)=9.8 mol/L. Initial concentration of sodium hydroxide: c_{B0}=265*1000*1/(40*355.7)=18.62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v=0.03*355.7=9.76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</si>
  <si>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Q_{0}=(736+736)/1.49=984.97 m^3/h. Initial concentration of ethyl acetate: c_{A0}=736*1000/(76*984.97)=9.74 mol/L. Initial concentration of sodium hydroxide: c_{B0}=736*1000*1/(40*984.97)=18.75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v=0.03*984.97=28.51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</si>
  <si>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1.49. The reaction rate of this reaction as follows r_{A}=k*c_{A}*c_{B}The rate constant of 5.63/mol*h at reaction temperature. The conversion rate is 0.86. Please calculate the residence time and volume of the reactor.&lt;|eot_id|&gt;&lt;|start_header_id|&gt;assistant&lt;|end_header_id|&gt;
</t>
  </si>
  <si>
    <t>The relative molecular weight of CH_{3}COOC_{2}H_{5} is 76 kg/kmol, NaOH is 40 kg/kmol. Raw material volumetric flow rate: Q_{0}=(489+489)/1.82=537.36 m^3/h. Initial concentration of ethyl acetate: c_{A0}=489*1000/(76*537.36)=11.97 mol/L. Initial concentration of sodium hydroxide: c_{B0}=489*1000*1/(40*537.36)=22.75 mol/L. The concentration of chloroethanol: c_{A}=c_{A0}*(1-x). The concentration of sodium bicarbonate: c_{B}=c_{B0}-c_{A0}*x. Reaction time obtained through integral calculation: t=\int_{0}^{x_{f} } \frac{c_{A0}dx_{A} }{r_{A}}=\int_{0}^{x_{f} } \frac{c_{A0}dx_{A} }{k*c_{A}*c_{B}}=\int_{0}^{x_{f} } \frac{dx_{A} }{k*(1-x_{A})*(c_{B0}-c_{A0}*x_{A})}=0.01 h. Theoretical volume is v=0.01*537.36=7.56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</si>
  <si>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Q_{0}=(152+152)/1.82=166.08 m^3/h. Initial concentration of ethyl acetate: c_{A0}=152*1000/(76*166.08)=12.04 mol/L. Initial concentration of sodium hydroxide: c_{B0}=152*1000*1/(40*166.08)=22.88 mol/L. The concentration of chloroethanol: c_{A}=c_{A0}*(1-x). The concentration of sodium bicarbonate: c_{B}=c_{B0}-c_{A0}*x. Reaction time obtained through integral calculation: t=\int_{0}^{x_{f} } \frac{c_{A0}dx_{A} }{r_{A}}=\int_{0}^{x_{f} } \frac{c_{A0}dx_{A} }{k*c_{A}*c_{B}}=\int_{0}^{x_{f} } \frac{dx_{A} }{k*(1-x_{A})*(c_{B0}-c_{A0}*x_{A})}=0.01 h. Theoretical volume is v=0.01*166.08=2.7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</si>
  <si>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1.82. The reaction rate of this reaction as follows r_{A}=k*c_{A}*c_{B}The rate constant of 5.63/mol*h at reaction temperature. The conversion rate is 0.74. Please calculate the residence time and volume of the reactor.&lt;|eot_id|&gt;&lt;|start_header_id|&gt;assistant&lt;|end_header_id|&gt;
</t>
  </si>
  <si>
    <t>The relative molecular weight of CH_{3}COOC_{2}H_{5} is 76 kg/kmol, NaOH is 40 kg/kmol. Raw material volumetric flow rate: Q_{0}=(652+652)/1.87=697.33 m^3/h. Initial concentration of ethyl acetate: c_{A0}=652*1000/(76*697.33)=12.3 mol/L. Initial concentration of sodium hydroxide: c_{B0}=652*1000*1/(40*697.33)=23.38 mol/L. The concentration of chloroethanol: c_{A}=c_{A0}*(1-x). The concentration of sodium bicarbonate: c_{B}=c_{B0}-c_{A0}*x. Reaction time obtained through integral calculation: t=\frac{c_{A0} \cdot x_{f}}{r_{A}}=\frac{c_{A0} \cdot x_{f}}{k \cdot c_{A} \cdot c_{B}}=\frac{x_{f}}{k \cdot (1-x_{A}) \cdot (c_{B0}-c_{A0} \cdot x_{A})}=0.09 h. Theoretical volume is v=0.09*697.33=65.41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</si>
  <si>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Q_{0}=(343+343)/1.87=366.84 m^3/h. Initial concentration of ethyl acetate: c_{A0}=343*1000/(76*366.84)=12.3 mol/L. Initial concentration of sodium hydroxide: c_{B0}=343*1000*1/(40*366.84)=23.38 mol/L. The concentration of chloroethanol: c_{A}=c_{A0}*(1-x). The concentration of sodium bicarbonate: c_{B}=c_{B0}-c_{A0}*x. Reaction time obtained through integral calculation: t=\frac{c_{A0} \cdot x_{f}}{r_{A}}=\frac{c_{A0} \cdot x_{f}}{k \cdot c_{A} \cdot c_{B}}=\frac{x_{f}}{k \cdot (1-x_{A}) \cdot (c_{B0}-c_{A0} \cdot x_{A})}=0.08 h. Theoretical volume is v=0.08*366.84=29.63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</si>
  <si>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1.87. The reaction rate of this reaction as follows r_{A}=k*c_{A}*c_{B}The rate constant of 5.63/mol*h at reaction temperature. The conversion rate is 0.87. Please calculate the residence time and volume of the reactor.&lt;|eot_id|&gt;&lt;|start_header_id|&gt;assistant&lt;|end_header_id|&gt;
</t>
  </si>
  <si>
    <t>The relative molecular weight of CH_{3}COOC_{2}H_{5} is 76 kg/kmol, NaOH is 40 kg/kmol. Raw material volumetric flow rate: Q_{0}=(562+562)/1.47=764.63 m^3/h. Initial concentration of ethyl acetate: c_{A0}=562*1000/(76*764.63)=9.67 mol/L. Initial concentration of sodium hydroxide: c_{B0}=562*1000*1/(40*764.63)=18.38 mol/L. The concentration of chloroethanol: c_{A}=c_{A0}*(1-x). The concentration of sodium bicarbonate: c_{B}=c_{B0}-c_{A0}*x. Reaction time obtained through integral calculation: t=\frac{c_{A0} \cdot x_{f}}{r_{A}}=\frac{c_{A0} \cdot x_{f}}{k \cdot c_{A} \cdot c_{B}}=\frac{x_{f}}{k \cdot (1-x_{A}) \cdot (c_{B0}-c_{A0} \cdot x_{A})}=0.13 h. Theoretical volume is v=0.13*764.63=100.96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</si>
  <si>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Q_{0}=(341+341)/1.47=366.91 m^3/h. Initial concentration of ethyl acetate: c_{A0}=341*1000/(76*366.91)=12.17 mol/L. Initial concentration of sodium hydroxide: c_{B0}=341*1000*1/(40*366.91)=23.12 mol/L. The concentration of chloroethanol: c_{A}=c_{A0}*(1-x). The concentration of sodium bicarbonate: c_{B}=c_{B0}-c_{A0}*x. Reaction time obtained through integral calculation: t=\frac{c_{A0} \cdot x_{f}}{r_{A}}=\frac{c_{A0} \cdot x_{f}}{k \cdot c_{A} \cdot c_{B}}=\frac{x_{f}}{k \cdot (1-x_{A}) \cdot (c_{B0}-c_{A0} \cdot x_{A})}=0.08 h. Theoretical volume is v=0.08*366.91=29.48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</si>
  <si>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1.47. The reaction rate of this reaction as follows r_{A}=k*c_{A}*c_{B}The rate constant of 5.63/mol*h at reaction temperature. The conversion rate is 0.88. Please calculate the residence time and volume of the reactor.&lt;|eot_id|&gt;&lt;|start_header_id|&gt;assistant&lt;|end_header_id|&gt;
</t>
  </si>
  <si>
    <t>The relative molecular weight of CH_{3}COOC_{2}H_{5} is 76 kg/kmol, NaOH is 40 kg/kmol. Raw material volumetric flow rate: Q_{0}=(735+735)/1.33=1105.26 m^3/h. Initial concentration of ethyl acetate: c_{A0}=735*1000/(76*1105.26)=8.75 mol/L. Initial concentration of sodium hydroxide: c_{B0}=735*1000*1/(40*1105.26)=16.62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v=0.03*1105.26=33.99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</si>
  <si>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Q_{0}=(202+202)/1.33=303.76 m^3/h. Initial concentration of ethyl acetate: c_{A0}=202*1000/(76*303.76)=8.75 mol/L. Initial concentration of sodium hydroxide: c_{B0}=202*1000*1/(40*303.76)=16.62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v=0.03*303.76=9.45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</si>
  <si>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1.33. The reaction rate of this reaction as follows r_{A}=k*c_{A}*c_{B}The rate constant of 5.63/mol*h at reaction temperature. The conversion rate is 0.86. Please calculate the residence time and volume of the reactor.&lt;|eot_id|&gt;&lt;|start_header_id|&gt;assistant&lt;|end_header_id|&gt;
</t>
  </si>
  <si>
    <t>The relative molecular weight of CH_{3}COOC_{2}H_{5} is 76 kg/kmol, NaOH is 40 kg/kmol. Raw material volumetric flow rate: Q_{0}=(887+887)/1.3=1364.62 m^3/h. Initial concentration of ethyl acetate: c_{A0}=887*1000/(76*1364.62)=8.55 mol/L. Initial concentration of sodium hydroxide: c_{B0}=887*1000*1/(40*1364.62)=16.25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v=0.03*1364.62=34.8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</si>
  <si>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Q_{0}=(465+465)/1.3=715.4 m^3/h. Initial concentration of ethyl acetate: c_{A0}=465*1000/(76*715.4)=8.68 mol/L. Initial concentration of sodium hydroxide: c_{B0}=465*1000*1/(40*715.4)=16.38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v=0.03*715.4=19.1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</si>
  <si>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1.3. The reaction rate of this reaction as follows r_{A}=k*c_{A}*c_{B}The rate constant of 5.63/mol*h at reaction temperature. The conversion rate is 0.81. Please calculate the residence time and volume of the reactor.&lt;|eot_id|&gt;&lt;|start_header_id|&gt;assistant&lt;|end_header_id|&gt;
</t>
  </si>
  <si>
    <t>The relative molecular weight of CH_{3}COOC_{2}H_{5} is 76 kg/kmol, NaOH is 40 kg/kmol. Raw material volumetric flow rate: Q_{0}=(341+341)/1.45=470.34 m^3/h. Initial concentration of ethyl acetate: c_{A0}=341*1000/(76*470.34)=9.54 mol/L. Initial concentration of sodium hydroxide: c_{B0}=341*1000*1/(40*470.34)=18.12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v=0.02*470.34=11.19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</si>
  <si>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Q_{0}=(654+654)/1.45=904. abstract The initial concentration of ethyl acetate is c_{A0}=654*1000/(76*904)=9.54 mol/L. The initial concentration of sodium hydroxide is c_{B0}=654*1000*1/(40*904)=18.12 mol/L. The concentration of chloroethanol is c_{A}=c_{A0}*(1-x). The concentration of sodium bicarbonate is c_{B}=c_{B0}-c_{A0}*x. Reaction time obtained through integral calculation: t=\int_{0}^{x_{f} } \frac{c_{A0}dx_{A} }{r_{A}}=\int_{0}^{x_{f} } \frac{c_{A0}dx_{A} }{k*c_{A}*c_{B}}=\int_{0}^{x_{f} } \frac{dx_{A} }{k*(1-x_{A})*(c_{B0}-c_{A0}*x_{A})}=0.02 h. Theoretical volume is v=0.02*904=17.29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</si>
  <si>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1.45. The reaction rate of this reaction as follows r_{A}=k*c_{A}*c_{B}The rate constant of 5.63/mol*h at reaction temperature. The conversion rate is 0.82. Please calculate the residence time and volume of the reactor.&lt;|eot_id|&gt;&lt;|start_header_id|&gt;assistant&lt;|end_header_id|&gt;
</t>
  </si>
  <si>
    <t>The relative molecular weight of CH_{3}COOC_{2}H_{5} is 76 kg/kmol, NaOH is 40 kg/kmol. Raw material volumetric flow rate: Q_{0}=(137+137)/1.55=176.77 m^3/h. Initial concentration of ethyl acetate: c_{A0}=137*1000/(76*176.77)=10.2 mol/L. Initial concentration of sodium hydroxide: c_{B0}=137*1000*1/(40*176.77)=19.38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v=0.02*176.77=3.64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</si>
  <si>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Q_{0}=(872+872)/1.55=1124.19 m^3/h. Initial concentration of ethyl acetate: c_{A0}=872*1000/(76*1124.19)=10.2 mol/L. Initial concentration of sodium hydroxide: c_{B0}=872*1000*1/(40*1124.19)=19.38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v=0.02*1124.19=17.99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</si>
  <si>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1.55. The reaction rate of this reaction as follows r_{A}=k*c_{A}*c_{B}The rate constant of 5.63/mol*h at reaction temperature. The conversion rate is 0.8. Please calculate the residence time and volume of the reactor.&lt;|eot_id|&gt;&lt;|start_header_id|&gt;assistant&lt;|end_header_id|&gt;
</t>
  </si>
  <si>
    <t>The relative molecular weight of CH_{3}COOC_{2}H_{5} is 76 kg/kmol, NaOH is 40 kg/kmol. Raw material volumetric flow rate: Q_{0}=(430+430)/1.16=741.38 m^3/h. Initial concentration of ethyl acetate: c_{A0}=430*1000/(76*741.38)=7.63 mol/L. Initial concentration of sodium hydroxide: c_{B0}=430*1000*1/(40*741.38)=14.5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v=0.02*741.38=17.57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</si>
  <si>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Q_{0}=(675+675)/1.16=1165.52 m^3/h. Initial concentration of ethyl acetate: c_{A0}=675*1000/(76*1165.52)=7.7 mol/L. Initial concentration of sodium hydroxide: c_{B0}=675*1000*1/(40*1165.52)=14.5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v=0.03*1165.52=32.21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</si>
  <si>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1.16. The reaction rate of this reaction as follows r_{A}=k*c_{A}*c_{B}The rate constant of 5.63/mol*h at reaction temperature. The conversion rate is 0.76. Please calculate the residence time and volume of the reactor.&lt;|eot_id|&gt;&lt;|start_header_id|&gt;assistant&lt;|end_header_id|&gt;
</t>
  </si>
  <si>
    <t>The relative molecular weight of CH_{3}COOC_{2}H_{5} is 76 kg/kmol, NaOH is 40 kg/kmol. Raw material volumetric flow rate: Q_{0}=(283+283)/1.61=351.55 m^3/h. Initial concentration of ethyl acetate: c_{A0}=283*1000/(76*351.55)=10.59 mol/L. Initial concentration of sodium hydroxide: c_{B0}=283*1000*1/(40*351.55)=20.12 mol/L. The concentration of chloroethanol: c_{A}=c_{A0}*(1-x). The concentration of sodium bicarbonate: c_{B}=c_{B0}-c_{A0}*x. Reaction time obtained through integral calculation: t=\int_{0}^{x_{f} } \frac{c_{A0}dx_{A} }{r_{A}}=\int_{0}^{x_{f} } \frac{c_{A0}dx_{A} }{k*c_{A}*c_{B}}=\int_{0}^{x_{f} } \frac{dx_{A} }{k*(1-x_{A})*(c_{B0}-c_{A0}*x_{A})}=0.05 h. Theoretical volume is v=0.05*351.55=18.29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</si>
  <si>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Q_{0}=(400+400)/1.61=496.89 m^3/h. Initial concentration of ethyl acetate: c_{A0}=400*1000/(76*496.89)=10.59 mol/L. Initial concentration of sodium hydroxide: c_{B0}=400*1000*1/(40*496.89)=20.12 mol/L. The concentration of chloroethanol: c_{A}=c_{A0}*(1-x). The concentration of sodium bicarbonate: c_{B}=c_{B0}-c_{A0}*x. Reaction time obtained through integral calculation: t=\int_{0}^{x_{f} } \frac{c_{A0}dx_{A} }{r_{A}}=\int_{0}^{x_{f} } \frac{c_{A0}dx_{A} }{k*c_{A}*c_{B}}=\int_{0}^{x_{f} } \frac{dx_{A} }{k*(1-x_{A})*(c_{B0}-c_{A0}*x_{A})}=0.04 h. Theoretical volume is v=0.04*496.89=21.29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</si>
  <si>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1.61. The reaction rate of this reaction as follows r_{A}=k*c_{A}*c_{B}The rate constant of 5.63/mol*h at reaction temperature. The conversion rate is 0.97. Please calculate the residence time and volume of the reactor.&lt;|eot_id|&gt;&lt;|start_header_id|&gt;assistant&lt;|end_header_id|&gt;
</t>
  </si>
  <si>
    <t>The relative molecular weight of CH_{3}COOC_{2}H_{5} is 76 kg/kmol, NaOH is 40 kg/kmol. Raw material volumetric flow rate: Q_{0}=(443+443)/1.23=720.33 m^3/h. Initial concentration of ethyl acetate: c_{A0}=443*1000/(76*720.33)=8.09 mol/L. Initial concentration of sodium hydroxide: c_{B0}=443*1000*1/(40*720.33)=15.37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v=0.03*720.33=25.09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</si>
  <si>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Q_{0}=(640+640)/1.23=1041.28 m^3/h. Initial concentration of ethyl acetate: c_{A0}=640*1000/(76*1041.28)=8.22 mol/L. Initial concentration of sodium hydroxide: c_{B0}=640*1000*1/(40*1041.28)=15.38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v=0.03*1041.28=33.46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</si>
  <si>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1.23. The reaction rate of this reaction as follows r_{A}=k*c_{A}*c_{B}The rate constant of 5.63/mol*h at reaction temperature. The conversion rate is 0.87. Please calculate the residence time and volume of the reactor.&lt;|eot_id|&gt;&lt;|start_header_id|&gt;assistant&lt;|end_header_id|&gt;
</t>
  </si>
  <si>
    <t>The relative molecular weight of CH_{3}COOC_{2}H_{5} is 76 kg/kmol, NaOH is 40 kg/kmol. Raw material volumetric flow rate: Q_{0}=(569+569)/1.9=598.95 m^3/h. Initial concentration of ethyl acetate: c_{A0}=569*1000/(76*598.95)=12.5 mol/L. Initial concentration of sodium hydroxide: c_{B0}=569*1000*1/(40*598.95)=23.75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v=0.02*598.95=11.33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</si>
  <si>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Q_{0}=(324+324)/1.9=342.11 m^3/h. Initial concentration of ethyl acetate: c_{A0}=324*1000/(76*342.11)=12.43 mol/L. Initial concentration of sodium hydroxide: c_{B0}=324*1000*1/(40*342.11)=23.62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v=0.02*342.11=5.89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</si>
  <si>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1.9. The reaction rate of this reaction as follows r_{A}=k*c_{A}*c_{B}The rate constant of 5.63/mol*h at reaction temperature. The conversion rate is 0.83. Please calculate the residence time and volume of the reactor.&lt;|eot_id|&gt;&lt;|start_header_id|&gt;assistant&lt;|end_header_id|&gt;
</t>
  </si>
  <si>
    <t>The relative molecular weight of CH_{3}COOC_{2}H_{5} is 76 kg/kmol, NaOH is 40 kg/kmol. Raw material volumetric flow rate: Q_{0}=(584+584)/1.37=852.55 m^3/h. Initial concentration of ethyl acetate: c_{A0}=584*1000/(76*852.55)=9.01 mol/L. Initial concentration of sodium hydroxide: c_{B0}=584*1000*1/(40*852.55)=17.13 mol/L. The concentration of chloroethanol: c_{A}=c_{A0}*(1-x). The concentration of sodium bicarbonate: c_{B}=c_{B0}-c_{A0}*x. Reaction time obtained through integral calculation: t=\frac{c_{A0} \cdot x_{f}}{r_{A}}=\frac{c_{A0} \cdot x_{f}}{k \cdot c_{A} \cdot c_{B}}=\frac{x_{f}}{k \cdot (1-x_{A}) \cdot (c_{B0}-c_{A0} \cdot x_{A})}=0.69 h. Theoretical volume is v=0.69*852.55=584.12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</si>
  <si>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Q_{0}=(673+673)/1.37=980.58 m^3/h. Initial concentration of ethyl acetate: c_{A0}=673*1000/(76*980.58)=9.01 mol/L. Initial concentration of sodium hydroxide: c_{B0}=673*1000*1/(40*980.58)=17.25 mol/L. The concentration of chloroethanol: c_{A}=c_{A0}*(1-x). The concentration of sodium bicarbonate: c_{B}=c_{B0}-c_{A0}*x. Reaction time obtained through integral calculation: t=\frac{c_{A0} \cdot x_{f}}{r_{A}}=\frac{c_{A0} \cdot x_{f}}{k \cdot c_{A} \cdot c_{B}}=\frac{x_{f}}{k \cdot (1-x_{A}) \cdot (c_{B0}-c_{A0} \cdot x_{A})}=0.83 h. Theoretical volume is v=0.83*980.58=815.37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</si>
  <si>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1.37. The reaction rate of this reaction as follows r_{A}=k*c_{A}*c_{B}The rate constant of 5.63/mol*h at reaction temperature. The conversion rate is 0.97. Please calculate the residence time and volume of the reactor.&lt;|eot_id|&gt;&lt;|start_header_id|&gt;assistant&lt;|end_header_id|&gt;
</t>
  </si>
  <si>
    <t>The relative molecular weight of CH_{3}COOC_{2}H_{5} is 76 kg/kmol, NaOH is 40 kg/kmol. Raw material volumetric flow rate: Q_{0}=(640+640)/1.47=870.75 m^3/h. Initial concentration of ethyl acetate: c_{A0}=640*1000/(76*870.75)=9.67 mol/L. Initial concentration of sodium hydroxide: c_{B0}=640*1000*1/(40*870.75)=18.38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v=0.02*870.75=15.71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</si>
  <si>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Q_{0}=(368+368)/1.47=501.35 m^3/h. Initial concentration of ethyl acetate: c_{A0}=368*1000/(76*501.35)=9.61 mol/L. Initial concentration of sodium hydroxide: c_{B0}=368*1000*1/(40*501.35)=18.25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v=0.02*501.35=9.72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</si>
  <si>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1.47. The reaction rate of this reaction as follows r_{A}=k*c_{A}*c_{B}The rate constant of 5.63/mol*h at reaction temperature. The conversion rate is 0.75. Please calculate the residence time and volume of the reactor.&lt;|eot_id|&gt;&lt;|start_header_id|&gt;assistant&lt;|end_header_id|&gt;
</t>
  </si>
  <si>
    <t>The relative molecular weight of CH_{3}COOC_{2}H_{5} is 76 kg/kmol, NaOH is 40 kg/kmol. Raw material volumetric flow rate: Q_{0}=(396+396)/1.16=682.76 m^3/h. Initial concentration of ethyl acetate: c_{A0}=396*1000/(76*682.76)=7.63 mol/L. Initial concentration of sodium hydroxide: c_{B0}=396*1000*1/(40*682.76)=14.5 mol/L. The concentration of chloroethanol: c_{A}=c_{A0}*(1-x). The concentration of sodium bicarbonate: c_{B}=c_{B0}-c_{A0}*x. Reaction time obtained through integral calculation: t=\int_{0}^{x_{f} } \frac{c_{A0}dx_{A} }{r_{A}}=\int_{0}^{x_{f} } \frac{c_{A0}dx_{A} }{k*c_{A}*c_{B}}=\int_{0}^{x_{f} } \frac{dx_{A} }{k*(1-x_{A})*(c_{B0}-c_{A0}*x_{A})}=0.08 h. Theoretical volume is v=0.08*682.76=56.27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</si>
  <si>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Q_{0}=(786+786)/1.16=1353.45 m^3/h. Initial concentration of ethyl acetate: c_{A0}=786*1000/(76*1353.45)=7.63 mol/L. Initial concentration of sodium hydroxide: c_{B0}=786*1000*1/(40*1353.45)=14.5 mol/L. The concentration of chloroethanol: c_{A}=c_{A0}*(1-x). The concentration of sodium bicarbonate: c_{B}=c_{B0}-c_{A0}*x. Reaction time obtained through integral calculation: t=\int_{0}^{x_{f} } \frac{c_{A0}dx_{A} }{r_{A}}=\int_{0}^{x_{f} } \frac{c_{A0}dx_{A} }{k*c_{A}*c_{B}}=\int_{0}^{x_{f} } \frac{dx_{A} }{k*(1-x_{A})*(c_{B0}-c_{A0}*x_{A})}=0.08 h. Theoretical volume is v=0.08*1353.45=104.77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</si>
  <si>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1.16. The reaction rate of this reaction as follows r_{A}=k*c_{A}*c_{B}The rate constant of 5.63/mol*h at reaction temperature. The conversion rate is 0.98. Please calculate the residence time and volume of the reactor.&lt;|eot_id|&gt;&lt;|start_header_id|&gt;assistant&lt;|end_header_id|&gt;
</t>
  </si>
  <si>
    <t>The relative molecular weight of CH_{3}COOC_{2}H_{5} is 76 kg/kmol, NaOH is 40 kg/kmol. Raw material volumetric flow rate: Q_{0}=(118+118)/1.51=156.29 m^3/h. Initial concentration of ethyl acetate: c_{A0}=118*1000/(76*156.29)=9.93 mol/L. Initial concentration of sodium hydroxide: c_{B0}=118*1000*1/(40*156.29)=18.88 mol/L. The concentration of chloroethanol: c_{A}=c_{A0}*(1-x). The concentration of sodium bicarbonate: c_{B}=c_{B0}-c_{A0}*x. Reaction time obtained through integral calculation: t=\frac{c_{A0} \cdot x_{f}}{r_{A}}=\frac{c_{A0} \cdot x_{f}}{k \cdot c_{A} \cdot c_{B}}=\frac{x_{f}}{k \cdot (1-x_{A}) \cdot (c_{B0}-c_{A0} \cdot x_{A})}=0.12 h. Theoretical volume is v=0.12*156.29=18.16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</si>
  <si>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Q_{0}=(555+555)/1.51=735.29 m^3/h. Initial concentration of ethyl acetate: c_{A0}=555*1000/(76*735.29)=9.93 mol/L. Initial concentration of sodium hydroxide: c_{B0}=555*1000*1/(40*735.29)=18.88 mol/L. The concentration of chloroethanol: c_{A}=c_{A0}*(1-x). The concentration of sodium bicarbonate: c_{B}=c_{B0}-c_{A0}*x. Reaction time obtained through integral calculation: t=\frac{c_{A0} \cdot x_{f}}{r_{A}}=\frac{c_{A0} \cdot x_{f}}{k \cdot c_{A} \cdot c_{B}}=\frac{x_{f}}{k \cdot (1-x_{A}) \cdot (c_{B0}-c_{A0} \cdot x_{A})}=0.13 h. Theoretical volume is v=0.13*735.29=96.02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</si>
  <si>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1.51. The reaction rate of this reaction as follows r_{A}=k*c_{A}*c_{B}The rate constant of 5.63/mol*h at reaction temperature. The conversion rate is 0.87. Please calculate the residence time and volume of the reactor.&lt;|eot_id|&gt;&lt;|start_header_id|&gt;assistant&lt;|end_header_id|&gt;
</t>
  </si>
  <si>
    <t>The relative molecular weight of CH_{3}COOC_{2}H_{5} is 76 kg/kmol, NaOH is 40 kg/kmol. Raw material volumetric flow rate: Q_{0}=(654+654)/1.14=1147.37 m^3/h. Initial concentration of ethyl acetate: c_{A0}=654*1000/(76*1147.37)=7.5 mol/L. Initial concentration of sodium hydroxide: c_{B0}=654*1000*1/(40*1147.37)=14.25 mol/L. The concentration of chloroethanol: c_{A}=c_{A0}*(1-x). The concentration of sodium bicarbonate: c_{B}=c_{B0}-c_{A0}*x. Reaction time obtained through integral calculation: t=\int_{0}^{x_{f} } \frac{c_{A0}dx_{A} }{r_{A}}=\int_{0}^{x_{f} } \frac{c_{A0}dx_{A} }{k*c_{A}*c_{B}}=\int_{0}^{x_{f} } \frac{dx_{A} }{k*(1-x_{A})*(c_{B0}-c_{A0}*x_{A})}=0.04 h. Theoretical volume is v=0.04*1147.37=50.14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</si>
  <si>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Q_{0}=(610+610)/1.14=1071.03 m^3/h. Initial concentration of ethyl acetate: c_{A0}=610*1000/(76*1071.03)=7.5 mol/L. Initial concentration of sodium hydroxide: c_{B0}=610*1000*1/(40*1071.03)=14.25 mol/L. The concentration of chloroethanol: c_{A}=c_{A0}*(1-x). The concentration of sodium bicarbonate: c_{B}=c_{B0}-c_{A0}*x. Reaction time obtained through integral calculation: t=\int_{0}^{x_{f} } \frac{c_{A0}dx_{A} }{r_{A}}=\int_{0}^{x_{f} } \frac{c_{A0}dx_{A} }{k*c_{A}*c_{B}}=\int_{0}^{x_{f} } \frac{dx_{A} }{k*(1-x_{A})*(c_{B0}-c_{A0}*x_{A})}=0.04 h. Theoretical volume is v=0.04*1071.03=44.39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</si>
  <si>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1.14. The reaction rate of this reaction as follows r_{A}=k*c_{A}*c_{B}The rate constant of 5.63/mol*h at reaction temperature. The conversion rate is 0.9. Please calculate the residence time and volume of the reactor.&lt;|eot_id|&gt;&lt;|start_header_id|&gt;assistant&lt;|end_header_id|&gt;
</t>
  </si>
  <si>
    <t>The relative molecular weight of CH_{3}COOC_{2}H_{5} is 76 kg/kmol, NaOH is 40 kg/kmol. Raw material volumetric flow rate: Q_{0}=(154+154)/1.77=174.01 m^3/h. Initial concentration of ethyl acetate: c_{A0}=154*1000/(76*174.01)=11.64 mol/L. Initial concentration of sodium hydroxide: c_{B0}=154*1000*1/(40*174.01)=22.12 mol/L. The concentration of chloroethanol: c_{A}=c_{A0}*(1-x). The concentration of sodium bicarbonate: c_{B}=c_{B0}-c_{A0}*x. Reaction time obtained through integral calculation: t=\frac{c_{A0} \cdot x_{f}}{r_{A}}=\frac{c_{A0} \cdot x_{f}}{k \cdot c_{A} \cdot c_{B}}=\frac{x_{f}}{k \cdot (1-x_{A}) \cdot (c_{B0}-c_{A0} \cdot x_{A})}=0.1 h. Theoretical volume is v=0.1*174.01=17.25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</si>
  <si>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Q_{0}=(786+786)/1.77=891.84 m^3/h. Initial concentration of ethyl acetate: c_{A0}=786*1000/(76*891.84)=11.64 mol/L. Initial concentration of sodium hydroxide: c_{B0}=786*1000*1/(40*891.84)=22.0 mol/L. The concentration of chloroethanol: c_{A}=c_{A0}*(1-x). The concentration of sodium bicarbonate: c_{B}=c_{B0}-c_{A0}*x. Reaction time obtained through integral calculation: t=\frac{c_{A0} \cdot x_{f}}{r_{A}}=\frac{c_{A0} \cdot x_{f}}{k \cdot c_{A} \cdot c_{B}}=\frac{x_{f}}{k \cdot (1-x_{A}) \cdot (c_{B0}-c_{A0} \cdot x_{A})}=0.13 h. Theoretical volume is v=0.13*891.84=113.45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</si>
  <si>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1.77. The reaction rate of this reaction as follows r_{A}=k*c_{A}*c_{B}The rate constant of 5.63/mol*h at reaction temperature. The conversion rate is 0.87. Please calculate the residence time and volume of the reactor.&lt;|eot_id|&gt;&lt;|start_header_id|&gt;assistant&lt;|end_header_id|&gt;
</t>
  </si>
  <si>
    <t>The relative molecular weight of CH_{3}COOC_{2}H_{5} is 76 kg/kmol, NaOH is 40 kg/kmol. Raw material volumetric flow rate: Q_{0}=(551+551)/1.55=710.97 m^3/h. Initial concentration of ethyl acetate: c_{A0}=551*1000/(76*710.97)=10.2 mol/L. Initial concentration of sodium hydroxide: c_{B0}=551*1000*1/(40*710.97)=19.38 mol/L. The concentration of chloroethanol: c_{A}=c_{A0}*(1-x). The concentration of sodium bicarbonate: c_{B}=c_{B0}-c_{A0}*x. Reaction time obtained through integral calculation: t=\frac{c_{A0} \cdot x_{f}}{r_{A}}=\frac{c_{A0} \cdot x_{f}}{k \cdot c_{A} \cdot c_{B}}=\frac{x_{f}}{k \cdot (1-x_{A}) \cdot (c_{B0}-c_{A0} \cdot x_{A})}=0.11 h. Theoretical volume is v=0.11*710.97=80.46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</si>
  <si>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Q_{0}=(665+665)/1.55=859.84 m^3/h. Initial concentration of ethyl acetate: c_{A0}=665*1000/(76*859.84)=10.13 mol/L. Initial concentration of sodium hydroxide: c_{B0}=665*1000*1/(40*859.84)=19.38 mol/L. The concentration of chloroethanol: c_{A}=c_{A0}*(1-x). The concentration of sodium bicarbonate: c_{B}=c_{B0}-c_{A0}*x. Reaction time obtained through integral calculation: t=\frac{c_{A0} \cdot x_{f}}{r_{A}}=\frac{c_{A0} \cdot x_{f}}{k \cdot c_{A} \cdot c_{B}}=\frac{x_{f}}{k \cdot (1-x_{A}) \cdot (c_{B0}-c_{A0} \cdot x_{A})}=0.11 h. Theoretical volume is v=0.11*859.84=98.0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</si>
  <si>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1.55. The reaction rate of this reaction as follows r_{A}=k*c_{A}*c_{B}The rate constant of 5.63/mol*h at reaction temperature. The conversion rate is 0.87. Please calculate the residence time and volume of the reactor.&lt;|eot_id|&gt;&lt;|start_header_id|&gt;assistant&lt;|end_header_id|&gt;
</t>
  </si>
  <si>
    <t>The relative molecular weight of CH_{3}COOC_{2}H_{5} is 76 kg/kmol, NaOH is 40 kg/kmol. Raw material volumetric flow rate: Q_{0}=(1000+1000)/1.27=1574.8 m^3/h. Initial concentration of ethyl acetate: c_{A0}=1000*1000/(76*1574.8)=8.36 mol/L. Initial concentration of sodium hydroxide: c_{B0}=1000*1000*1/(40*1574.8)=15.88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v=0.02*1574.8=31.75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</si>
  <si>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Q_{0}=(763+763)/1.27=1201.57 m^3/h. Initial concentration of ethyl acetate: c_{A0}=763*1000/(76*1201.57)=8.36 mol/L. Initial concentration of sodium hydroxide: c_{B0}=763*1000*1/(40*1201.57)=15.87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v=0.02*1201.57=22.24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</si>
  <si>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1.27. The reaction rate of this reaction as follows r_{A}=k*c_{A}*c_{B}The rate constant of 5.63/mol*h at reaction temperature. The conversion rate is 0.74. Please calculate the residence time and volume of the reactor.&lt;|eot_id|&gt;&lt;|start_header_id|&gt;assistant&lt;|end_header_id|&gt;
</t>
  </si>
  <si>
    <t>The relative molecular weight of CH_{3}COOC_{2}H_{5} is 76 kg/kmol, NaOH is 40 kg/kmol. Raw material volumetric flow rate: Q_{0}=(217+217)/1.63=266.26 m^3/h. Initial concentration of ethyl acetate: c_{A0}=217*1000/(76*266.26)=10.72 mol/L. Initial concentration of sodium hydroxide: c_{B0}=217*1000*1/(40*266.26)=20.38 mol/L. The concentration of chloroethanol: c_{A}=c_{A0}*(1-x). The concentration of sodium bicarbonate: c_{B}=c_{B0}-c_{A0}*x. Reaction time obtained through integral calculation: t=\frac{c_{A0} \cdot x_{f}}{r_{A}}=\frac{c_{A0} \cdot x_{f}}{k \cdot c_{A} \cdot c_{B}}=\frac{x_{f}}{k \cdot (1-x_{A}) \cdot (c_{B0}-c_{A0} \cdot x_{A})}=0.06 h. Theoretical volume is v=0.06*266.26=16.04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</si>
  <si>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Q_{0}=(791+791)/1.63=969.34 m^3/h. Initial concentration of ethyl acetate: c_{A0}=791*1000/(76*969.34)=10.66 mol/L. Initial concentration of sodium hydroxide: c_{B0}=791*1000*1/(40*969.34)=20.38 mol/L. The concentration of chloroethanol: c_{A}=c_{A0}*(1-x). The concentration of sodium bicarbonate: c_{B}=c_{B0}-c_{A0}*x. Reaction time obtained through integral calculation: t=\frac{c_{A0} \cdot x_{f}}{r_{A}}=\frac{c_{A0} \cdot x_{f}}{k \cdot c_{A} \cdot c_{B}}=\frac{x_{f}}{k \cdot (1-x_{A}) \cdot (c_{B0}-c_{A0} \cdot x_{A})}=0.06 h. Theoretical volume is v=0.06*969.34=56.41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</si>
  <si>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 xml:space="preserve">&lt;|begin_of_text|&gt;&lt;|start_header_id|&gt;user&lt;|end_header_id|&gt;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1.63. The reaction rate of this reaction as follows r_{A}=k*c_{A}*c_{B}The rate constant of 5.63/mol*h at reaction temperature. The conversion rate is 0.8. Please calculate the residence time and volume of the reactor.&lt;|eot_id|&gt;&lt;|start_header_id|&gt;assistant&lt;|end_header_id|&gt;
</t>
  </si>
  <si>
    <t>The relative molecular weight of NaHCO_{3} is 84 kg/kmol, CH_{2}ClCH_{2}OH is 80.5 kg/kmol, CH_{2}OHCH_{2}OH is 62 kg/kmol. Hourly production of ethylene glycol: 130/62=2.1kmol/h. Hourly required chloroethanol: 2.1*80.5/(0.76*0.12)=1850.77kg/h. Hourly required sodium bicarbonate: 2.1*84*3.6/(0.76*0.34)=2453.81kg/h. Raw material volumetric flow rate: Q_{0}=(1850.77+2453.81)/1.04=4139.02L/h. Initial concentration of chloroethanol: c_{A0}=2.1*1000/(0.76*4139.02)=0.67mol/L. Initial concentration of sodium bicarbonate: c_{B0}=2.1*1000*3.6/(0.76*4139.02)=2.4mol/L. The concentration of chloroethanol: c_{A}=c_{A0}*(1-x). The concentration of sodium bicarbonate: c_{B}=c_{B0}-c_{A0}*x. Reaction time obtained through integral calculation: t=\int_{0}^{x_{f} } \frac{c_{A0}dx_{A} }{r_{A}}=\int_{0}^{x_{f} } \frac{c_{A0}dx_{A} }{k*c_{A}*c_{B}}=\int_{0}^{x_{f} } \frac{dx_{A} }{k*(1-x_{A})*(c_{B0}-c_{A0}*x_{A})}=0.13 h. Theoretical volume is v=0.13*4139.02=545.49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</si>
  <si>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130/62=2.1kmol/h. Hourly required chloroethanol: 2.1*80.5/(0.76*0.12)=184.42kg/h. Hourly required sodium bicarbonate: 2.1*84*3.6/(0.76*0.34)=2747.7kg/h. Raw material volumetric flow rate: Q_{0}=(184.42+2747.7)/1.04=2839.85L/h. Initial concentration of chloroethanol: c_{A0}=2.1*1000/(0.76*2839.85)=1.02mol/L. Initial concentration of sodium bicarbonate: c_{B0}=2.1*1000*3.6/(0.76*2839.85)=3.67mol/L. The concentration of chloroethanol: c_{A}=c_{A0}*(1-x). The concentration of sodium bicarbonate: c_{B}=c_{B0}-c_{A0}*x. Reaction time obtained through integral calculation: t=\int_{0}^{x_{f} } \frac{c_{A0}dx_{A} }{r_{A}}=\int_{0}^{x_{f} } \frac{c_{A0}dx_{A} }{k*c_{A}*c_{B}}=\int_{0}^{x_{f} } \frac{dx_{A} }{k*(1-x_{A})*(c_{B0}-c_{A0}*x_{A})}=0.08 h. Theoretical volume is v=0.08*2839.85=233.24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</si>
  <si>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130kg/h. 0.12 (weight) aqueous NaHCO_{3} solution and 0.34 (weight) CH_{2}ClCH_{2}OH aqueous solution are used as raw materials. The molar ratio of sodium bicarbonate to chloroethanol in the reactor charge is 3.6, and the specific gravity of the mixture is 1.04. The reaction rate of this reaction as follows $r_{A} = k \cdot c_{A} \cdot c_{B}$The rate constant of 5.21/mol*h at reaction temperature. The conversion rate is 0.76. Please calculate the residence time and volume of the reactor.&lt;|eot_id|&gt;&lt;|start_header_id|&gt;assistant&lt;|end_header_id|&gt;
</t>
  </si>
  <si>
    <t>The relative molecular weight of NaHCO_{3} is 84 kg/kmol, CH_{2}ClCH_{2}OH is 80.5 kg/kmol, CH_{2}OHCH_{2}OH is 62 kg/kmol. Hourly production of ethylene glycol: 453/62=7.31kmol/h. Hourly required chloroethanol: 7.31*80.5/(0.81*0.18)=4034.08kg/h. Hourly required sodium bicarbonate: 7.31*84*3.8/(0.81*0.23)=12518.62kg/h. Raw material volumetric flow rate: Q_{0}=(4034.08+12518.62)/1.57=10543.12L/h. Initial concentration of chloroethanol: c_{A0}=7.31*1000/(0.81*10543.12)=0.86mol/L. Initial concentration of sodium bicarbonate: c_{B0}=7.31*1000*3.8/(0.81*10543.12)=3.25mol/L. The concentration of chloroethanol: c_{A}=c_{A0}*(1-x). The concentration of sodium bicarbonate: c_{B}=c_{B0}-c_{A0}*x. Reaction time obtained through integral calculation: t=\int_{0}^{x_{f} } \frac{c_{A0}dx_{A} }{r_{A}}=\int_{0}^{x_{f} } \frac{c_{A0}dx_{A} }{k*c_{A}*c_{B}}=\int_{0}^{x_{f} } \frac{dx_{A} }{k*(1-x_{A})*(c_{B0}-c_{A0}*x_{A})}=0.11 h. Theoretical volume is v=0.11*10543.12=1200.37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</si>
  <si>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453/62=7.31kmol/h. Hourly required chloroethanol: 7.31*80.5/(0.81*0.18)=4090.69kg/h. Hourly required sodium bicarbonate: 7.31*84*3.8/(0.81*0.23)=13092.55kg/h. Raw material volumetric flow rate: Q_{0}=(4090.69+13092.55)/1.57=10392.25L/h. Initial concentration of chloroethanol: c_{A0}=7.31*1000/(0.81*10392.25)=0.88mol/L. Initial concentration of sodium bicarbonate: c_{B0}=7.31*1000*3.8/(0.81*10392.25)=3.35mol/L. The concentration of chloroethanol: c_{A}=c_{A0}*(1-x). The concentration of sodium bicarbonate: c_{B}=c_{B0}-c_{A0}*x. Reaction time obtained through integral calculation: t=\int_{0}^{x_{f} } \frac{c_{A0}dx_{A} }{r_{A}}=\int_{0}^{x_{f} } \frac{c_{A0}dx_{A} }{k*c_{A}*c_{B}}=\int_{0}^{x_{f} } \frac{dx_{A} }{k*(1-x_{A})*(c_{B0}-c_{A0}*x_{A})}=0.11 h. Theoretical volume is v=0.11*10392.25=1185.01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</si>
  <si>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453kg/h. 0.18 (weight) aqueous NaHCO_{3} solution and 0.23 (weight) CH_{2}ClCH_{2}OH aqueous solution are used as raw materials. The molar ratio of sodium bicarbonate to chloroethanol in the reactor charge is 3.8, and the specific gravity of the mixture is 1.57. The reaction rate of this reaction as follows $r_{A} = k \cdot c_{A} \cdot c_{B}$The rate constant of 5.21/mol*h at reaction temperature. The conversion rate is 0.81. Please calculate the residence time and volume of the reactor.&lt;|eot_id|&gt;&lt;|start_header_id|&gt;assistant&lt;|end_header_id|&gt;
</t>
  </si>
  <si>
    <t>The relative molecular weight of NaHCO_{3} is 84 kg/kmol, CH_{2}ClCH_{2}OH is 80.5 kg/kmol, CH_{2}OHCH_{2}OH is 62 kg/kmol. Hourly production of ethylene glycol: 602/62=9.71kmol/h. Hourly required chloroethanol: 9.71*80.5/(0.87*0.31)=2898.14kg/h. Hourly required sodium bicarbonate: 9.71*84*1.0/(0.87*0.37)=2533.75kg/h. Raw material volumetric flow rate: Q_{0}=(2898.14+2533.75)/1.59=3416.28L/h. Initial concentration of chloroethanol: c_{A0}=9.71*1000/(0.87*3416.28)=3.27mol/L. Initial concentration of sodium bicarbonate: c_{B0}=9.71*1000*1.0/(0.87*3416.28)=3.27mol/L. The concentration of chloroethanol: c_{A}=c_{A0}*(1-x). The concentration of sodium bicarbonate: c_{B}=c_{B0}-c_{A0}*x. Reaction time obtained through integral calculation: t=\int_{0}^{x_{f} } \frac{c_{A0}dx_{A} }{r_{A}}=\int_{0}^{x_{f} } \frac{c_{A0}dx_{A} }{k*c_{A}*c_{B}}=\int_{0}^{x_{f} } \frac{dx_{A} }{k*(1-x_{A})*(c_{B0}-c_{A0}*x_{A})}=0.39 h. Theoretical volume is v=0.39*3416.28=1343.26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</si>
  <si>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602/62=9.68kmol/h. Hourly required chloroethanol: 9.68*80.5/(0.87*0.31)=2802.79kg/h. Hourly required sodium bicarbonate: 9.68*84*1.0/(0.87*0.37)=2786.6kg/h. Raw material volumetric flow rate: Q_{0}=(2802.79+2786.6)/1.59=3359.64L/h. Initial concentration of chloroethanol: c_{A0}=9.68*1000/(0.87*3359.64)=3.07mol/L. Initial concentration of sodium bicarbonate: c_{B0}=9.68*1000*1.0/(0.87*3359.64)=3.07mol/L. The concentration of chloroethanol: c_{A}=c_{A0}*(1-x). The concentration of sodium bicarbonate: c_{B}=c_{B0}-c_{A0}*x. Reaction time obtained through integral calculation: t=\int_{0}^{x_{f} } \frac{c_{A0}dx_{A} }{r_{A}}=\int_{0}^{x_{f} } \frac{c_{A0}dx_{A} }{k*c_{A}*c_{B}}=\int_{0}^{x_{f} } \frac{dx_{A} }{k*(1-x_{A})*(c_{B0}-c_{A0}*x_{A})}=0.33 h. Theoretical volume is v=0.33*3359.64=1125.36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</si>
  <si>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602kg/h. 0.31 (weight) aqueous NaHCO_{3} solution and 0.37 (weight) CH_{2}ClCH_{2}OH aqueous solution are used as raw materials. The molar ratio of sodium bicarbonate to chloroethanol in the reactor charge is 1.0, and the specific gravity of the mixture is 1.59. The reaction rate of this reaction as follows $r_{A} = k \cdot c_{A} \cdot c_{B}$The rate constant of 5.21/mol*h at reaction temperature. The conversion rate is 0.87. Please calculate the residence time and volume of the reactor.&lt;|eot_id|&gt;&lt;|start_header_id|&gt;assistant&lt;|end_header_id|&gt;
</t>
  </si>
  <si>
    <t>The relative molecular weight of NaHCO_{3} is 84 kg/kmol, CH_{2}ClCH_{2}OH is 80.5 kg/kmol, CH_{2}OHCH_{2}OH is 62 kg/kmol. Hourly production of ethylene glycol: 816/62=13.16kmol/h. Hourly required chloroethanol: 13.16*80.5/(0.95*0.4)=2788.12kg/h. Hourly required sodium bicarbonate: 13.16*84*2.9/(0.95*0.45)=7499.63kg/h. Raw material volumetric flow rate: Q_{0}=(2788.12+7499.63)/1.31=7853.24L/h. Initial concentration of chloroethanol: c_{A0}=13.16*1000/(0.95*7853.24)=1.76mol/L. Initial concentration of sodium bicarbonate: c_{B0}=13.16*1000*2.9/(0.95*7853.24)=5.12mol/L. The concentration of chloroethanol: c_{A}=c_{A0}*(1-x). The concentration of sodium bicarbonate: c_{B}=c_{B0}-c_{A0}*x. Reaction time obtained through integral calculation: t=\int_{0}^{x_{f} } \frac{c_{A0}dx_{A} }{r_{A}}=\int_{0}^{x_{f} } \frac{c_{A0}dx_{A} }{k*c_{A}*c_{B}}=\int_{0}^{x_{f} } \frac{dx_{A} }{k*(1-x_{A})*(c_{B0}-c_{A0}*x_{A})}=0.15 h. Theoretical volume is v=0.15*7853.24=1168.73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</si>
  <si>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816/62=13.16kmol/h. Hourly required chloroethanol: 13.16*80.5/(0.95*0.4)=2683.11kg/h. Hourly required sodium bicarbonate: 13.16*84*2.9/(0.95*0.45)=7578.51kg/h. Raw material volumetric flow rate: Q_{0}=(2683.11+7578.51)/1.31=7434.68L/h. Initial concentration of chloroethanol: c_{A0}=13.16*1000/(0.95*7434.68)=1.94mol/L. Initial concentration of sodium bicarbonate: c_{B0}=13.16*1000*2.9/(0.95*7434.68)=5.61mol/L. The concentration of chloroethanol: c_{A}=c_{A0}*(1-x). The concentration of sodium bicarbonate: c_{B}=c_{B0}-c_{A0}*x. Reaction time obtained through integral calculation: t=\int_{0}^{x_{f} } \frac{c_{A0}dx_{A} }{r_{A}}=\int_{0}^{x_{f} } \frac{c_{A0}dx_{A} }{k*c_{A}*c_{B}}=\int_{0}^{x_{f} } \frac{dx_{A} }{k*(1-x_{A})*(c_{B0}-c_{A0}*x_{A})}=0.16 h. Theoretical volume is v=0.16*7434.68=1195.11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</si>
  <si>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816kg/h. 0.4 (weight) aqueous NaHCO_{3} solution and 0.45 (weight) CH_{2}ClCH_{2}OH aqueous solution are used as raw materials. The molar ratio of sodium bicarbonate to chloroethanol in the reactor charge is 2.9, and the specific gravity of the mixture is 1.31. The reaction rate of this reaction as follows $r_{A} = k \cdot c_{A} \cdot c_{B}$The rate constant of 5.21/mol*h at reaction temperature. The conversion rate is 0.95. Please calculate the residence time and volume of the reactor.&lt;|eot_id|&gt;&lt;|start_header_id|&gt;assistant&lt;|end_header_id|&gt;
</t>
  </si>
  <si>
    <t>The relative molecular weight of NaHCO_{3} is 84 kg/kmol, CH_{2}ClCH_{2}OH is 80.5 kg/kmol, CH_{2}OHCH_{2}OH is 62 kg/kmol. Hourly production of ethylene glycol: 464/62=7.48kmol/h. Hourly required chloroethanol: 7.48*80.5/(0.72*0.05)=16734.77kg/h. Hourly required sodium bicarbonate: 7.48*84*3.3/(0.72*0.23)=12527.35kg/h. Raw material volumetric flow rate: Q_{0}=(16734.77+12527.35)/1.41=20753.27L/h. Initial concentration of chloroethanol: c_{A0}=7.48*1000/(0.72*20753.27)=0.5mol/L. Initial concentration of sodium bicarbonate: c_{B0}=7.48*1000*3.3/(0.72*20753.27)=1.65mol/L. The concentration of chloroethanol: c_{A}=c_{A0}*(1-x). The concentration of sodium bicarbonate: c_{B}=c_{B0}-c_{A0}*x. Reaction time obtained through integral calculation: t=\int_{0}^{x_{f} } \frac{c_{A0}dx_{A} }{r_{A}}=\int_{0}^{x_{f} } \frac{c_{A0}dx_{A} }{k*c_{A}*c_{B}}=\int_{0}^{x_{f} } \frac{dx_{A} }{k*(1-x_{A})*(c_{B0}-c_{A0}*x_{A})}=0.17 h. Theoretical volume is v=0.17*20753.27=3550.7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</si>
  <si>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464/62=7.48kmol/h. Hourly required chloroethanol: 7.48*80.5/(0.72*0.05)=16583.4kg/h. Hourly required sodium bicarbonate: 7.48*84*3.3/(0.72*0.23)=11917.64kg/h. Raw material volumetric flow rate: Q_{0}=(16583.4+11917.64)/1.41=23249.81L/h. Initial concentration of chloroethanol: c_{A0}=7.48*1000/(0.72*23249.81)=0.55mol/L. Initial concentration of sodium bicarbonate: c_{B0}=7.48*1000*3.3/(0.72*23249.81)=1.83mol/L. The concentration of chloroethanol: c_{A}=c_{A0}*(1-x). The concentration of sodium bicarbonate: c_{B}=c_{B0}-c_{A0}*x. Reaction time obtained through integral calculation: t=\int_{0}^{x_{f} } \frac{c_{A0}dx_{A} }{r_{A}}=\int_{0}^{x_{f} } \frac{c_{A0}dx_{A} }{k*c_{A}*c_{B}}=\int_{0}^{x_{f} } \frac{dx_{A} }{k*(1-x_{A})*(c_{B0}-c_{A0}*x_{A})}=0.12 h. Theoretical volume is v=0.12*23249.81=26.63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</si>
  <si>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464kg/h. 0.05 (weight) aqueous NaHCO_{3} solution and 0.23 (weight) CH_{2}ClCH_{2}OH aqueous solution are used as raw materials. The molar ratio of sodium bicarbonate to chloroethanol in the reactor charge is 3.3, and the specific gravity of the mixture is 1.41. The reaction rate of this reaction as follows $r_{A} = k \cdot c_{A} \cdot c_{B}$The rate constant of 5.21/mol*h at reaction temperature. The conversion rate is 0.72. Please calculate the residence time and volume of the reactor.&lt;|eot_id|&gt;&lt;|start_header_id|&gt;assistant&lt;|end_header_id|&gt;
</t>
  </si>
  <si>
    <t>The relative molecular weight of NaHCO_{3} is 84 kg/kmol, CH_{2}ClCH_{2}OH is 80.5 kg/kmol, CH_{2}OHCH_{2}OH is 62 kg/kmol. Hourly production of ethylene glycol: 867/62=13.98kmol/h. Hourly required chloroethanol: 13.98*80.5/(0.85*0.37)=3579.34kg/h. Hourly required sodium bicarbonate: 13.98*84*4.0/(0.85*0.42)=13161.29kg/h. Raw material volumetric flow rate: Q_{0}=(3579.34+13161.29)/1.48=11311.23L/h. Initial concentration of chloroethanol: c_{A0}=13.98*1000/(0.85*11311.23)=1.45mol/L. Initial concentration of sodium bicarbonate: c_{B0}=13.98*1000*4.0/(0.85*11311.23)=5.82mol/L. The concentration of chloroethanol: c_{A}=c_{A0}*(1-x). The concentration of sodium bicarbonate: c_{B}=c_{B0}-c_{A0}*x. Reaction time obtained through integral calculation: t=\int_{0}^{x_{f} } \frac{c_{A0}dx_{A} }{r_{A}}=\int_{0}^{x_{f} } \frac{c_{A0}dx_{A} }{k*c_{A}*c_{B}}=\int_{0}^{x_{f} } \frac{dx_{A} }{k*(1-x_{A})*(c_{B0}-c_{A0}*x_{A})}=0.07 h. Theoretical volume is v=0.07*11311.23=825.08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</si>
  <si>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867/62=13.98kmol/h. Hourly required chloroethanol: 13.98*80.5/(0.85*0.37)=3527.84kg/h. Hourly required sodium bicarbonate: 13.98*84*4.0/(0.85*0.42)=14383.72kg/h. Raw material volumetric flow rate: Q_{0}=(3527.84+14383.72)/1.48=12881.1L/h. Initial concentration of chloroethanol: c_{A0}=13.98*1000/(0.85*12881.1)=1.17mol/L. Initial concentration of sodium bicarbonate: c_{B0}=13.98*1000*4.0/(0.85*12881.1)=4.67mol/L. The concentration of chloroethanol: c_{A}=c_{A0}*(1-x). The concentration of sodium bicarbonate: c_{B}=c_{B0}-c_{A0}*x. Reaction time obtained through integral calculation: t=\int_{0}^{x_{f} } \frac{c_{A0}dx_{A} }{r_{A}}=\int_{0}^{x_{f} } \frac{c_{A0}dx_{A} }{k*c_{A}*c_{B}}=\int_{0}^{x_{f} } \frac{dx_{A} }{k*(1-x_{A})*(c_{B0}-c_{A0}*x_{A})}=0.08 h. Theoretical volume is v=0.08*12881.1=1048.1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</si>
  <si>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867kg/h. 0.37 (weight) aqueous NaHCO_{3} solution and 0.42 (weight) CH_{2}ClCH_{2}OH aqueous solution are used as raw materials. The molar ratio of sodium bicarbonate to chloroethanol in the reactor charge is 4.0, and the specific gravity of the mixture is 1.48. The reaction rate of this reaction as follows $r_{A} = k \cdot c_{A} \cdot c_{B}$The rate constant of 5.21/mol*h at reaction temperature. The conversion rate is 0.85. Please calculate the residence time and volume of the reactor.&lt;|eot_id|&gt;&lt;|start_header_id|&gt;assistant&lt;|end_header_id|&gt;
</t>
  </si>
  <si>
    <t>The relative molecular weight of NaHCO_{3} is 84 kg/kmol, CH_{2}ClCH_{2}OH is 80.5 kg/kmol, CH_{2}OHCH_{2}OH is 62 kg/kmol. Hourly production of ethylene glycol: 447/62=7.21kmol/h. Hourly required chloroethanol: 7.21*80.5/(0.86*0.1)=6748.59kg/h. Hourly required sodium bicarbonate: 7.21*84*1.1/(0.86*0.12)=6455.18kg/h. Raw material volumetric flow rate: Q_{0}=(6748.59+6455.18)/1.93=6841.33L/h. Initial concentration of chloroethanol: c_{A0}=7.21*1000/(0.86*6841.33)=1.23mol/L. Initial concentration of sodium bicarbonate: c_{B0}=7.21*1000*1.1/(0.86*6841.33)=1.35mol/L. The concentration of chloroethanol: c_{A}=c_{A0}*(1-x). The concentration of sodium bicarbonate: c_{B}=c_{B0}-c_{A0}*x. Reaction time obtained through integral calculation: t=\int_{0}^{x_{f} } \frac{c_{A0}dx_{A} }{r_{A}}=\int_{0}^{x_{f} } \frac{c_{A0}dx_{A} }{k*c_{A}*c_{B}}=\int_{0}^{x_{f} } \frac{dx_{A} }{k*(1-x_{A})*(c_{B0}-c_{A0}*x_{A})}=0.69 h. Theoretical volume is v=0.69*6841.33=4754.47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</si>
  <si>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447/62=7.21kmol/h. Hourly required chloroethanol: 7.21*80.5/(0.86*0.1)=6945.47kg/h. Hourly required sodium bicarbonate: 7.21*84*1.1/(0.86*0.12)=6648.34kg/h. Raw material volumetric flow rate: Q_{0}=(6945.47+6648.34)/1.93=5684.33L/h. Initial concentration of chloroethanol: c_{A0}=7.21*1000/(0.86*5684.33)=1.59mol/L. Initial concentration of sodium bicarbonate: c_{B0}=7.21*1000*1.1/(0.86*5684.33)=1.76mol/L. The concentration of chloroethanol: c_{A}=c_{A0}*(1-x). The concentration of sodium bicarbonate: c_{B}=c_{B0}-c_{A0}*x. Reaction time obtained through integral calculation: t=\int_{0}^{x_{f} } \frac{c_{A0}dx_{A} }{r_{A}}=\int_{0}^{x_{f} } \frac{c_{A0}dx_{A} }{k*c_{A}*c_{B}}=\int_{0}^{x_{f} } \frac{dx_{A} }{k*(1-x_{A})*(c_{B0}-c_{A0}*x_{A})}=0.34 h. Theoretical volume is v=0.34*5684.33=1952.45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</si>
  <si>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447kg/h. 0.1 (weight) aqueous NaHCO_{3} solution and 0.12 (weight) CH_{2}ClCH_{2}OH aqueous solution are used as raw materials. The molar ratio of sodium bicarbonate to chloroethanol in the reactor charge is 1.1, and the specific gravity of the mixture is 1.93. The reaction rate of this reaction as follows $r_{A} = k \cdot c_{A} \cdot c_{B}$The rate constant of 5.21/mol*h at reaction temperature. The conversion rate is 0.86. Please calculate the residence time and volume of the reactor.&lt;|eot_id|&gt;&lt;|start_header_id|&gt;assistant&lt;|end_header_id|&gt;
</t>
  </si>
  <si>
    <t>The relative molecular weight of NaHCO_{3} is 84 kg/kmol, CH_{2}ClCH_{2}OH is 80.5 kg/kmol, CH_{2}OHCH_{2}OH is 62 kg/kmol. Hourly production of ethylene glycol: 182/62=2.94kmol/h. Hourly required chloroethanol: 2.94*80.5/(0.7*0.23)=1467.74kg/h. Hourly required sodium bicarbonate: 2.94*84*1.4/(0.7*0.43)=1146.89kg/h. Raw material volumetric flow rate: Q_{0}=(1467.74+1146.89)/1.47=1778.66L/h. Initial concentration of chloroethanol: c_{A0}=2.94*1000/(0.7*1778.66)=2.36mol/L. Initial concentration of sodium bicarbonate: c_{B0}=2.94*1000*1.4/(0.7*1778.66)=3.3mol/L. The concentration of chloroethanol: c_{A}=c_{A0}*(1-x). The concentration of sodium bicarbonate: c_{B}=c_{B0}-c_{A0}*x. Reaction time obtained through integral calculation: t=\int_{0}^{x_{f} } \frac{c_{A0}dx_{A} }{r_{A}}=\int_{0}^{x_{f} } \frac{c_{A0}dx_{A} }{k*c_{A}*c_{B}}=\int_{0}^{x_{f} } \frac{dx_{A} }{k*(1-x_{A})*(c_{B0}-c_{A0}*x_{A})}=0.1 h. Theoretical volume is v=0.1*1778.66=184.92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</si>
  <si>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182/62=2.94kmol/h. Hourly required chloroethanol: 2.94*80.5/(0.7*0.23)=1548.97kg/h. Hourly required sodium bicarbonate: 2.94*84*1.4/(0.7*0.43)=1076.23kg/h. Raw material volumetric flow rate: Q_{0}=(1548.97+1076.23)/1.47=2098.85L/h. Initial concentration of chloroethanol: c_{A0}=2.94*1000/(0.7*2098.85)=1.96mol/L. Initial concentration of sodium bicarbonate: c_{B0}=2.94*1000*1.4/(0.7*2098.85)=2.76mol/L. The concentration of chloroethanol: c_{A}=c_{A0}*(1-x). The concentration of sodium bicarbonate: c_{B}=c_{B0}-c_{A0}*x. Reaction time obtained through integral calculation: t=\int_{0}^{x_{f} } \frac{c_{A0}dx_{A} }{r_{A}}=\int_{0}^{x_{f} } \frac{c_{A0}dx_{A} }{k*c_{A}*c_{B}}=\int_{0}^{x_{f} } \frac{dx_{A} }{k*(1-x_{A})*(c_{B0}-c_{A0}*x_{A})}=0.13 h. Theoretical volume is v=0.13*2098.85=271.29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</si>
  <si>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182kg/h. 0.23 (weight) aqueous NaHCO_{3} solution and 0.43 (weight) CH_{2}ClCH_{2}OH aqueous solution are used as raw materials. The molar ratio of sodium bicarbonate to chloroethanol in the reactor charge is 1.4, and the specific gravity of the mixture is 1.47. The reaction rate of this reaction as follows $r_{A} = k \cdot c_{A} \cdot c_{B}$The rate constant of 5.21/mol*h at reaction temperature. The conversion rate is 0.7. Please calculate the residence time and volume of the reactor.&lt;|eot_id|&gt;&lt;|start_header_id|&gt;assistant&lt;|end_header_id|&gt;
</t>
  </si>
  <si>
    <t>The relative molecular weight of NaHCO_{3} is 84 kg/kmol, CH_{2}ClCH_{2}OH is 80.5 kg/kmol, CH_{2}OHCH_{2}OH is 62 kg/kmol. Hourly production of ethylene glycol: 115/62=1.85kmol/h. Hourly required chloroethanol: 1.85*80.5/(0.84*0.49)=362.77kg/h. Hourly required sodium bicarbonate: 1.85*84*2.4/(0.84*0.5)=890.32kg/h. Raw material volumetric flow rate: Q_{0}=(362.77+890.32)/1.15=1089.64L/h. Initial concentration of chloroethanol: c_{A0}=1.85*1000/(0.84*1089.64)=2.03mol/L. Initial concentration of sodium bicarbonate: c_{B0}=1.85*1000*2.4/(0.84*1089.64)=4.86mol/L. The concentration of chloroethanol: c_{A}=c_{A0}*(1-x). The concentration of sodium bicarbonate: c_{B}=c_{B0}-c_{A0}*x. Reaction time obtained through integral calculation: t=\int_{0}^{x_{f} } \frac{c_{A0}dx_{A} }{r_{A}}=\int_{0}^{x_{f} } \frac{c_{A0}dx_{A} }{k*c_{A}*c_{B}}=\int_{0}^{x_{f} } \frac{dx_{A} }{k*(1-x_{A})*(c_{B0}-c_{A0}*x_{A})}=0.09 h. Theoretical volume is v=0.09*1089.64=103.34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</si>
  <si>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115/62=1.85kmol/h. Hourly required chloroethanol: 1.85*80.5/(0.84*0.49)=abe 4.07kg/h. Hourly required sodium bicarbonate: 1.85*84*2.4/(0.84*0.5)=859.13kg/h. Raw material volumetric flow rate: Q_{0}=(4.07+859.13)/1.15=906.42L/h. Initial concentration of chloroethanol: c_{A0}=1.85*1000/(0.84*906.42)=2.43mol/L. Initial concentration of sodium bicarbonate: c_{B0}=1.85*1000*2.4/(0.84*906.42)=5.81mol/L. The concentration of chloroethanol: c_{A}=c_{A0}*(1-x). The concentration of sodium bicarbonate: c_{B}=c_{B0}-c_{A0}*x. Reaction time obtained through integral calculation: t=\int_{0}^{x_{f} } \frac{c_{A0}dx_{A} }{r_{A}}=\int_{0}^{x_{f} } \frac{c_{A0}dx_{A} }{k*c_{A}*c_{B}}=\int_{0}^{x_{f} } \frac{dx_{A} }{k*(1-x_{A})*(c_{B0}-c_{A0}*x_{A})}=0.07 h. Theoretical volume is v=0.07*906.42=07.03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</si>
  <si>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115kg/h. 0.49 (weight) aqueous NaHCO_{3} solution and 0.5 (weight) CH_{2}ClCH_{2}OH aqueous solution are used as raw materials. The molar ratio of sodium bicarbonate to chloroethanol in the reactor charge is 2.4, and the specific gravity of the mixture is 1.15. The reaction rate of this reaction as follows $r_{A} = k \cdot c_{A} \cdot c_{B}$The rate constant of 5.21/mol*h at reaction temperature. The conversion rate is 0.84. Please calculate the residence time and volume of the reactor.&lt;|eot_id|&gt;&lt;|start_header_id|&gt;assistant&lt;|end_header_id|&gt;
</t>
  </si>
  <si>
    <t>The relative molecular weight of NaHCO_{3} is 84 kg/kmol, CH_{2}ClCH_{2}OH is 80.5 kg/kmol, CH_{2}OHCH_{2}OH is 62 kg/kmol. Hourly production of ethylene glycol: 782/62=12.61kmol/h. Hourly required chloroethanol: 12.61*80.5/(0.76*0.1)=13359.72kg/h. Hourly required sodium bicarbonate: 12.61*84*1.9/(0.76*0.47)=5635.55kg/h. Raw material volumetric flow rate: Q_{0}=(13359.72+5635.55)/1.91=9945.17L/h. Initial concentration of chloroethanol: c_{A0}=12.61*1000/(0.76*9945.17)=1.67mol/L. Initial concentration of sodium bicarbonate: c_{B0}=12.61*1000*1.9/(0.76*9945.17)=3.17mol/L. The concentration of chloroethanol: c_{A}=c_{A0}*(1-x). The concentration of sodium bicarbonate: c_{B}=c_{B0}-c_{A0}*x. Reaction time obtained through integral calculation: t=\int_{0}^{x_{f} } \frac{c_{A0}dx_{A} }{r_{A}}=\int_{0}^{x_{f} } \frac{c_{A0}dx_{A} }{k*c_{A}*c_{B}}=\int_{0}^{x_{f} } \frac{dx_{A} }{k*(1-x_{A})*(c_{B0}-c_{A0}*x_{A})}=0.12 h. Theoretical volume is v=0.12*9945.17=1164.6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</si>
  <si>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782/62=12.58kmol/h. Hourly required chloroethanol: 12.58*80.5/(0.76*0.1)=13092.73kg/h. Hourly required sodium bicarbonate: 12.58*84*1.9/(0.76*0.47)=6284.9kg/h. Raw material volumetric flow rate: Q_{0}=(13092.73+6284.9)/1.91=12371.75L/h. Initial concentration of chloroethanol: c_{A0}=12.58*1000/(0.76*12371.75)=1.32mol/L. Initial concentration of sodium bicarbonate: c_{B0}=12.58*1000*1.9/(0.76*12371.75)=2.49mol/L. The concentration of chloroethanol: c_{A}=c_{A0}*(1-x). The concentration of sodium bicarbonate: c_{B}=c_{B0}-c_{A0}*x. Reaction time obtained through integral calculation: t=\int_{0}^{x_{f} } \frac{c_{A0}dx_{A} }{r_{A}}=\int_{0}^{x_{f} } \frac{c_{A0}dx_{A} }{k*c_{A}*c_{B}}=\int_{0}^{x_{f} } \frac{dx_{A} }{k*(1-x_{A})*(c_{B0}-c_{A0}*x_{A})}=0.17 h. Theoretical volume is v=0.17*12371.75=2087.93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</si>
  <si>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782kg/h. 0.1 (weight) aqueous NaHCO_{3} solution and 0.47 (weight) CH_{2}ClCH_{2}OH aqueous solution are used as raw materials. The molar ratio of sodium bicarbonate to chloroethanol in the reactor charge is 1.9, and the specific gravity of the mixture is 1.91. The reaction rate of this reaction as follows $r_{A} = k \cdot c_{A} \cdot c_{B}$The rate constant of 5.21/mol*h at reaction temperature. The conversion rate is 0.76. Please calculate the residence time and volume of the reactor.&lt;|eot_id|&gt;&lt;|start_header_id|&gt;assistant&lt;|end_header_id|&gt;
</t>
  </si>
  <si>
    <t>The relative molecular weight of NaHCO_{3} is 84 kg/kmol, CH_{2}ClCH_{2}OH is 80.5 kg/kmol, CH_{2}OHCH_{2}OH is 62 kg/kmol. Hourly production of ethylene glycol: 480/62=7.74kmol/h. Hourly required chloroethanol: 7.74*80.5/(0.9*0.09)=7694.15kg/h. Hourly required sodium bicarbonate: 7.74*84*3.8/(0.9*0.26)=10560.79kg/h. Raw material volumetric flow rate: Q_{0}=(7694.15+10560.79)/1.55=11777.38L/h. Initial concentration of chloroethanol: c_{A0}=7.74*1000/(0.9*11777.38)=0.73mol/L. Initial concentration of sodium bicarbonate: c_{B0}=7.74*1000*3.8/(0.9*11777.38)=2.78mol/L. The concentration of chloroethanol: c_{A}=c_{A0}*(1-x). The concentration of sodium bicarbonate: c_{B}=c_{B0}-c_{A0}*x. Reaction time obtained through integral calculation: t=\int_{0}^{x_{f} } \frac{c_{A0}dx_{A} }{r_{A}}=\int_{0}^{x_{f} } \frac{c_{A0}dx_{A} }{k*c_{A}*c_{B}}=\int_{0}^{x_{f} } \frac{dx_{A} }{k*(1-x_{A})*(c_{B0}-c_{A0}*x_{A})}=0.19 h. Theoretical volume is v=0.19*11777.38=2246.37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</si>
  <si>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480/62=7.74kmol/h. Hourly required chloroethanol: 7.74*80.5/(0.9*0.09)=7873.97kg/h. Hourly required sodium bicarbonate: 7.74*84*3.8/(0.9*0.26)=9284.69kg/h. Raw material volumetric flow rate: Q_{0}=(7873.97+9284.69)/1.55=10032.29L/h. Initial concentration of chloroethanol: c_{A0}=7.74*1000/(0.9*10032.29)=0.88mol/L. Initial concentration of sodium bicarbonate: c_{B0}=7.74*1000*3.8/(0.9*10032.29)=3.35mol/L. The concentration of chloroethanol: c_{A}=c_{A0}*(1-x). The concentration of sodium bicarbonate: c_{B}=c_{B0}-c_{A0}*x. Reaction time obtained through integral calculation: t=\int_{0}^{x_{f} } \frac{c_{A0}dx_{A} }{r_{A}}=\int_{0}^{x_{f} } \frac{c_{A0}dx_{A} }{k*c_{A}*c_{B}}=\int_{0}^{x_{f} } \frac{dx_{A} }{k*(1-x_{A})*(c_{B0}-c_{A0}*x_{A})}=0.16 h. Theoretical volume is v=0.16*10032.29=1596.81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</si>
  <si>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480kg/h. 0.09 (weight) aqueous NaHCO_{3} solution and 0.26 (weight) CH_{2}ClCH_{2}OH aqueous solution are used as raw materials. The molar ratio of sodium bicarbonate to chloroethanol in the reactor charge is 3.8, and the specific gravity of the mixture is 1.55. The reaction rate of this reaction as follows $r_{A} = k \cdot c_{A} \cdot c_{B}$The rate constant of 5.21/mol*h at reaction temperature. The conversion rate is 0.9. Please calculate the residence time and volume of the reactor.&lt;|eot_id|&gt;&lt;|start_header_id|&gt;assistant&lt;|end_header_id|&gt;
</t>
  </si>
  <si>
    <t>The relative molecular weight of NaHCO_{3} is 84 kg/kmol, CH_{2}ClCH_{2}OH is 80.5 kg/kmol, CH_{2}OHCH_{2}OH is 62 kg/kmol. Hourly production of ethylene glycol: 604/62=9.74kmol/h. Hourly required chloroethanol: 9.74*80.5/(0.98*0.26)=3077.81kg/h. Hourly required sodium bicarbonate: 9.74*84*1.8/(0.98*0.36)=4175.12kg/h. Raw material volumetric flow rate: Q_{0}=(3077.81+4175.12)/1.21=5994.15L/h. Initial concentration of chloroethanol: c_{A0}=9.74*1000/(0.98*5994.15)=1.66mol/L. Initial concentration of sodium bicarbonate: c_{B0}=9.74*1000*1.8/(0.98*5994.15)=2.99mol/L. The concentration of chloroethanol: c_{A}=c_{A0}*(1-x). The concentration of sodium bicarbonate: c_{B}=c_{B0}-c_{A0}*x. Reaction time obtained through integral calculation: t=\int_{0}^{x_{f} } \frac{c_{A0}dx_{A} }{r_{A}}=\int_{0}^{x_{f} } \frac{c_{A0}dx_{A} }{k*c_{A}*c_{B}}=\int_{0}^{x_{f} } \frac{dx_{A} }{k*(1-x_{A})*(c_{B0}-c_{A0}*x_{A})}=0.45 h. Theoretical volume is v=0.45*5994.15=2710.62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</si>
  <si>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604/62=9.74kmol/h. Hourly required chloroethanol: 9.74*80.5/(0.98*0.26)=3153.04kg/h. Hourly required sodium bicarbonate: 9.74*84*1.8/(0.98*0.36)=3602.82kg/h. Raw material volumetric flow rate: Q_{0}=(3153.04+3602.82)/1.21=6060.82L/h. Initial concentration of chloroethanol: c_{A0}=9.74*1000/(0.98*6060.82)=1.59mol/L. Initial concentration of sodium bicarbonate: c_{B0}=9.74*1000*1.8/(0.98*6060.82)=2.83mol/L. The concentration of chloroethanol: c_{A}=c_{A0}*(1-x). The concentration of sodium bicarbonate: c_{B}=c_{B0}-c_{A0}*x. Reaction time obtained through integral calculation: t=\int_{0}^{x_{f} } \frac{c_{A0}dx_{A} }{r_{A}}=\int_{0}^{x_{f} } \frac{c_{A0}dx_{A} }{k*c_{A}*c_{B}}=\int_{0}^{x_{f} } \frac{dx_{A} }{k*(1-x_{A})*(c_{B0}-c_{A0}*x_{A})}=0.33 h. Theoretical volume is v=0.33*6060.82=2018.4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</si>
  <si>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604kg/h. 0.26 (weight) aqueous NaHCO_{3} solution and 0.36 (weight) CH_{2}ClCH_{2}OH aqueous solution are used as raw materials. The molar ratio of sodium bicarbonate to chloroethanol in the reactor charge is 1.8, and the specific gravity of the mixture is 1.21. The reaction rate of this reaction as follows $r_{A} = k \cdot c_{A} \cdot c_{B}$The rate constant of 5.21/mol*h at reaction temperature. The conversion rate is 0.98. Please calculate the residence time and volume of the reactor.&lt;|eot_id|&gt;&lt;|start_header_id|&gt;assistant&lt;|end_header_id|&gt;
</t>
  </si>
  <si>
    <t>The relative molecular weight of NaHCO_{3} is 84 kg/kmol, CH_{2}ClCH_{2}OH is 80.5 kg/kmol, CH_{2}OHCH_{2}OH is 62 kg/kmol. Hourly production of ethylene glycol: 441/62=7.11kmol/h. Hourly required chloroethanol: 7.11*80.5/(0.79*0.17)=4263.5kg/h. Hourly required sodium bicarbonate: 7.11*84*1.7/(0.79*0.22)=5844.2kg/h. Raw material volumetric flow rate: Q_{0}=(4263.5+5844.2)/1.32=7657.35L/h. Initial concentration of chloroethanol: c_{A0}=7.11*1000/(0.79*7657.35)=1.18mol/L. Initial concentration of sodium bicarbonate: c_{B0}=7.11*1000*1.7/(0.79*7657.35)=2.0mol/L. The concentration of chloroethanol: c_{A}=c_{A0}*(1-x). The concentration of sodium bicarbonate: c_{B}=c_{B0}-c_{A0}*x. Reaction time obtained through integral calculation: t=\frac{c_{A0}*x_{f}}{r_{A}}=\frac{c_{A0}*x_{f}}{k*c_{A}*c_{B}}=\frac{x_{f}}{k*(1-x_{A})*(c_{B0}-c_{A0}*x_{A})}=0.67 h. Theoretical volume is v=0.67*7657.35=5167.33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</si>
  <si>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441/62=7.11kmol/h. Hourly required chloroethanol: 7.11*80.5/(0.79*0.17)=4359.65kg/h. Hourly required sodium bicarbonate: 7.11*84*1.7/(0.79*0.22)=5281.54kg/h. Raw material volumetric flow rate: Q_{0}=(4359.65+5281.54)/1.32=6880.41L/h. Initial concentration of chloroethanol: c_{A0}=7.11*1000/(0.79*6880.41)=1.38mol/L. Initial concentration of sodium bicarbonate: c_{B0}=7.11*1000*1.7/(0.79*6880.41)=2.35mol/L. The concentration of chloroethanol: c_{A}=c_{A0}*(1-x). The concentration of sodium bicarbonate: c_{B}=c_{B0}-c_{A0}*x. Reaction time obtained through integral calculation: t=\frac{c_{A0}*x_{f}}{r_{A}}=\frac{c_{A0}*x_{f}}{k*c_{A}*c_{B}}=\frac{x_{f}}{k*(1-x_{A})*(c_{B0}-c_{A0}*x_{A})}=0.32 h. Theoretical volume is v=0.32*6880.41=2219.71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</si>
  <si>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441kg/h. 0.17 (weight) aqueous NaHCO_{3} solution and 0.22 (weight) CH_{2}ClCH_{2}OH aqueous solution are used as raw materials. The molar ratio of sodium bicarbonate to chloroethanol in the reactor charge is 1.7, and the specific gravity of the mixture is 1.32. The reaction rate of this reaction as follows $r_{A} = k \cdot c_{A} \cdot c_{B}$The rate constant of 5.21/mol*h at reaction temperature. The conversion rate is 0.79. Please calculate the residence time and volume of the reactor.&lt;|eot_id|&gt;&lt;|start_header_id|&gt;assistant&lt;|end_header_id|&gt;
</t>
  </si>
  <si>
    <t>The relative molecular weight of NaHCO_{3} is 84 kg/kmol, CH_{2}ClCH_{2}OH is 80.5 kg/kmol, CH_{2}OHCH_{2}OH is 62 kg/kmol. Hourly production of ethylene glycol: 666/62=10.74kmol/h. Hourly required chloroethanol: 10.74*80.5/(0.9*0.15)=6405.38kg/h. Hourly required sodium bicarbonate: 10.74*84*1.4/(0.9*0.24)=5848.39kg/h. Raw material volumetric flow rate: Q_{0}=(6405.38+5848.39)/1.46=8392.99L/h. Initial concentration of chloroethanol: c_{A0}=10.74*1000/(0.9*8392.99)=1.42mol/L. Initial concentration of sodium bicarbonate: c_{B0}=10.74*1000*1.4/(0.9*8392.99)=1.99mol/L. The concentration of chloroethanol: c_{A}=c_{A0}*(1-x). The concentration of sodium bicarbonate: c_{B}=c_{B0}-c_{A0}*x. Reaction time obtained through integral calculation: t=\int_{0}^{x_{f} } \frac{c_{A0}dx_{A} }{r_{A}}=\int_{0}^{x_{f} } \frac{c_{A0}dx_{A} }{k*c_{A}*c_{B}}=\int_{0}^{x_{f} } \frac{dx_{A} }{k*(1-x_{A})*(c_{B0}-c_{A0}*x_{A})}=0.43 h. Theoretical volume is v=0.43*8392.99=3605.06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</si>
  <si>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666/62=10.74kmol/h. Hourly required chloroethanol: 10.74*80.5/(0.9*0.15)=6615.89kg/h. Hourly required sodium bicarbonate: 10.74*84*1.4/(0.9*0.24)=3777.8kg/h. Raw material volumetric flow rate: Q_{0}=(6615.89+3777.8)/1.46=6789.59L/h. Initial concentration of chloroethanol: c_{A0}=10.74*1000/(0.9*6789.59)=1.77mol/L. Initial concentration of sodium bicarbonate: c_{B0}=10.74*1000*1.4/(0.9*6789.59)=2.49mol/L. The concentration of chloroethanol: c_{A}=c_{A0}*(1-x). The concentration of sodium bicarbonate: c_{B}=c_{B0}-c_{A0}*x. Reaction time obtained through integral calculation: t=\int_{0}^{x_{f} } \frac{c_{A0}dx_{A} }{r_{A}}=\int_{0}^{x_{f} } \frac{c_{A0}dx_{A} }{k*c_{A}*c_{B}}=\int_{0}^{x_{f} } \frac{dx_{A} }{k*(1-x_{A})*(c_{B0}-c_{A0}*x_{A})}=0.33 h. Theoretical volume is v=0.33*6789.59=22198.11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</si>
  <si>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666kg/h. 0.15 (weight) aqueous NaHCO_{3} solution and 0.24 (weight) CH_{2}ClCH_{2}OH aqueous solution are used as raw materials. The molar ratio of sodium bicarbonate to chloroethanol in the reactor charge is 1.4, and the specific gravity of the mixture is 1.46. The reaction rate of this reaction as follows $r_{A} = k \cdot c_{A} \cdot c_{B}$The rate constant of 5.21/mol*h at reaction temperature. The conversion rate is 0.9. Please calculate the residence time and volume of the reactor.&lt;|eot_id|&gt;&lt;|start_header_id|&gt;assistant&lt;|end_header_id|&gt;
</t>
  </si>
  <si>
    <t>The relative molecular weight of NaHCO_{3} is 84 kg/kmol, CH_{2}ClCH_{2}OH is 80.5 kg/kmol, CH_{2}OHCH_{2}OH is 62 kg/kmol. Hourly production of ethylene glycol: 751/62=12.11kmol/h. Hourly required chloroethanol: 12.11*80.5/(0.96*0.21)=4836.75kg/h. Hourly required sodium bicarbonate: 12.11*84*2.9/(0.96*0.24)=12806.87kg/h. Raw material volumetric flow rate: Q_{0}=(4836.75+12806.87)/1.59=11096.62L/h. Initial concentration of chloroethanol: c_{A0}=12.11*1000/(0.96*11096.62)=1.14mol/L. Initial concentration of sodium bicarbonate: c_{B0}=12.11*1000*2.9/(0.96*11096.62)=3.3mol/L. The concentration of chloroethanol: c_{A}=c_{A0}*(1-x). The concentration of sodium bicarbonate: c_{B}=c_{B0}-c_{A0}*x. Reaction time obtained through integral calculation: t=\int_{0}^{x_{f} } \frac{c_{A0}dx_{A} }{r_{A}}=\int_{0}^{x_{f} } \frac{c_{A0}dx_{A} }{k*c_{A}*c_{B}}=\int_{0}^{x_{f} } \frac{dx_{A} }{k*(1-x_{A})*(c_{B0}-c_{A0}*x_{A})}=0.25 h. Theoretical volume is v=0.25*11096.62=2777.01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</si>
  <si>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751/62=12.11kmol/h. Hourly required chloroethanol: 12.11*80.5/(0.96*0.21)=4499.37kg/h. Hourly required sodium bicarbonate: 12.11*84*2.9/(0.96*0.24)=13535.37kg/h. Raw material volumetric flow rate: Q_{0}=(4499.37+13535.37)/1.59=11935.4L/h. Initial concentration of chloroethanol: c_{A0}=12.11*1000/(0.96*11935.4)=1.06mol/L. Initial concentration of sodium bicarbonate: c_{B0}=12.11*1000*2.9/(0.96*11935.4)=3.05mol/L. The concentration of chloroethanol: c_{A}=c_{A0}*(1-x). The concentration of sodium bicarbonate: c_{B}=c_{B0}-c_{A0}*x. Reaction time obtained through integral calculation: t=\int_{0}^{x_{f} } \frac{c_{A0}dx_{A} }{r_{A}}=\int_{0}^{x_{f} } \frac{c_{A0}dx_{A} }{k*c_{A}*c_{B}}=\int_{0}^{x_{f} } \frac{dx_{A} }{k*(1-x_{A})*(c_{B0}-c_{A0}*x_{A})}=0.26 h. Theoretical volume is v=0.26*11935.4=3119.39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</si>
  <si>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751kg/h. 0.21 (weight) aqueous NaHCO_{3} solution and 0.24 (weight) CH_{2}ClCH_{2}OH aqueous solution are used as raw materials. The molar ratio of sodium bicarbonate to chloroethanol in the reactor charge is 2.9, and the specific gravity of the mixture is 1.59. The reaction rate of this reaction as follows $r_{A} = k \cdot c_{A} \cdot c_{B}$The rate constant of 5.21/mol*h at reaction temperature. The conversion rate is 0.96. Please calculate the residence time and volume of the reactor.&lt;|eot_id|&gt;&lt;|start_header_id|&gt;assistant&lt;|end_header_id|&gt;
</t>
  </si>
  <si>
    <t>The relative molecular weight of NaHCO_{3} is 84 kg/kmol, CH_{2}ClCH_{2}OH is 80.5 kg/kmol, CH_{2}OHCH_{2}OH is 62 kg/kmol. Hourly production of ethylene glycol: 587/62=9.47kmol/h. Hourly required chloroethanol: 9.47*80.5/(0.71*0.13)=8257.35kg/h. Hourly required sodium bicarbonate: 9.47*84*5.0/(0.71*0.27)=20743.1kg/h. Raw material volumetric flow rate: Q_{0}=(8257.35+20743.1)/1.78=16292.38L/h. Initial concentration of chloroethanol: c_{A0}=9.47*1000/(0.71*16292.38)=0.82mol/L. Initial concentration of sodium bicarbonate: c_{B0}=9.47*1000*5.0/(0.71*16292.38)=4.09mol/L. The concentration of chloroethanol: c_{A}=c_{A0}*(1-x). The concentration of sodium bicarbonate: c_{B}=c_{B0}-c_{A0}*x. Reaction time obtained through integral calculation: t=\int_{0}^{x_{f} } \frac{c_{A0}dx_{A} }{r_{A}}=\int_{0}^{x_{f} } \frac{c_{A0}dx_{A} }{k*c_{A}*c_{B}}=\int_{0}^{x_{f} } \frac{dx_{A} }{k*(1-x_{A})*(c_{B0}-c_{A0}*x_{A})}=0.06 h. Theoretical volume is v=0.06*16292.38=1036.1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</si>
  <si>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587/62=9.47kmol/h. Hourly required chloroethanol: 9.47*80.5/(0.71*0.13)=8970.57kg/h. Hourly required sodium bicarbonate: 9.47*84*5.0/(0.71*0.27)=16649.62kg/h. Raw material volumetric flow rate: Q_{0}=(8970.57+16649.62)/1.78=14421.36L/h. Initial concentration of chloroethanol: c_{A0}=9.47*1000/(0.71*14421.36)=0.91mol/L. Initial concentration of sodium bicarbonate: c_{B0}=9.47*1000*5.0/(0.71*14421.36)=4.58mol/L. The concentration of chloroethanol: c_{A}=c_{A0}*(1-x). The concentration of sodium bicarbonate: c_{B}=c_{B0}-c_{A0}*x. Reaction time obtained through integral calculation: t=\int_{0}^{x_{f} } \frac{c_{A0}dx_{A} }{r_{A}}=\int_{0}^{x_{f} } \frac{c_{A0}dx_{A} }{k*c_{A}*c_{B}}=\int_{0}^{x_{f} } \frac{dx_{A} }{k*(1-x_{A})*(c_{B0}-c_{A0}*x_{A})}=0.06 h. Theoretical volume is v=0.06*14421.36=834.97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</si>
  <si>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587kg/h. 0.13 (weight) aqueous NaHCO_{3} solution and 0.27 (weight) CH_{2}ClCH_{2}OH aqueous solution are used as raw materials. The molar ratio of sodium bicarbonate to chloroethanol in the reactor charge is 5.0, and the specific gravity of the mixture is 1.78. The reaction rate of this reaction as follows $r_{A} = k \cdot c_{A} \cdot c_{B}$The rate constant of 5.21/mol*h at reaction temperature. The conversion rate is 0.71. Please calculate the residence time and volume of the reactor.&lt;|eot_id|&gt;&lt;|start_header_id|&gt;assistant&lt;|end_header_id|&gt;
</t>
  </si>
  <si>
    <t>The relative molecular weight of NaHCO_{3} is 84 kg/kmol, CH_{2}ClCH_{2}OH is 80.5 kg/kmol, CH_{2}OHCH_{2}OH is 62 kg/kmol. Hourly production of ethylene glycol: 839/62=13.53kmol/h. Hourly required chloroethanol: 13.53*80.5/(0.98*0.08)=13894.73kg/h. Hourly required sodium bicarbonate: 13.53*84*3.1/(0.98*0.26)=13829.67kg/h. Raw material volumetric flow rate: Q_{0}=(13894.73+13829.67)/1.88=14747.02L/h. Initial concentration of chloroethanol: c_{A0}=13.53*1000/(0.98*14747.02)=0.94mol/L. Initial concentration of sodium bicarbonate: c_{B0}=13.53*1000*3.1/(0.98*14747.02)=2.9mol/L. The concentration of chloroethanol: c_{A}=c_{A0}*(1-x). The concentration of sodium bicarbonate: c_{B}=c_{B0}-c_{A0}*x. Reaction time obtained through integral calculation: t=\frac{c_{A0}*x_{f}}{r_{A}}=\frac{c_{A0}*x_{f}}{k*c_{A}*c_{B}}=\frac{x_{f}}{k*(1-x_{A})*(c_{B0}-c_{A0}*x_{A})}=4.74 h. Theoretical volume is v=4.74*14747.02=69869.38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</si>
  <si>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839/62=13.5kmol/h. Hourly required chloroethanol: 13.5*80.5/(0.98*0.08)=1587.68kg/h. Hourly required sodium bicarbonate: 13.5*84*3.1/(0.98*0.26)=12858.91kg/h. Raw material volumetric flow rate: Q_{0}=(1587.68+12858.91)/1.88=6956.72L/h. Initial concentration of chloroethanol: c_{A0}=13.5*1000/(0.98*6956.72)=1.97mol/L. Initial concentration of sodium bicarbonate: c_{B0}=13.5*1000*3.1/(0.98*6956.72)=6.1mol/L. The concentration of chloroethanol: c_{A}=c_{A0}*(1-x). The concentration of sodium bicarbonate: c_{B}=c_{B0}-c_{A0}*x. Reaction time obtained through integral calculation: t=\frac{c_{A0}*x_{f}}{r_{A}}=\frac{c_{A0}*x_{f}}{k*c_{A}*c_{B}}=\frac{x_{f}}{k*(1-x_{A})*(c_{B0}-c_{A0}*x_{A})}=6.42 h. Theoretical volume is v=6.42*6956.72=44736.49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</si>
  <si>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839kg/h. 0.08 (weight) aqueous NaHCO_{3} solution and 0.26 (weight) CH_{2}ClCH_{2}OH aqueous solution are used as raw materials. The molar ratio of sodium bicarbonate to chloroethanol in the reactor charge is 3.1, and the specific gravity of the mixture is 1.88. The reaction rate of this reaction as follows $r_{A} = k \cdot c_{A} \cdot c_{B}$The rate constant of 5.21/mol*h at reaction temperature. The conversion rate is 0.98. Please calculate the residence time and volume of the reactor.&lt;|eot_id|&gt;&lt;|start_header_id|&gt;assistant&lt;|end_header_id|&gt;
</t>
  </si>
  <si>
    <t>The relative molecular weight of NaHCO_{3} is 84 kg/kmol, CH_{2}ClCH_{2}OH is 80.5 kg/kmol, CH_{2}OHCH_{2}OH is 62 kg/kmol. Hourly production of ethylene glycol: 853/62=13.76kmol/h. Hourly required chloroethanol: 13.76*80.5/(0.96*0.21)=5493.67kg/h. Hourly required sodium bicarbonate: 13.76*84*4.8/(0.96*0.29)=19925.47kg/h. Raw material volumetric flow rate: Q_{0}=(5493.67+19925.47)/1.35=18829.0L/h. Initial concentration of chloroethanol: c_{A0}=13.76*1000/(0.96*18829.0)=0.76mol/L. Initial concentration of sodium bicarbonate: c_{B0}=13.76*1000*4.8/(0.96*18829.0)=3.65mol/L. The concentration of chloroethanol: c_{A}=c_{A0}*(1-x). The concentration of sodium bicarbonate: c_{B}=c_{B0}-c_{A0}*x. Reaction time obtained through integral calculation: t=\int_{0}^{x_{f} } \frac{c_{A0}dx_{A} }{r_{A}}=\int_{0}^{x_{f} } \frac{c_{A0}dx_{A} }{k*c_{A}*c_{B}}=\int_{0}^{x_{f} } \frac{dx_{A} }{k*(1-x_{A})*(c_{B0}-c_{A0}*x_{A})}=0.2 h. Theoretical volume is v=0.2*18829.0=3743.26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</si>
  <si>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853/62=13.79kmol/h. Hourly required chloroethanol: 13.79*80.5/(0.96*0.21)=5835.23kg/h. Hourly required sodium bicarbonate: 13.79*84*4.8/(0.96*0.29)=19736.54kg/h. Raw material volumetric flow rate: Q_{0}=(5835.23+19736.54)/1.35=19937.52L/h. Initial concentration of chloroethanol: c_{A0}=13.79*1000/(0.96*19937.52)=0.72mol/L. Initial concentration of sodium bicarbonate: c_{B0}=13.79*1000*4.8/(0.96*19937.52)=3.44mol/L. The concentration of chloroethanol: c_{A}=c_{A0}*(1-x). The concentration of sodium bicarbonate: c_{B}=c_{B0}-c_{A0}*x. Reaction time obtained through integral calculation: t=\int_{0}^{x_{f} } \frac{c_{A0}dx_{A} }{r_{A}}=\int_{0}^{x_{f} } \frac{c_{A0}dx_{A} }{k*c_{A}*c_{B}}=\int_{0}^{x_{f} } \frac{dx_{A} }{k*(1-x_{A})*(c_{B0}-c_{A0}*x_{A})}=0.24 h. Theoretical volume is v=0.24*19937.52=4769.76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</si>
  <si>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853kg/h. 0.21 (weight) aqueous NaHCO_{3} solution and 0.29 (weight) CH_{2}ClCH_{2}OH aqueous solution are used as raw materials. The molar ratio of sodium bicarbonate to chloroethanol in the reactor charge is 4.8, and the specific gravity of the mixture is 1.35. The reaction rate of this reaction as follows $r_{A} = k \cdot c_{A} \cdot c_{B}$The rate constant of 5.21/mol*h at reaction temperature. The conversion rate is 0.96. Please calculate the residence time and volume of the reactor.&lt;|eot_id|&gt;&lt;|start_header_id|&gt;assistant&lt;|end_header_id|&gt;
</t>
  </si>
  <si>
    <t>The relative molecular weight of NaHCO_{3} is 84 kg/kmol, CH_{2}ClCH_{2}OH is 80.5 kg/kmol, CH_{2}OHCH_{2}OH is 62 kg/kmol. Hourly production of ethylene glycol: 353/62=5.69kmol/h. Hourly required chloroethanol: 5.69*80.5/(0.95*0.13)=3711.18kg/h. Hourly required sodium bicarbonate: 5.69*84*3.9/(0.95*0.22)=8924.43kg/h. Raw material volumetric flow rate: Q_{0}=(3711.18+8924.43)/1.79=7059.0L/h. Initial concentration of chloroethanol: c_{A0}=5.69*1000/(0.95*7059.0)=0.85mol/L. Initial concentration of sodium bicarbonate: c_{B0}=5.69*1000*3.9/(0.95*7059.0)=3.31mol/L. The concentration of chloroethanol: c_{A}=c_{A0}*(1-x). The concentration of sodium bicarbonate: c_{B}=c_{B0}-c_{A0}*x. Reaction time obtained through integral calculation: t=\int_{0}^{x_{f} } \frac{c_{A0}dx_{A} }{r_{A}}=\int_{0}^{x_{f} } \frac{c_{A0}dx_{A} }{k*c_{A}*c_{B}}=\int_{0}^{x_{f} } \frac{dx_{A} }{k*(1-x_{A})*(c_{B0}-c_{A0}*x_{A})}=0.21 h. Theoretical volume is v=0.21*7059.0=1494.9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</si>
  <si>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353/62=5.69kmol/h. Hourly required chloroethanol: 5.69*80.5/(0.95*0.13)=3353.33kg/h. Hourly required sodium bicarbonate: 5.69*84*3.9/(0.95*0.22)=7578.99kg/h. Raw material volumetric flow rate: Q_{0}=(3353.33+7578.99)/1.79=7127.29L/h. Initial concentration of chloroethanol: c_{A0}=5.69*1000/(0.95*7127.29)=0.99mol/L. Initial concentration of sodium bicarbonate: c_{B0}=5.69*1000*3.9/(0.95*7127.29)=3.85mol/L. The concentration of chloroethanol: c_{A}=c_{A0}*(1-x). The concentration of sodium bicarbonate: c_{B}=c_{B0}-c_{A0}*x. Reaction time obtained through integral calculation: t=\int_{0}^{x_{f} } \frac{c_{A0}dx_{A} }{r_{A}}=\int_{0}^{x_{f} } \frac{c_{A0}dx_{A} }{k*c_{A}*c_{B}}=\int_{0}^{x_{f} } \frac{dx_{A} }{k*(1-x_{A})*(c_{B0}-c_{A0}*x_{A})}=0.19 h. Theoretical volume is v=0.19*7127.29=1096.72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</si>
  <si>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353kg/h. 0.13 (weight) aqueous NaHCO_{3} solution and 0.22 (weight) CH_{2}ClCH_{2}OH aqueous solution are used as raw materials. The molar ratio of sodium bicarbonate to chloroethanol in the reactor charge is 3.9, and the specific gravity of the mixture is 1.79. The reaction rate of this reaction as follows $r_{A} = k \cdot c_{A} \cdot c_{B}$The rate constant of 5.21/mol*h at reaction temperature. The conversion rate is 0.95. Please calculate the residence time and volume of the reactor.&lt;|eot_id|&gt;&lt;|start_header_id|&gt;assistant&lt;|end_header_id|&gt;
</t>
  </si>
  <si>
    <t>The relative molecular weight of NaHCO_{3} is 84 kg/kmol, CH_{2}ClCH_{2}OH is 80.5 kg/kmol, CH_{2}OHCH_{2}OH is 62 kg/kmol. Hourly production of ethylene glycol: 651/62=10.5kmol/h. Hourly required chloroethanol: 10.5*80.5/(0.94*0.21)=4281.91kg/h. Hourly required sodium bicarbonate: 10.5*84*3.1/(0.94*0.38)=7654.54kg/h. Raw material volumetric flow rate: Q_{0}=(4281.91+7654.54)/1.97=6059.11L/h. Initial concentration of chloroethanol: c_{A0}=10.5*1000/(0.94*6059.11)=1.84mol/L. Initial concentration of sodium bicarbonate: c_{B0}=10.5*1000*3.1/(0.94*6059.11)=5.71mol/L. The concentration of chloroethanol: c_{A}=c_{A0}*(1-x). The concentration of sodium bicarbonate: c_{B}=c_{B0}-c_{A0}*x. Reaction time obtained through integral calculation: t=\int_{0}^{x_{f} } \frac{c_{A0}dx_{A} }{r_{A}}=\int_{0}^{x_{f} } \frac{c_{A0}dx_{A} }{k*c_{A}*c_{B}}=\int_{0}^{x_{f} } \frac{dx_{A} }{k*(1-x_{A})*(c_{B0}-c_{A0}*x_{A})}=0.12 h. Theoretical volume is v=0.12*6059.11=736.62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</si>
  <si>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651/62=10.5kmol/h. Hourly required chloroethanol: 10.5*80.5/(0.94*0.21)=3871.15kg/h. Hourly required sodium bicarbonate: 10.5*84*3.1/(0.94*0.38)=82913.82kg/h. Raw material volumetric flow rate: Q_{0}=(3871.15+82913.82)/1.97=46187.34L/h. Initial concentration of chloroethanol: c_{A0}=10.5*1000/(0.94*46187.34)=0.24mol/L. Initial concentration of sodium bicarbonate: c_{B0}=10.5*1000*3.1/(0.94*46187.34)=0.24mol/L. The concentration of chloroethanol: c_{A}=c_{A0}*(1-x). The concentration of sodium bicarbonate: c_{B}=c_{B0}-c_{A0}*x. Reaction time obtained through integral calculation: t=\int_{0}^{x_{f} } \frac{c_{A0}dx_{A} }{r_{A}}=\int_{0}^{x_{f} } \frac{c_{A0}dx_{A} }{k*c_{A}*c_{B}}=\int_{0}^{x_{f} } \frac{dx_{A} }{k*(1-x_{A})*(c_{B0}-c_{A0}*x_{A})}=0.33 h. Theoretical volume is v=0.33*46187.34=15343.43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</si>
  <si>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651kg/h. 0.21 (weight) aqueous NaHCO_{3} solution and 0.38 (weight) CH_{2}ClCH_{2}OH aqueous solution are used as raw materials. The molar ratio of sodium bicarbonate to chloroethanol in the reactor charge is 3.1, and the specific gravity of the mixture is 1.97. The reaction rate of this reaction as follows $r_{A} = k \cdot c_{A} \cdot c_{B}$The rate constant of 5.21/mol*h at reaction temperature. The conversion rate is 0.94. Please calculate the residence time and volume of the reactor.&lt;|eot_id|&gt;&lt;|start_header_id|&gt;assistant&lt;|end_header_id|&gt;
</t>
  </si>
  <si>
    <t>The relative molecular weight of NaHCO_{3} is 84 kg/kmol, CH_{2}ClCH_{2}OH is 80.5 kg/kmol, CH_{2}OHCH_{2}OH is 62 kg/kmol. Hourly production of ethylene glycol: 242/62=3.9kmol/h. Hourly required chloroethanol: 3.9*80.5/(0.9*0.25)=1396.49kg/h. Hourly required sodium bicarbonate: 3.9*84*1.5/(0.9*0.33)=1655.91kg/h. Raw material volumetric flow rate: Q_{0}=(1396.49+1655.91)/1.63=1872.64L/h. Initial concentration of chloroethanol: c_{A0}=3.9*1000/(0.9*1872.64)=2.32mol/L. Initial concentration of sodium bicarbonate: c_{B0}=3.9*1000*1.5/(0.9*1872.64)=3.47mol/L. The concentration of chloroethanol: c_{A}=c_{A0}*(1-x). The concentration of sodium bicarbonate: c_{B}=c_{B0}-c_{A0}*x. Reaction time obtained through integral calculation: t=\int_{0}^{x_{f} } \frac{c_{A0}dx_{A} }{r_{A}}=\int_{0}^{x_{f} } \frac{c_{A0}dx_{A} }{k*c_{A}*c_{B}}=\int_{0}^{x_{f} } \frac{dx_{A} }{k*(1-x_{A})*(c_{B0}-c_{A0}*x_{A})}=0.23 h. Theoretical volume is v=0.23*1872.64=430.3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</si>
  <si>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242/62=3.9kmol/h. Hourly required chloroethanol: 3.9*80.5/(0.9*0.25)=1388.97kg/h. Hourly required sodium bicarbonate: 3.9*84*1.5/(0.9*0.33)=1417.1kg/h. Raw material volumetric flow rate: Q_{0}=(1388.97+1417.1)/1.63=1904.81L/h. Initial concentration of chloroethanol: c_{A0}=3.9*1000/(0.9*1904.81)=2.15mol/L. Initial concentration of sodium bicarbonate: c_{B0}=3.9*1000*1.5/(0.9*1904.81)=3.22mol/L. The concentration of chloroethanol: c_{A}=c_{A0}*(1-x). The concentration of sodium bicarbonate: c_{B}=c_{B0}-c_{A0}*x. Reaction time obtained through integral calculation: t=\int_{0}^{x_{f} } \frac{c_{A0}dx_{A} }{r_{A}}=\int_{0}^{x_{f} } \frac{c_{A0}dx_{A} }{k*c_{A}*c_{B}}=\int_{0}^{x_{f} } \frac{dx_{A} }{k*(1-x_{A})*(c_{B0}-c_{A0}*x_{A})}=0.2 h. Theoretical volume is v=0.2*1904.81=377.27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</si>
  <si>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242kg/h. 0.25 (weight) aqueous NaHCO_{3} solution and 0.33 (weight) CH_{2}ClCH_{2}OH aqueous solution are used as raw materials. The molar ratio of sodium bicarbonate to chloroethanol in the reactor charge is 1.5, and the specific gravity of the mixture is 1.63. The reaction rate of this reaction as follows $r_{A} = k \cdot c_{A} \cdot c_{B}$The rate constant of 5.21/mol*h at reaction temperature. The conversion rate is 0.9. Please calculate the residence time and volume of the reactor.&lt;|eot_id|&gt;&lt;|start_header_id|&gt;assistant&lt;|end_header_id|&gt;
</t>
  </si>
  <si>
    <t>The relative molecular weight of NaHCO_{3} is 84 kg/kmol, CH_{2}ClCH_{2}OH is 80.5 kg/kmol, CH_{2}OHCH_{2}OH is 62 kg/kmol. Hourly production of ethylene glycol: 491/62=7.92kmol/h. Hourly required chloroethanol: 7.92*80.5/(0.89*0.16)=4476.88kg/h. Hourly required sodium bicarbonate: 7.92*84*1.4/(0.89*0.41)=2552.25kg/h. Raw material volumetric flow rate: Q_{0}=(4476.88+2552.25)/1.87=3758.89L/h. Initial concentration of chloroethanol: c_{A0}=7.92*1000/(0.89*3758.89)=2.37mol/L. Initial concentration of sodium bicarbonate: c_{B0}=7.92*1000*1.4/(0.89*3758.89)=3.31mol/L. The concentration of chloroethanol: c_{A}=c_{A0}*(1-x). The concentration of sodium bicarbonate: c_{B}=c_{B0}-c_{A0}*x. Reaction time obtained through integral calculation: t=\int_{0}^{x_{f} } \frac{c_{A0}dx_{A} }{r_{A}}=\int_{0}^{x_{f} } \frac{c_{A0}dx_{A} }{k*c_{A}*c_{B}}=\int_{0}^{x_{f} } \frac{dx_{A} }{k*(1-x_{A})*(c_{B0}-c_{A0}*x_{A})}=0.24 h. Theoretical volume is v=0.24*3758.89=912.4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</si>
  <si>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491/62=7.92kmol/h. Hourly required chloroethanol: 7.92*80.5/(0.89*0.16)=4593.25kg/h. Hourly required sodium bicarbonate: 7.92*84*1.4/(0.89*0.41)=2662.5kg/h. Raw material volumetric flow rate: Q_{0}=(4593.25+2662.5)/1.87=4275.37L/h. Initial concentration of chloroethanol: c_{A0}=7.92*1000/(0.89*4275.37)=2.07mol/L. Initial concentration of sodium bicarbonate: c_{B0}=7.92*1000*1.4/(0.89*4275.37)=2.9mol/L. The concentration of chloroethanol: c_{A}=c_{A0}*(1-x). The concentration of sodium bicarbonate: c_{B}=c_{B0}-c_{A0}*x. Reaction time obtained through integral calculation: t=\int_{0}^{x_{f} } \frac{c_{A0}dx_{A} }{r_{A}}=\int_{0}^{x_{f} } \frac{c_{A0}dx_{A} }{k*c_{A}*c_{B}}=\int_{0}^{x_{f} } \frac{dx_{A} }{k*(1-x_{A})*(c_{B0}-c_{A0}*x_{A})}=0.26 h. Theoretical volume is v=0.26*4275.37=1125.21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</si>
  <si>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491kg/h. 0.16 (weight) aqueous NaHCO_{3} solution and 0.41 (weight) CH_{2}ClCH_{2}OH aqueous solution are used as raw materials. The molar ratio of sodium bicarbonate to chloroethanol in the reactor charge is 1.4, and the specific gravity of the mixture is 1.87. The reaction rate of this reaction as follows $r_{A} = k \cdot c_{A} \cdot c_{B}$The rate constant of 5.21/mol*h at reaction temperature. The conversion rate is 0.89. Please calculate the residence time and volume of the reactor.&lt;|eot_id|&gt;&lt;|start_header_id|&gt;assistant&lt;|end_header_id|&gt;
</t>
  </si>
  <si>
    <t>The relative molecular weight of NaHCO_{3} is 84 kg/kmol, CH_{2}ClCH_{2}OH is 80.5 kg/kmol, CH_{2}OHCH_{2}OH is 62 kg/kmol. Hourly production of ethylene glycol: 792/62=12.77kmol/h. Hourly required chloroethanol: 12.77*80.5/(0.92*0.31)=3605.62kg/h. Hourly required sodium bicarbonate: 12.77*84*2.3/(0.92*0.45)=5961.29kg/h. Raw material volumetric flow rate: Q_{0}=(3605.62+5961.29)/1.8=5314.95L/h. Initial concentration of chloroethanol: c_{A0}=12.77*1000/(0.92*5314.95)=2.61mol/L. Initial concentration of sodium bicarbonate: c_{B0}=12.77*1000*2.3/(0.92*5314.95)=6.01mol/L. The concentration of chloroethanol: c_{A}=c_{A0}*(1-x). The concentration of sodium bicarbonate: c_{B}=c_{B0}-c_{A0}*x. Reaction time obtained through integral calculation: t=\int_{0}^{x_{f} } \frac{c_{A0}dx_{A} }{r_{A}}=\int_{0}^{x_{f} } \frac{c_{A0}dx_{A} }{k*c_{A}*c_{B}}=\int_{0}^{x_{f} } \frac{dx_{A} }{k*(1-x_{A})*(c_{B0}-c_{A0}*x_{A})}=0.11 h. Theoretical volume is v=0.11*5314.95=605.24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</si>
  <si>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792/62=12.77kmol/h. Hourly required chloroethanol: 12.77*80.5/(0.92*0.31)=3811.91kg/h. Hourly required sodium bicarbonate: 12.77*84*2.3/(0.92*0.45)=6284.19kg/h. Raw material volumetric flow rate: Q_{0}=(3811.91+6284.19)/1.8=5667.31L/h. Initial concentration of chloroethanol: c_{A0}=12.77*1000/(0.92*5667.31)=24.52mol/L. Initial concentration of sodium bicarbonate: c_{B0}=12.77*1000*2.3/(0.92*5667.31)=56.55mol/L. The concentration of chloroethanol: c_{A}=c_{A0}*(1-x). The concentration of sodium bicarbonate: c_{B}=c_{B0}-c_{A0}*x. Reaction time obtained through integral calculation: t=\int_{0}^{x_{f} } \frac{c_{A0}dx_{A} }{r_{A}}=\int_{0}^{x_{f} } \frac{c_{A0}dx_{A} }{k*c_{A}*c_{B}}=\int_{0}^{x_{f} } \frac{dx_{A} }{k*(1-x_{A})*(c_{B0}-c_{A0}*x_{A})}=0.01 h. Theoretical volume is v=0.01*5667.31=58.7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</si>
  <si>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792kg/h. 0.31 (weight) aqueous NaHCO_{3} solution and 0.45 (weight) CH_{2}ClCH_{2}OH aqueous solution are used as raw materials. The molar ratio of sodium bicarbonate to chloroethanol in the reactor charge is 2.3, and the specific gravity of the mixture is 1.8. The reaction rate of this reaction as follows $r_{A} = k \cdot c_{A} \cdot c_{B}$The rate constant of 5.21/mol*h at reaction temperature. The conversion rate is 0.92. Please calculate the residence time and volume of the reactor.&lt;|eot_id|&gt;&lt;|start_header_id|&gt;assistant&lt;|end_header_id|&gt;
</t>
  </si>
  <si>
    <t>The relative molecular weight of NaHCO_{3} is 84 kg/kmol, CH_{2}ClCH_{2}OH is 80.5 kg/kmol, CH_{2}OHCH_{2}OH is 62 kg/kmol. Hourly production of ethylene glycol: 411/62=6.63kmol/h. Hourly required chloroethanol: 6.63*80.5/(0.74*0.15)=4807.54kg/h. Hourly required sodium bicarbonate: 6.63*84*2.6/(0.74*0.45)=4347.69kg/h. Raw material volumetric flow rate: Q_{0}=(4807.54+4347.69)/1.32=6935.78L/h. Initial concentration of chloroethanol: c_{A0}=6.63*1000/(0.74*6935.78)=1.29mol/L. Initial concentration of sodium bicarbonate: c_{B0}=6.63*1000*2.6/(0.74*6935.78)=3.36mol/L. The concentration of chloroethanol: c_{A}=c_{A0}*(1-x). The concentration of sodium bicarbonate: c_{B}=c_{B0}-c_{A0}*x. Reaction time obtained through integral calculation: t=\int_{0}^{x_{f} } \frac{c_{A0}dx_{A} }{r_{A}}=\int_{0}^{x_{f} } \frac{c_{A0}dx_{A} }{k*c_{A}*c_{B}}=\int_{0}^{x_{f} } \frac{dx_{A} }{k*(1-x_{A})*(c_{B0}-c_{A0}*x_{A})}=0.09 h. Theoretical volume is v=0.09*6935.78=652.01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</si>
  <si>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411/62=6.64kmol/h. Hourly required chloroethanol: 6.64*80.5/(0.74*0.15)=4753.81kg/h. Hourly required sodium bicarbonate: 6.64*84*2.6/(0.74*0.45)=5635.32kg/h. Raw material volumetric flow rate: Q_{0}=(4753.81+5635.32)/1.32=8110.03L/h. Initial concentration of chloroethanol: c_{A0}=6.64*1000/(0.74*8110.03)=1.27mol/L. Initial concentration of sodium bicarbonate: c_{B0}=6.64*1000*2.6/(0.74*8110.03)=3.3mol/L. The concentration of chloroethanol: c_{A}=c_{A0}*(1-x). The concentration of sodium bicarbonate: c_{B}=c_{B0}-c_{A0}*x. Reaction time obtained through integral calculation: t=\int_{0}^{x_{f} } \frac{c_{A0}dx_{A} }{r_{A}}=\int_{0}^{x_{f} } \frac{c_{A0}dx_{A} }{k*c_{A}*c_{B}}=\int_{0}^{x_{f} } \frac{dx_{A} }{k*(1-x_{A})*(c_{B0}-c_{A0}*x_{A})}=0.09 h. Theoretical volume is v=0.09*8110.03=649.66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</si>
  <si>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411kg/h. 0.15 (weight) aqueous NaHCO_{3} solution and 0.45 (weight) CH_{2}ClCH_{2}OH aqueous solution are used as raw materials. The molar ratio of sodium bicarbonate to chloroethanol in the reactor charge is 2.6, and the specific gravity of the mixture is 1.32. The reaction rate of this reaction as follows $r_{A} = k \cdot c_{A} \cdot c_{B}$The rate constant of 5.21/mol*h at reaction temperature. The conversion rate is 0.74. Please calculate the residence time and volume of the reactor.&lt;|eot_id|&gt;&lt;|start_header_id|&gt;assistant&lt;|end_header_id|&gt;
</t>
  </si>
  <si>
    <t>The relative molecular weight of NaHCO_{3} is 84 kg/kmol, CH_{2}ClCH_{2}OH is 80.5 kg/kmol, CH_{2}OHCH_{2}OH is 62 kg/kmol. Hourly production of ethylene glycol: 776/62=12.52kmol/h. Hourly required chloroethanol: 12.52*80.5/(0.92*0.23)=4761.57kg/h. Hourly required sodium bicarbonate: 12.52*84*4.9/(0.92*0.33)=16968.51kg/h. Raw material volumetric flow rate: Q_{0}=(4761.57+16968.51)/1.33=16338.4L/h. Initial concentration of chloroethanol: c_{A0}=12.52*1000/(0.92*16338.4)=0.83mol/L. Initial concentration of sodium bicarbonate: c_{B0}=12.52*1000*4.9/(0.92*16338.4)=4.08mol/L. The concentration of chloroethanol: c_{A}=c_{A0}*(1-x). The concentration of sodium bicarbonate: c_{B}=c_{B0}-c_{A0}*x. Reaction time obtained through integral calculation: t=\int_{0}^{x_{f} } \frac{c_{A0}dx_{A} }{r_{A}}=\int_{0}^{x_{f} } \frac{c_{A0}dx_{A} }{k*c_{A}*c_{B}}=\int_{0}^{x_{f} } \frac{dx_{A} }{k*(1-x_{A})*(c_{B0}-c_{A0}*x_{A})}=0.14 h. Theoretical volume is v=0.14*16338.4=2238.24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</si>
  <si>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776/62=12.52kmol/h. Hourly required chloroethanol: 12.52*80.5/(0.92*0.23)=4738.56kg/h. Hourly required sodium bicarbonate: 12.52*84*4.9/(0.92*0.33)=15917.85kg/h. Raw material volumetric flow rate: Q_{0}=(4738.56+15917.85)/1.33=17332.65L/h. Initial concentration of chloroethanol: c_{A0}=12.52*1000/(0.92*17332.65)=0.87mol/L. Initial concentration of sodium bicarbonate: c_{B0}=12.52*1000*4.9/(0.92*17332.65)=4.28mol/L. The concentration of chloroethanol: c_{A}=c_{A0}*(1-x). The concentration of sodium bicarbonate: c_{B}=c_{B0}-c_{A0}*x. Reaction time obtained through integral calculation: t=\int_{0}^{x_{f} } \frac{c_{A0}dx_{A} }{r_{A}}=\int_{0}^{x_{f} } \frac{c_{A0}dx_{A} }{k*c_{A}*c_{B}}=\int_{0}^{x_{f} } \frac{dx_{A} }{k*(1-x_{A})*(c_{B0}-c_{A0}*x_{A})}=0.14 h. Theoretical volume is v=0.14*17332.65=2466.32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</si>
  <si>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776kg/h. 0.23 (weight) aqueous NaHCO_{3} solution and 0.33 (weight) CH_{2}ClCH_{2}OH aqueous solution are used as raw materials. The molar ratio of sodium bicarbonate to chloroethanol in the reactor charge is 4.9, and the specific gravity of the mixture is 1.33. The reaction rate of this reaction as follows $r_{A} = k \cdot c_{A} \cdot c_{B}$The rate constant of 5.21/mol*h at reaction temperature. The conversion rate is 0.92. Please calculate the residence time and volume of the reactor.&lt;|eot_id|&gt;&lt;|start_header_id|&gt;assistant&lt;|end_header_id|&gt;
</t>
  </si>
  <si>
    <t>The relative molecular weight of NaHCO_{3} is 84 kg/kmol, CH_{2}ClCH_{2}OH is 80.5 kg/kmol, CH_{2}OHCH_{2}OH is 62 kg/kmol. Hourly production of ethylene glycol: 384/62=6.19kmol/h. Hourly required chloroethanol: 6.19*80.5/(0.84*0.44)=1348.97kg/h. Hourly required sodium bicarbonate: 6.19*84*4.6/(0.84*0.47)=6061.77kg/h. Raw material volumetric flow rate: Q_{0}=(1348.97+6061.77)/1.37=5409.3L/h. Initial concentration of chloroethanol: c_{A0}=6.19*1000/(0.84*5409.3)=1.36mol/L. Initial concentration of sodium bicarbonate: c_{B0}=6.19*1000*4.6/(0.84*5409.3)=6.27mol/L. The concentration of chloroethanol: c_{A}=c_{A0}*(1-x). The concentration of sodium bicarbonate: c_{B}=c_{B0}-c_{A0}*x. Reaction time obtained through integral calculation: t=\frac{c_{A0}*x_{f}}{r_{A}}=\frac{c_{A0}*x_{f}}{k*c_{A}*c_{B}}=\frac{x_{f}}{k*(1-x_{A})*(c_{B0}-c_{A0}*x_{A})}=0.2 h. Theoretical volume is v=0.2*5409.3=1063.55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</si>
  <si>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384/62=6.19kmol/h. Hourly required chloroethanol: 6.19*80.5/(0.84*0.44)=1423.62kg/h. Hourly required sodium bicarbonate: 6.19*84*4.6/(0.84*0.47)=6894.59kg/h. Raw material volumetric flow rate: Q_{0}=(1423.62+6894.59)/1.37=6454.37L/h. Initial concentration of chloroethanol: c_{A0}=6.19*1000/(0.84*6454.37)=1.17mol/L. Initial concentration of sodium bicarbonate: c_{B0}=6.19*1000*4.6/(0.84*6454.37)=5.39mol/L. The concentration of chloroethanol: c_{A}=c_{A0}*(1-x). The concentration of sodium bicarbonate: c_{B}=c_{B0}-c_{A0}*x. Reaction time obtained through integral calculation: t=\frac{c_{A0}*x_{f}}{r_{A}}=\frac{c_{A0}*x_{f}}{k*c_{A}*c_{B}}=\frac{x_{f}}{k*(1-x_{A})*(c_{B0}-c_{A0}*x_{A})}=0.14 h. Theoretical volume is v=0.14*6454.37=887.91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</si>
  <si>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384kg/h. 0.44 (weight) aqueous NaHCO_{3} solution and 0.47 (weight) CH_{2}ClCH_{2}OH aqueous solution are used as raw materials. The molar ratio of sodium bicarbonate to chloroethanol in the reactor charge is 4.6, and the specific gravity of the mixture is 1.37. The reaction rate of this reaction as follows $r_{A} = k \cdot c_{A} \cdot c_{B}$The rate constant of 5.21/mol*h at reaction temperature. The conversion rate is 0.84. Please calculate the residence time and volume of the reactor.&lt;|eot_id|&gt;&lt;|start_header_id|&gt;assistant&lt;|end_header_id|&gt;
</t>
  </si>
  <si>
    <t>The relative molecular weight of NaHCO_{3} is 84 kg/kmol, CH_{2}ClCH_{2}OH is 80.5 kg/kmol, CH_{2}OHCH_{2}OH is 62 kg/kmol. Hourly production of ethylene glycol: 332/62=5.35kmol/h. Hourly required chloroethanol: 5.35*80.5/(0.73*0.09)=6561.1kg/h. Hourly required sodium bicarbonate: 5.35*84*2.7/(0.73*0.24)=6931.95kg/h. Raw material volumetric flow rate: Q_{0}=(6561.1+6931.95)/1.96=6884.21L/h. Initial concentration of chloroethanol: c_{A0}=5.35*1000/(0.73*6884.21)=1.07mol/L. Initial concentration of sodium bicarbonate: c_{B0}=5.35*1000*2.7/(0.73*6884.21)=2.88mol/L. The concentration of chloroethanol: c_{A}=c_{A0}*(1-x). The concentration of sodium bicarbonate: c_{B}=c_{B0}-c_{A0}*x. Reaction time obtained through integral calculation: t=\frac{c_{A0}*x_{f}}{r_{A}}=\frac{c_{A0}*x_{f}}{k*c_{A}*c_{B}}=\frac{x_{f}}{k*(1-x_{A})*(c_{B0}-c_{A0}*x_{A})}=0.25 h. Theoretical volume is v=0.25*6884.21=1701.92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</si>
  <si>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332/62=5.35kmol/h. Hourly required chloroethanol: 5.35*80.5/(0.73*0.09)=654.27kg/h. Hourly required sodium bicarbonate: 5.35*84*2.7/(0.73*0.24)=5753.37kg/h. Raw material volumetric flow rate: Q_{0}=(654.27+5753.37)/1.96=3033.23L/h. Initial concentration of chloroethanol: c_{A0}=5.35*1000/(0.73*3033.23)=2.8mol/L. Initial concentration of sodium bicarbonate: c_{B0}=5.35*1000*2.7/(0.73*3033.23)=7.56mol/L. The concentration of chloroethanol: c_{A}=c_{A0}*(1-x). The concentration of sodium bicarbonate: c_{B}=c_{B0}-c_{A0}*x. Reaction time obtained through integral calculation: t=\frac{c_{A0}*x_{f}}{r_{A}}=\frac{c_{A0}*x_{f}}{k*c_{A}*c_{B}}=\frac{x_{f}}{k*(1-x_{A})*(c_{B0}-c_{A0}*x_{A})}=0.27 h. Theoretical volume is v=0.27*3033.23=822.18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</si>
  <si>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332kg/h. 0.09 (weight) aqueous NaHCO_{3} solution and 0.24 (weight) CH_{2}ClCH_{2}OH aqueous solution are used as raw materials. The molar ratio of sodium bicarbonate to chloroethanol in the reactor charge is 2.7, and the specific gravity of the mixture is 1.96. The reaction rate of this reaction as follows $r_{A} = k \cdot c_{A} \cdot c_{B}$The rate constant of 5.21/mol*h at reaction temperature. The conversion rate is 0.73. Please calculate the residence time and volume of the reactor.&lt;|eot_id|&gt;&lt;|start_header_id|&gt;assistant&lt;|end_header_id|&gt;
</t>
  </si>
  <si>
    <t>The relative molecular weight of NaHCO_{3} is 84 kg/kmol, CH_{2}ClCH_{2}OH is 80.5 kg/kmol, CH_{2}OHCH_{2}OH is 62 kg/kmol. Hourly production of ethylene glycol: 848/62=13.68kmol/h. Hourly required chloroethanol: 13.68*80.5/(0.87*0.22)=5752.52kg/h. Hourly required sodium bicarbonate: 13.68*84*4.4/(0.87*0.4)=14526.36kg/h. Raw material volumetric flow rate: Q_{0}=(5752.52+14526.36)/1.45=13985.44L/h. Initial concentration of chloroethanol: c_{A0}=13.68*1000/(0.87*13985.44)=1.12mol/L. Initial concentration of sodium bicarbonate: c_{B0}=13.68*1000*4.4/(0.87*13985.44)=4.95mol/L. The concentration of chloroethanol: c_{A}=c_{A0}*(1-x). The concentration of sodium bicarbonate: c_{B}=c_{B0}-c_{A0}*x. Reaction time obtained through integral calculation: t=\int_{0}^{x_{f} } \frac{c_{A0}dx_{A} }{r_{A}}=\int_{0}^{x_{f} } \frac{c_{A0}dx_{A} }{k*c_{A}*c_{B}}=\int_{0}^{x_{f} } \frac{dx_{A} }{k*(1-x_{A})*(c_{B0}-c_{A0}*x_{A})}=0.09 h. Theoretical volume is v=0.09*13985.44=1278.21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</si>
  <si>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848/62=13.71kmol/h. Hourly required chloroethanol: 13.71*80.5/(0.87*0.22)=5835.23kg/h. Hourly required sodium bicarbonate: 13.71*84*4.4/(0.87*0.4)=15362.77kg/h. Raw material volumetric flow rate: Q_{0}=(5835.23+15362.77)/1.45=13079.08L/h. Initial concentration of chloroethanol: c_{A0}=13.71*1000/(0.87*13079.08)=1.17mol/L. Initial concentration of sodium bicarbonate: c_{B0}=13.71*1000*4.4/(0.87*13079.08)=5.15mol/L. The concentration of chloroethanol: c_{A}=c_{A0}*(1-x). The concentration of sodium bicarbonate: c_{B}=c_{B0}-c_{A0}*x. Reaction time obtained through integral calculation: t=\int_{0}^{x_{f} } \frac{c_{A0}dx_{A} }{r_{A}}=\int_{0}^{x_{f} } \frac{c_{A0}dx_{A} }{k*c_{A}*c_{B}}=\int_{0}^{x_{f} } \frac{dx_{A} }{k*(1-x_{A})*(c_{B0}-c_{A0}*x_{A})}=0.09 h. Theoretical volume is v=0.09*13079.08=1164.04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</si>
  <si>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848kg/h. 0.22 (weight) aqueous NaHCO_{3} solution and 0.4 (weight) CH_{2}ClCH_{2}OH aqueous solution are used as raw materials. The molar ratio of sodium bicarbonate to chloroethanol in the reactor charge is 4.4, and the specific gravity of the mixture is 1.45. The reaction rate of this reaction as follows $r_{A} = k \cdot c_{A} \cdot c_{B}$The rate constant of 5.21/mol*h at reaction temperature. The conversion rate is 0.87. Please calculate the residence time and volume of the reactor.&lt;|eot_id|&gt;&lt;|start_header_id|&gt;assistant&lt;|end_header_id|&gt;
</t>
  </si>
  <si>
    <t>The relative molecular weight of NaHCO_{3} is 84 kg/kmol, CH_{2}ClCH_{2}OH is 80.5 kg/kmol, CH_{2}OHCH_{2}OH is 62 kg/kmol. Hourly production of ethylene glycol: 597/62=9.63kmol/h. Hourly required chloroethanol: 9.63*80.5/(0.84*0.09)=10253.14kg/h. Hourly required sodium bicarbonate: 9.63*84*3.0/(0.84*0.16)=18054.44kg/h. Raw material volumetric flow rate: Q_{0}=(10253.14+18054.44)/1.35=20968.57L/h. Initial concentration of chloroethanol: c_{A0}=9.63*1000/(0.84*20968.57)=0.55mol/L. Initial concentration of sodium bicarbonate: c_{B0}=9.63*1000*3.0/(0.84*20968.57)=1.64mol/L. The concentration of chloroethanol: c_{A}=c_{A0}*(1-x). The concentration of sodium bicarbonate: c_{B}=c_{B0}-c_{A0}*x. Reaction time obtained through integral calculation: t=\int_{0}^{x_{f} } \frac{c_{A0}dx_{A} }{r_{A}}=\int_{0}^{x_{f} } \frac{c_{A0}dx_{A} }{k*c_{A}*c_{B}}=\int_{0}^{x_{f} } \frac{dx_{A} }{k*(1-x_{A})*(c_{B0}-c_{A0}*x_{A})}=0.26 h. Theoretical volume is v=0.26*20968.57=5536.52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</si>
  <si>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597/62=9.61kmol/h. Hourly required chloroethanol: 9.61*80.5/(0.84*0.09)=10563.49kg/h. Hourly required sodium bicarbonate: 9.61*84*3.0/(0.84*0.16)=24222.38kg/h. Raw material volumetric flow rate: Q_{0}=(10563.49+24222.38)/1.35=24255.26L/h. Initial concentration of chloroethanol: c_{A0}=9.61*1000/(0.84*24255.26)=0.59mol/L. Initial concentration of sodium bicarbonate: c_{B0}=9.61*1000*3.0/(0.84*24255.26)=1.77mol/L. The concentration of chloroethanol: c_{A}=c_{A0}*(1-x). The concentration of sodium bicarbonate: c_{B}=c_{B0}-c_{A0}*x. Reaction time obtained through integral calculation: t=\int_{0}^{x_{f} } \frac{c_{A0}dx_{A} }{r_{A}}=\int_{0}^{x_{f} } \frac{c_{A0}dx_{A} }{k*c_{A}*c_{B}}=\int_{0}^{x_{f} } \frac{dx_{A} }{k*(1-x_{A})*(c_{B0}-c_{A0}*x_{A})}=0.27 h. Theoretical volume is v=0.27*24255.26=6526.07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</si>
  <si>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597kg/h. 0.09 (weight) aqueous NaHCO_{3} solution and 0.16 (weight) CH_{2}ClCH_{2}OH aqueous solution are used as raw materials. The molar ratio of sodium bicarbonate to chloroethanol in the reactor charge is 3.0, and the specific gravity of the mixture is 1.35. The reaction rate of this reaction as follows $r_{A} = k \cdot c_{A} \cdot c_{B}$The rate constant of 5.21/mol*h at reaction temperature. The conversion rate is 0.84. Please calculate the residence time and volume of the reactor.&lt;|eot_id|&gt;&lt;|start_header_id|&gt;assistant&lt;|end_header_id|&gt;
</t>
  </si>
  <si>
    <t>The relative molecular weight of NaHCO_{3} is 84 kg/kmol, CH_{2}ClCH_{2}OH is 80.5 kg/kmol, CH_{2}OHCH_{2}OH is 62 kg/kmol. Hourly production of ethylene glycol: 300/62=4.84kmol/h. Hourly required chloroethanol: 4.84*80.5/(0.8*0.25)=1947.58kg/h. Hourly required sodium bicarbonate: 4.84*84*2.1/(0.8*0.47)=2270.08kg/h. Raw material volumetric flow rate: Q_{0}=(1947.58+2270.08)/1.63=2587.52L/h. Initial concentration of chloroethanol: c_{A0}=4.84*1000/(0.8*2587.52)=2.34mol/L. Initial concentration of sodium bicarbonate: c_{B0}=4.84*1000*2.1/(0.8*2587.52)=4.91mol/L. The concentration of chloroethanol: c_{A}=c_{A0}*(1-x). The concentration of sodium bicarbonate: c_{B}=c_{B0}-c_{A0}*x. Reaction time obtained through integral calculation: t=\int_{0}^{x_{f} } \frac{c_{A0}dx_{A} }{r_{A}}=\int_{0}^{x_{f} } \frac{c_{A0}dx_{A} }{k*c_{A}*c_{B}}=\int_{0}^{x_{f} } \frac{dx_{A} }{k*(1-x_{A})*(c_{B0}-c_{A0}*x_{A})}=0.08 h. Theoretical volume is v=0.08*2587.52=218.23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</si>
  <si>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300/62=4.84kmol/h. Hourly required chloroethanol: 4.84*80.5/(0.8*0.25)=2040.62kg/h. Hourly required sodium bicarbonate: 4.84*84*2.1/(0.8*0.47)=2451.87kg/h. Raw material volumetric flow rate: Q_{0}=(2040.62+2451.87)/1.63=3102.75L/h. Initial concentration of chloroethanol: c_{A0}=4.84*1000/(0.8*3102.75)=1.83mol/L. Initial concentration of sodium bicarbonate: c_{B0}=4.84*1000*2.1/(0.8*3102.75)=3.84mol/L. The concentration of chloroethanol: c_{A}=c_{A0}*(1-x). The concentration of sodium bicarbonate: c_{B}=c_{B0}-c_{A0}*x. Reaction time obtained through integral calculation: t=\int_{0}^{x_{f} } \frac{c_{A0}dx_{A} }{r_{A}}=\int_{0}^{x_{f} } \frac{c_{A0}dx_{A} }{k*c_{A}*c_{B}}=\int_{0}^{x_{f} } \frac{dx_{A} }{k*(1-x_{A})*(c_{B0}-c_{A0}*x_{A})}=0.12 h. Theoretical volume is v=0.12*3102.75=377.31 l.After comprehensively considering various factors in the reaction process, the operating temperatures remain moderate with no presence of highly corrosive substances. Given the cost considerations, we recommend using carbon steel as the reactor material.</t>
  </si>
  <si>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300kg/h. 0.25 (weight) aqueous NaHCO_{3} solution and 0.47 (weight) CH_{2}ClCH_{2}OH aqueous solution are used as raw materials. The molar ratio of sodium bicarbonate to chloroethanol in the reactor charge is 2.1, and the specific gravity of the mixture is 1.63. The reaction rate of this reaction as follows $r_{A} = k \cdot c_{A} \cdot c_{B}$The rate constant of 5.21/mol*h at reaction temperature. The conversion rate is 0.8. Please calculate the residence time and volume of the reactor.&lt;|eot_id|&gt;&lt;|start_header_id|&gt;assistant&lt;|end_header_id|&gt;
</t>
  </si>
  <si>
    <t xml:space="preserve">&lt;bos&gt;&lt;start_of_turn&gt;user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930 kg/h. The mixture density is 1.07 kg/L. Assuming pure feed streams, the required conversion of acetic acid (A) is 0.55. Please calculate the reactor residence time and volume.&lt;end_of_turn&gt;
&lt;start_of_turn&gt;model
</t>
  </si>
  <si>
    <t xml:space="preserve">&lt;bos&gt;&lt;start_of_turn&gt;user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431 kg/h. The mixture density is 0.85 kg/L. Assuming pure feed streams, the required conversion of acetic acid (A) is 0.42. Please calculate the reactor residence time and volume.&lt;end_of_turn&gt;
&lt;start_of_turn&gt;model
</t>
  </si>
  <si>
    <t xml:space="preserve">&lt;bos&gt;&lt;start_of_turn&gt;user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886 kg/h. The mixture density is 0.95 kg/L. Assuming pure feed streams, the required conversion of acetic acid (A) is 0.59. Please calculate the reactor residence time and volume.&lt;end_of_turn&gt;
&lt;start_of_turn&gt;model
</t>
  </si>
  <si>
    <t xml:space="preserve">&lt;bos&gt;&lt;start_of_turn&gt;user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755 kg/h. The mixture density is 1.01 kg/L. Assuming pure feed streams, the required conversion of acetic acid (A) is 0.63. Please calculate the reactor residence time and volume.&lt;end_of_turn&gt;
&lt;start_of_turn&gt;model
</t>
  </si>
  <si>
    <t xml:space="preserve">&lt;bos&gt;&lt;start_of_turn&gt;user
Please calculate the residence time and reactor volume based on the following conditions, and provide recommendations for material selection.
In a PFR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184 kg/h. The mixture density is 1.0 kg/L. Assuming pure feed streams, the required conversion of acetic acid (A) is 0.62. Please calculate the reactor residence time and volume.&lt;end_of_turn&gt;
&lt;start_of_turn&gt;model
</t>
  </si>
  <si>
    <t xml:space="preserve">&lt;bos&gt;&lt;start_of_turn&gt;user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315 kg/h. The mixture density is 0.86 kg/L. Assuming pure feed streams, the required conversion of acetic acid (A) is 0.56. Please calculate the reactor residence time and volume.&lt;end_of_turn&gt;
&lt;start_of_turn&gt;model
</t>
  </si>
  <si>
    <t xml:space="preserve">&lt;bos&gt;&lt;start_of_turn&gt;user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344 kg/h. The mixture density is 1.05 kg/L. Assuming pure feed streams, the required conversion of acetic acid (A) is 0.53. Please calculate the reactor residence time and volume.&lt;end_of_turn&gt;
&lt;start_of_turn&gt;model
</t>
  </si>
  <si>
    <t xml:space="preserve">&lt;bos&gt;&lt;start_of_turn&gt;user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264 kg/h. The mixture density is 0.95 kg/L. Assuming pure feed streams, the required conversion of acetic acid (A) is 0.61. Please calculate the reactor residence time and volume.&lt;end_of_turn&gt;
&lt;start_of_turn&gt;model
</t>
  </si>
  <si>
    <t xml:space="preserve">&lt;bos&gt;&lt;start_of_turn&gt;user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206 kg/h. The mixture density is 0.93 kg/L. Assuming pure feed streams, the required conversion of acetic acid (A) is 0.42. Please calculate the reactor residence time and volume.&lt;end_of_turn&gt;
&lt;start_of_turn&gt;model
</t>
  </si>
  <si>
    <t xml:space="preserve">&lt;bos&gt;&lt;start_of_turn&gt;user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782 kg/h. The mixture density is 0.84 kg/L. Assuming pure feed streams, the required conversion of acetic acid (A) is 0.62. Please calculate the reactor residence time and volume.&lt;end_of_turn&gt;
&lt;start_of_turn&gt;model
</t>
  </si>
  <si>
    <t xml:space="preserve">&lt;bos&gt;&lt;start_of_turn&gt;user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345 kg/h. The mixture density is 0.81 kg/L. Assuming pure feed streams, the required conversion of acetic acid (A) is 0.64. Please calculate the reactor residence time and volume.&lt;end_of_turn&gt;
&lt;start_of_turn&gt;model
</t>
  </si>
  <si>
    <t xml:space="preserve">&lt;bos&gt;&lt;start_of_turn&gt;user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782 kg/h. The mixture density is 1.18 kg/L. Assuming pure feed streams, the required conversion of acetic acid (A) is 0.62. Please calculate the reactor residence time and volume.&lt;end_of_turn&gt;
&lt;start_of_turn&gt;model
</t>
  </si>
  <si>
    <t xml:space="preserve">&lt;bos&gt;&lt;start_of_turn&gt;user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172 kg/h. The mixture density is 0.93 kg/L. Assuming pure feed streams, the required conversion of acetic acid (A) is 0.47. Please calculate the reactor residence time and volume.&lt;end_of_turn&gt;
&lt;start_of_turn&gt;model
</t>
  </si>
  <si>
    <t xml:space="preserve">&lt;bos&gt;&lt;start_of_turn&gt;user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633 kg/h. The mixture density is 0.91 kg/L. Assuming pure feed streams, the required conversion of acetic acid (A) is 0.61. Please calculate the reactor residence time and volume.&lt;end_of_turn&gt;
&lt;start_of_turn&gt;model
</t>
  </si>
  <si>
    <t xml:space="preserve">&lt;bos&gt;&lt;start_of_turn&gt;user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529 kg/h. The mixture density is 1.04 kg/L. Assuming pure feed streams, the required conversion of acetic acid (A) is 0.44. Please calculate the reactor residence time and volume.&lt;end_of_turn&gt;
&lt;start_of_turn&gt;model
</t>
  </si>
  <si>
    <t xml:space="preserve">&lt;bos&gt;&lt;start_of_turn&gt;user
Please calculate the residence time and reactor volume based on the following conditions, and provide recommendations for material selection.
In a PFR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169 kg/h. The mixture density is 1.01 kg/L. Assuming pure feed streams, the required conversion of acetic acid (A) is 0.52. Please calculate the reactor residence time and volume.&lt;end_of_turn&gt;
&lt;start_of_turn&gt;model
</t>
  </si>
  <si>
    <t xml:space="preserve">&lt;bos&gt;&lt;start_of_turn&gt;user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128 kg/h. The mixture density is 1.15 kg/L. Assuming pure feed streams, the required conversion of acetic acid (A) is 0.65. Please calculate the reactor residence time and volume.&lt;end_of_turn&gt;
&lt;start_of_turn&gt;model
</t>
  </si>
  <si>
    <t xml:space="preserve">&lt;bos&gt;&lt;start_of_turn&gt;user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637 kg/h. The mixture density is 0.8 kg/L. Assuming pure feed streams, the required conversion of acetic acid (A) is 0.61. Please calculate the reactor residence time and volume.&lt;end_of_turn&gt;
&lt;start_of_turn&gt;model
</t>
  </si>
  <si>
    <t xml:space="preserve">&lt;bos&gt;&lt;start_of_turn&gt;user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494 kg/h. The mixture density is 0.85 kg/L. Assuming pure feed streams, the required conversion of acetic acid (A) is 0.45. Please calculate the reactor residence time and volume.&lt;end_of_turn&gt;
&lt;start_of_turn&gt;model
</t>
  </si>
  <si>
    <t xml:space="preserve">&lt;bos&gt;&lt;start_of_turn&gt;user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695 kg/h. The mixture density is 1.05 kg/L. Assuming pure feed streams, the required conversion of acetic acid (A) is 0.6. Please calculate the reactor residence time and volume.&lt;end_of_turn&gt;
&lt;start_of_turn&gt;model
</t>
  </si>
  <si>
    <t xml:space="preserve">&lt;bos&gt;&lt;start_of_turn&gt;user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108 kg/h. The mixture density is 1.14 kg/L. Assuming pure feed streams, the required conversion of acetic acid (A) is 0.48. Please calculate the reactor residence time and volume.&lt;end_of_turn&gt;
&lt;start_of_turn&gt;model
</t>
  </si>
  <si>
    <t xml:space="preserve">&lt;bos&gt;&lt;start_of_turn&gt;user
Please calculate the residence time and reactor volume based on the following conditions, and provide recommendations for material selection.
In a PFR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675 kg/h. The mixture density is 0.99 kg/L. Assuming pure feed streams, the required conversion of acetic acid (A) is 0.46. Please calculate the reactor residence time and volume.&lt;end_of_turn&gt;
&lt;start_of_turn&gt;model
</t>
  </si>
  <si>
    <t xml:space="preserve">&lt;bos&gt;&lt;start_of_turn&gt;user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675 kg/h. The mixture density is 1.12 kg/L. Assuming pure feed streams, the required conversion of acetic acid (A) is 0.56. Please calculate the reactor residence time and volume.&lt;end_of_turn&gt;
&lt;start_of_turn&gt;model
</t>
  </si>
  <si>
    <t xml:space="preserve">&lt;bos&gt;&lt;start_of_turn&gt;user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921 kg/h. The mixture density is 1.08 kg/L. Assuming pure feed streams, the required conversion of acetic acid (A) is 0.63. Please calculate the reactor residence time and volume.&lt;end_of_turn&gt;
&lt;start_of_turn&gt;model
</t>
  </si>
  <si>
    <t xml:space="preserve">&lt;bos&gt;&lt;start_of_turn&gt;user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839 kg/h. The mixture density is 0.89 kg/L. Assuming pure feed streams, the required conversion of acetic acid (A) is 0.52. Please calculate the reactor residence time and volume.&lt;end_of_turn&gt;
&lt;start_of_turn&gt;model
</t>
  </si>
  <si>
    <t xml:space="preserve">&lt;bos&gt;&lt;start_of_turn&gt;user
Please calculate the residence time and reactor volume based on the following conditions, and provide recommendations for material selection.
In a PFR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723 kg/h. The mixture density is 0.79 kg/L. Assuming pure feed streams, the required conversion of acetic acid (A) is 0.6. Please calculate the reactor residence time and volume.&lt;end_of_turn&gt;
&lt;start_of_turn&gt;model
</t>
  </si>
  <si>
    <t xml:space="preserve">&lt;bos&gt;&lt;start_of_turn&gt;user
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343 kg/h. The mixture density is 0.93 kg/L. Assuming pure feed streams, the required conversion of acetic acid (A) is 0.48. Please calculate the reactor residence time and volume.&lt;end_of_turn&gt;
&lt;start_of_turn&gt;model
</t>
  </si>
  <si>
    <t xml:space="preserve">&lt;bos&gt;&lt;start_of_turn&gt;user
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123 kg/h. The mixture density is 1.05 kg/L. Assuming pure feed streams, the required conversion of acetic acid (A) is 0.57. Please calculate the reactor residence time and volume.&lt;end_of_turn&gt;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</si>
  <si>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1.19. The reaction rate of this reaction as follows r_{A}=k*c_{A}*c_{B}The rate constant of 5.63/mol*h at reaction temperature. The conversion rate is 0.79.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</si>
  <si>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1.83. The reaction rate of this reaction as follows r_{A}=k*c_{A}*c_{B}The rate constant of 5.63/mol*h at reaction temperature. The conversion rate is 0.94.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</si>
  <si>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1.63. The reaction rate of this reaction as follows r_{A}=k*c_{A}*c_{B}The rate constant of 5.63/mol*h at reaction temperature. The conversion rate is 0.72.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</si>
  <si>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1.9. The reaction rate of this reaction as follows r_{A}=k*c_{A}*c_{B}The rate constant of 5.63/mol*h at reaction temperature. The conversion rate is 0.9.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</si>
  <si>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1.7. The reaction rate of this reaction as follows r_{A}=k*c_{A}*c_{B}The rate constant of 5.63/mol*h at reaction temperature. The conversion rate is 0.79.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</si>
  <si>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1.01. The reaction rate of this reaction as follows r_{A}=k*c_{A}*c_{B}The rate constant of 5.63/mol*h at reaction temperature. The conversion rate is 0.76.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</si>
  <si>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1.64. The reaction rate of this reaction as follows r_{A}=k*c_{A}*c_{B}The rate constant of 5.63/mol*h at reaction temperature. The conversion rate is 0.78.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</si>
  <si>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1.29. The reaction rate of this reaction as follows r_{A}=k*c_{A}*c_{B}The rate constant of 5.63/mol*h at reaction temperature. The conversion rate is 0.84.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</si>
  <si>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1.75. The reaction rate of this reaction as follows r_{A}=k*c_{A}*c_{B}The rate constant of 5.63/mol*h at reaction temperature. The conversion rate is 0.79.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</si>
  <si>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1.49. The reaction rate of this reaction as follows r_{A}=k*c_{A}*c_{B}The rate constant of 5.63/mol*h at reaction temperature. The conversion rate is 0.86.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</si>
  <si>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1.82. The reaction rate of this reaction as follows r_{A}=k*c_{A}*c_{B}The rate constant of 5.63/mol*h at reaction temperature. The conversion rate is 0.74.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</si>
  <si>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1.87. The reaction rate of this reaction as follows r_{A}=k*c_{A}*c_{B}The rate constant of 5.63/mol*h at reaction temperature. The conversion rate is 0.87.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</si>
  <si>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1.47. The reaction rate of this reaction as follows r_{A}=k*c_{A}*c_{B}The rate constant of 5.63/mol*h at reaction temperature. The conversion rate is 0.88.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</si>
  <si>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1.33. The reaction rate of this reaction as follows r_{A}=k*c_{A}*c_{B}The rate constant of 5.63/mol*h at reaction temperature. The conversion rate is 0.86.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</si>
  <si>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1.3. The reaction rate of this reaction as follows r_{A}=k*c_{A}*c_{B}The rate constant of 5.63/mol*h at reaction temperature. The conversion rate is 0.81.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</si>
  <si>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1.45. The reaction rate of this reaction as follows r_{A}=k*c_{A}*c_{B}The rate constant of 5.63/mol*h at reaction temperature. The conversion rate is 0.82.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</si>
  <si>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1.55. The reaction rate of this reaction as follows r_{A}=k*c_{A}*c_{B}The rate constant of 5.63/mol*h at reaction temperature. The conversion rate is 0.8.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</si>
  <si>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1.16. The reaction rate of this reaction as follows r_{A}=k*c_{A}*c_{B}The rate constant of 5.63/mol*h at reaction temperature. The conversion rate is 0.76.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</si>
  <si>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1.61. The reaction rate of this reaction as follows r_{A}=k*c_{A}*c_{B}The rate constant of 5.63/mol*h at reaction temperature. The conversion rate is 0.97.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</si>
  <si>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1.23. The reaction rate of this reaction as follows r_{A}=k*c_{A}*c_{B}The rate constant of 5.63/mol*h at reaction temperature. The conversion rate is 0.87.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</si>
  <si>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1.9. The reaction rate of this reaction as follows r_{A}=k*c_{A}*c_{B}The rate constant of 5.63/mol*h at reaction temperature. The conversion rate is 0.83.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</si>
  <si>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1.37. The reaction rate of this reaction as follows r_{A}=k*c_{A}*c_{B}The rate constant of 5.63/mol*h at reaction temperature. The conversion rate is 0.97.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</si>
  <si>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1.47. The reaction rate of this reaction as follows r_{A}=k*c_{A}*c_{B}The rate constant of 5.63/mol*h at reaction temperature. The conversion rate is 0.75.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</si>
  <si>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1.16. The reaction rate of this reaction as follows r_{A}=k*c_{A}*c_{B}The rate constant of 5.63/mol*h at reaction temperature. The conversion rate is 0.98.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</si>
  <si>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1.51. The reaction rate of this reaction as follows r_{A}=k*c_{A}*c_{B}The rate constant of 5.63/mol*h at reaction temperature. The conversion rate is 0.87.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</si>
  <si>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1.14. The reaction rate of this reaction as follows r_{A}=k*c_{A}*c_{B}The rate constant of 5.63/mol*h at reaction temperature. The conversion rate is 0.9.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</si>
  <si>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1.77. The reaction rate of this reaction as follows r_{A}=k*c_{A}*c_{B}The rate constant of 5.63/mol*h at reaction temperature. The conversion rate is 0.87.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</si>
  <si>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1.55. The reaction rate of this reaction as follows r_{A}=k*c_{A}*c_{B}The rate constant of 5.63/mol*h at reaction temperature. The conversion rate is 0.87.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</si>
  <si>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1.27. The reaction rate of this reaction as follows r_{A}=k*c_{A}*c_{B}The rate constant of 5.63/mol*h at reaction temperature. The conversion rate is 0.74.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</si>
  <si>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1.63. The reaction rate of this reaction as follows r_{A}=k*c_{A}*c_{B}The rate constant of 5.63/mol*h at reaction temperature. The conversion rate is 0.8.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</si>
  <si>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130kg/h. 0.12 (weight) aqueous NaHCO_{3} solution and 0.34 (weight) CH_{2}ClCH_{2}OH aqueous solution are used as raw materials. The molar ratio of sodium bicarbonate to chloroethanol in the reactor charge is 3.6, and the specific gravity of the mixture is 1.04. The reaction rate of this reaction as follows $r_{A} = k \cdot c_{A} \cdot c_{B}$The rate constant of 5.21/mol*h at reaction temperature. The conversion rate is 0.76.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</si>
  <si>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453kg/h. 0.18 (weight) aqueous NaHCO_{3} solution and 0.23 (weight) CH_{2}ClCH_{2}OH aqueous solution are used as raw materials. The molar ratio of sodium bicarbonate to chloroethanol in the reactor charge is 3.8, and the specific gravity of the mixture is 1.57. The reaction rate of this reaction as follows $r_{A} = k \cdot c_{A} \cdot c_{B}$The rate constant of 5.21/mol*h at reaction temperature. The conversion rate is 0.81.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</si>
  <si>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602kg/h. 0.31 (weight) aqueous NaHCO_{3} solution and 0.37 (weight) CH_{2}ClCH_{2}OH aqueous solution are used as raw materials. The molar ratio of sodium bicarbonate to chloroethanol in the reactor charge is 1.0, and the specific gravity of the mixture is 1.59. The reaction rate of this reaction as follows $r_{A} = k \cdot c_{A} \cdot c_{B}$The rate constant of 5.21/mol*h at reaction temperature. The conversion rate is 0.87.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</si>
  <si>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816kg/h. 0.4 (weight) aqueous NaHCO_{3} solution and 0.45 (weight) CH_{2}ClCH_{2}OH aqueous solution are used as raw materials. The molar ratio of sodium bicarbonate to chloroethanol in the reactor charge is 2.9, and the specific gravity of the mixture is 1.31. The reaction rate of this reaction as follows $r_{A} = k \cdot c_{A} \cdot c_{B}$The rate constant of 5.21/mol*h at reaction temperature. The conversion rate is 0.95.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</si>
  <si>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464kg/h. 0.05 (weight) aqueous NaHCO_{3} solution and 0.23 (weight) CH_{2}ClCH_{2}OH aqueous solution are used as raw materials. The molar ratio of sodium bicarbonate to chloroethanol in the reactor charge is 3.3, and the specific gravity of the mixture is 1.41. The reaction rate of this reaction as follows $r_{A} = k \cdot c_{A} \cdot c_{B}$The rate constant of 5.21/mol*h at reaction temperature. The conversion rate is 0.72.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</si>
  <si>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867kg/h. 0.37 (weight) aqueous NaHCO_{3} solution and 0.42 (weight) CH_{2}ClCH_{2}OH aqueous solution are used as raw materials. The molar ratio of sodium bicarbonate to chloroethanol in the reactor charge is 4.0, and the specific gravity of the mixture is 1.48. The reaction rate of this reaction as follows $r_{A} = k \cdot c_{A} \cdot c_{B}$The rate constant of 5.21/mol*h at reaction temperature. The conversion rate is 0.85.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</si>
  <si>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447kg/h. 0.1 (weight) aqueous NaHCO_{3} solution and 0.12 (weight) CH_{2}ClCH_{2}OH aqueous solution are used as raw materials. The molar ratio of sodium bicarbonate to chloroethanol in the reactor charge is 1.1, and the specific gravity of the mixture is 1.93. The reaction rate of this reaction as follows $r_{A} = k \cdot c_{A} \cdot c_{B}$The rate constant of 5.21/mol*h at reaction temperature. The conversion rate is 0.86.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</si>
  <si>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182kg/h. 0.23 (weight) aqueous NaHCO_{3} solution and 0.43 (weight) CH_{2}ClCH_{2}OH aqueous solution are used as raw materials. The molar ratio of sodium bicarbonate to chloroethanol in the reactor charge is 1.4, and the specific gravity of the mixture is 1.47. The reaction rate of this reaction as follows $r_{A} = k \cdot c_{A} \cdot c_{B}$The rate constant of 5.21/mol*h at reaction temperature. The conversion rate is 0.7.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</si>
  <si>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115kg/h. 0.49 (weight) aqueous NaHCO_{3} solution and 0.5 (weight) CH_{2}ClCH_{2}OH aqueous solution are used as raw materials. The molar ratio of sodium bicarbonate to chloroethanol in the reactor charge is 2.4, and the specific gravity of the mixture is 1.15. The reaction rate of this reaction as follows $r_{A} = k \cdot c_{A} \cdot c_{B}$The rate constant of 5.21/mol*h at reaction temperature. The conversion rate is 0.84.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</si>
  <si>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782kg/h. 0.1 (weight) aqueous NaHCO_{3} solution and 0.47 (weight) CH_{2}ClCH_{2}OH aqueous solution are used as raw materials. The molar ratio of sodium bicarbonate to chloroethanol in the reactor charge is 1.9, and the specific gravity of the mixture is 1.91. The reaction rate of this reaction as follows $r_{A} = k \cdot c_{A} \cdot c_{B}$The rate constant of 5.21/mol*h at reaction temperature. The conversion rate is 0.76.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</si>
  <si>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480kg/h. 0.09 (weight) aqueous NaHCO_{3} solution and 0.26 (weight) CH_{2}ClCH_{2}OH aqueous solution are used as raw materials. The molar ratio of sodium bicarbonate to chloroethanol in the reactor charge is 3.8, and the specific gravity of the mixture is 1.55. The reaction rate of this reaction as follows $r_{A} = k \cdot c_{A} \cdot c_{B}$The rate constant of 5.21/mol*h at reaction temperature. The conversion rate is 0.9.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</si>
  <si>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604kg/h. 0.26 (weight) aqueous NaHCO_{3} solution and 0.36 (weight) CH_{2}ClCH_{2}OH aqueous solution are used as raw materials. The molar ratio of sodium bicarbonate to chloroethanol in the reactor charge is 1.8, and the specific gravity of the mixture is 1.21. The reaction rate of this reaction as follows $r_{A} = k \cdot c_{A} \cdot c_{B}$The rate constant of 5.21/mol*h at reaction temperature. The conversion rate is 0.98.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</si>
  <si>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441kg/h. 0.17 (weight) aqueous NaHCO_{3} solution and 0.22 (weight) CH_{2}ClCH_{2}OH aqueous solution are used as raw materials. The molar ratio of sodium bicarbonate to chloroethanol in the reactor charge is 1.7, and the specific gravity of the mixture is 1.32. The reaction rate of this reaction as follows $r_{A} = k \cdot c_{A} \cdot c_{B}$The rate constant of 5.21/mol*h at reaction temperature. The conversion rate is 0.79.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</si>
  <si>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666kg/h. 0.15 (weight) aqueous NaHCO_{3} solution and 0.24 (weight) CH_{2}ClCH_{2}OH aqueous solution are used as raw materials. The molar ratio of sodium bicarbonate to chloroethanol in the reactor charge is 1.4, and the specific gravity of the mixture is 1.46. The reaction rate of this reaction as follows $r_{A} = k \cdot c_{A} \cdot c_{B}$The rate constant of 5.21/mol*h at reaction temperature. The conversion rate is 0.9.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</si>
  <si>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751kg/h. 0.21 (weight) aqueous NaHCO_{3} solution and 0.24 (weight) CH_{2}ClCH_{2}OH aqueous solution are used as raw materials. The molar ratio of sodium bicarbonate to chloroethanol in the reactor charge is 2.9, and the specific gravity of the mixture is 1.59. The reaction rate of this reaction as follows $r_{A} = k \cdot c_{A} \cdot c_{B}$The rate constant of 5.21/mol*h at reaction temperature. The conversion rate is 0.96.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</si>
  <si>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587kg/h. 0.13 (weight) aqueous NaHCO_{3} solution and 0.27 (weight) CH_{2}ClCH_{2}OH aqueous solution are used as raw materials. The molar ratio of sodium bicarbonate to chloroethanol in the reactor charge is 5.0, and the specific gravity of the mixture is 1.78. The reaction rate of this reaction as follows $r_{A} = k \cdot c_{A} \cdot c_{B}$The rate constant of 5.21/mol*h at reaction temperature. The conversion rate is 0.71.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</si>
  <si>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839kg/h. 0.08 (weight) aqueous NaHCO_{3} solution and 0.26 (weight) CH_{2}ClCH_{2}OH aqueous solution are used as raw materials. The molar ratio of sodium bicarbonate to chloroethanol in the reactor charge is 3.1, and the specific gravity of the mixture is 1.88. The reaction rate of this reaction as follows $r_{A} = k \cdot c_{A} \cdot c_{B}$The rate constant of 5.21/mol*h at reaction temperature. The conversion rate is 0.98.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</si>
  <si>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853kg/h. 0.21 (weight) aqueous NaHCO_{3} solution and 0.29 (weight) CH_{2}ClCH_{2}OH aqueous solution are used as raw materials. The molar ratio of sodium bicarbonate to chloroethanol in the reactor charge is 4.8, and the specific gravity of the mixture is 1.35. The reaction rate of this reaction as follows $r_{A} = k \cdot c_{A} \cdot c_{B}$The rate constant of 5.21/mol*h at reaction temperature. The conversion rate is 0.96.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</si>
  <si>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353kg/h. 0.13 (weight) aqueous NaHCO_{3} solution and 0.22 (weight) CH_{2}ClCH_{2}OH aqueous solution are used as raw materials. The molar ratio of sodium bicarbonate to chloroethanol in the reactor charge is 3.9, and the specific gravity of the mixture is 1.79. The reaction rate of this reaction as follows $r_{A} = k \cdot c_{A} \cdot c_{B}$The rate constant of 5.21/mol*h at reaction temperature. The conversion rate is 0.95.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</si>
  <si>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651kg/h. 0.21 (weight) aqueous NaHCO_{3} solution and 0.38 (weight) CH_{2}ClCH_{2}OH aqueous solution are used as raw materials. The molar ratio of sodium bicarbonate to chloroethanol in the reactor charge is 3.1, and the specific gravity of the mixture is 1.97. The reaction rate of this reaction as follows $r_{A} = k \cdot c_{A} \cdot c_{B}$The rate constant of 5.21/mol*h at reaction temperature. The conversion rate is 0.94.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</si>
  <si>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242kg/h. 0.25 (weight) aqueous NaHCO_{3} solution and 0.33 (weight) CH_{2}ClCH_{2}OH aqueous solution are used as raw materials. The molar ratio of sodium bicarbonate to chloroethanol in the reactor charge is 1.5, and the specific gravity of the mixture is 1.63. The reaction rate of this reaction as follows $r_{A} = k \cdot c_{A} \cdot c_{B}$The rate constant of 5.21/mol*h at reaction temperature. The conversion rate is 0.9.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</si>
  <si>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491kg/h. 0.16 (weight) aqueous NaHCO_{3} solution and 0.41 (weight) CH_{2}ClCH_{2}OH aqueous solution are used as raw materials. The molar ratio of sodium bicarbonate to chloroethanol in the reactor charge is 1.4, and the specific gravity of the mixture is 1.87. The reaction rate of this reaction as follows $r_{A} = k \cdot c_{A} \cdot c_{B}$The rate constant of 5.21/mol*h at reaction temperature. The conversion rate is 0.89.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</si>
  <si>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792kg/h. 0.31 (weight) aqueous NaHCO_{3} solution and 0.45 (weight) CH_{2}ClCH_{2}OH aqueous solution are used as raw materials. The molar ratio of sodium bicarbonate to chloroethanol in the reactor charge is 2.3, and the specific gravity of the mixture is 1.8. The reaction rate of this reaction as follows $r_{A} = k \cdot c_{A} \cdot c_{B}$The rate constant of 5.21/mol*h at reaction temperature. The conversion rate is 0.92.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</si>
  <si>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411kg/h. 0.15 (weight) aqueous NaHCO_{3} solution and 0.45 (weight) CH_{2}ClCH_{2}OH aqueous solution are used as raw materials. The molar ratio of sodium bicarbonate to chloroethanol in the reactor charge is 2.6, and the specific gravity of the mixture is 1.32. The reaction rate of this reaction as follows $r_{A} = k \cdot c_{A} \cdot c_{B}$The rate constant of 5.21/mol*h at reaction temperature. The conversion rate is 0.74.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</si>
  <si>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776kg/h. 0.23 (weight) aqueous NaHCO_{3} solution and 0.33 (weight) CH_{2}ClCH_{2}OH aqueous solution are used as raw materials. The molar ratio of sodium bicarbonate to chloroethanol in the reactor charge is 4.9, and the specific gravity of the mixture is 1.33. The reaction rate of this reaction as follows $r_{A} = k \cdot c_{A} \cdot c_{B}$The rate constant of 5.21/mol*h at reaction temperature. The conversion rate is 0.92.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</si>
  <si>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384kg/h. 0.44 (weight) aqueous NaHCO_{3} solution and 0.47 (weight) CH_{2}ClCH_{2}OH aqueous solution are used as raw materials. The molar ratio of sodium bicarbonate to chloroethanol in the reactor charge is 4.6, and the specific gravity of the mixture is 1.37. The reaction rate of this reaction as follows $r_{A} = k \cdot c_{A} \cdot c_{B}$The rate constant of 5.21/mol*h at reaction temperature. The conversion rate is 0.84.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</si>
  <si>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332kg/h. 0.09 (weight) aqueous NaHCO_{3} solution and 0.24 (weight) CH_{2}ClCH_{2}OH aqueous solution are used as raw materials. The molar ratio of sodium bicarbonate to chloroethanol in the reactor charge is 2.7, and the specific gravity of the mixture is 1.96. The reaction rate of this reaction as follows $r_{A} = k \cdot c_{A} \cdot c_{B}$The rate constant of 5.21/mol*h at reaction temperature. The conversion rate is 0.73.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</si>
  <si>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848kg/h. 0.22 (weight) aqueous NaHCO_{3} solution and 0.4 (weight) CH_{2}ClCH_{2}OH aqueous solution are used as raw materials. The molar ratio of sodium bicarbonate to chloroethanol in the reactor charge is 4.4, and the specific gravity of the mixture is 1.45. The reaction rate of this reaction as follows $r_{A} = k \cdot c_{A} \cdot c_{B}$The rate constant of 5.21/mol*h at reaction temperature. The conversion rate is 0.87.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</si>
  <si>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597kg/h. 0.09 (weight) aqueous NaHCO_{3} solution and 0.16 (weight) CH_{2}ClCH_{2}OH aqueous solution are used as raw materials. The molar ratio of sodium bicarbonate to chloroethanol in the reactor charge is 3.0, and the specific gravity of the mixture is 1.35. The reaction rate of this reaction as follows $r_{A} = k \cdot c_{A} \cdot c_{B}$The rate constant of 5.21/mol*h at reaction temperature. The conversion rate is 0.84. Please calculate the residence time and volume of the reactor.&lt;end_of_turn&gt;
&lt;start_of_turn&gt;model
</t>
  </si>
  <si>
    <t xml:space="preserve">&lt;bos&gt;&lt;start_of_turn&gt;user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300kg/h. 0.25 (weight) aqueous NaHCO_{3} solution and 0.47 (weight) CH_{2}ClCH_{2}OH aqueous solution are used as raw materials. The molar ratio of sodium bicarbonate to chloroethanol in the reactor charge is 2.1, and the specific gravity of the mixture is 1.63. The reaction rate of this reaction as follows $r_{A} = k \cdot c_{A} \cdot c_{B}$The rate constant of 5.21/mol*h at reaction temperature. The conversion rate is 0.8. Please calculate the residence time and volume of the reactor.&lt;end_of_turn&gt;
&lt;start_of_turn&gt;model
</t>
  </si>
  <si>
    <t>&lt;think&gt;
&lt;/think&gt;
The molar mass of acetic acid is 60 kg/kmol, ethanol is 46 kg/kmol, and ethyl acetate is 88 kg/kmol. The molar flow rate of ethyl acetate required per hour is n_product = 930/88 = 10.57 kmol/h. According to the chemical reaction equation, the mass flow rate of acetic acid required per hour is m_A = 10.57*60 = 634.09 kg/h. The mass flow rate of ethanol required per hour is m_B = 10.57*46 = 486.14 kg/h. The total volumetric feed flow rate is q_raw = (634.09+486.14)*1000/1.07 = 1046.94 L/h. The initial concentration of acetic acid is c_{A0} = 634.09*1000/(60*1046.94) = 10.09 mol/L. The initial concentration of ethanol is c_{B0} = 486.14*1000/(46*1046.94) = 10.09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x)}=23.19 h. Theoretical volume is v=23.19*1046.94=24274.3 l.After comprehensively evaluating various factors in the reaction process, the emergence of highly corrosive substances (sulfuric acid) necessitates material considerations. Given cost-effectiveness requirements, we recommend using stainless steel as the reactor material.</t>
  </si>
  <si>
    <t>&lt;｜begin▁of▁sentence｜&gt;&lt;｜User｜&gt;Please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930 kg/h. The mixture density is 1.07 kg/L. Assuming pure feed streams, the required conversion of acetic acid (A) is 0.55. Please calculate the reactor residence time and volume.&lt;｜Assistant｜&gt;</t>
  </si>
  <si>
    <t>&lt;｜begin▁of▁sentence｜&gt;&lt;｜User｜&gt;Please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431 kg/h. The mixture density is 0.85 kg/L. Assuming pure feed streams, the required conversion of acetic acid (A) is 0.42. Please calculate the reactor residence time and volume.&lt;｜Assistant｜&gt;</t>
  </si>
  <si>
    <t>&lt;think&gt;
&lt;/think&gt;
The molar mass of acetic acid is 60 kg/kmol, ethanol is 46 kg/kmol, and ethyl acetate is 88 kg/kmol. The molar flow rate of ethyl acetate required per hour is n_product = 886/88 = 10.07 kmol/h. According to the chemical reaction equation, the mass flow rate of acetic acid required per hour is m_A = 10.07*60 = 604.09 kg/h. The mass flow rate of ethanol required per hour is m_B = 10.07*46 = 463.14 kg/h. The total volumetric feed flow rate is q_raw = (604.09+463.14)*1000/0.95 = 1123.4 L/h. The initial concentration of acetic acid is c_{A0} = 604.09*1000/(60*1123.4) = 8.96 mol/L. The initial concentration of ethanol is c_{B0} = 463.14*1000/(46*1123.4) = 8.96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}{k1*(1-x_{A})*(c_{B0}-c_{A0}*x_{A})-\frac{c_{A0}*x_{A}*x_{A}}{kc}}=119.46 h. Theoretical volume is v=119.46*1123.4=134204.41 l.After comprehensively evaluating various factors in the reaction process, the emergence of highly corrosive substances (sulfuric acid) necessitates material considerations. Given cost-effectiveness requirements, we recommend using stainless steel as the reactor material.</t>
  </si>
  <si>
    <t>&lt;｜begin▁of▁sentence｜&gt;&lt;｜User｜&gt;Please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886 kg/h. The mixture density is 0.95 kg/L. Assuming pure feed streams, the required conversion of acetic acid (A) is 0.59. Please calculate the reactor residence time and volume.&lt;｜Assistant｜&gt;</t>
  </si>
  <si>
    <t>&lt;think&gt;
&lt;/think&gt;
The molar mass of acetic acid is 60 kg/kmol, ethanol is 46 kg/kmol, and ethyl acetate is 88 kg/kmol. The molar flow rate of ethyl acetate required per hour is n_product = 755/88 = 8.58 kmol/h. According to the chemical reaction equation, the mass flow rate of acetic acid required per hour is m_A = 8.58*60 = 514.77 kg/h. The mass flow rate of ethanol required per hour is m_B = 8.58*46 = 394.66 kg/h. The total volumetric feed flow rate is q_raw = (514.77+394.66)*1000/1.01 = 900.43 L/h. The initial concentration of acetic acid is c_{A0} = 514.77*1000/(60*900.43) = 9.53 mol/L. The initial concentration of ethanol is c_{B0} = 394.66*1000/(46*900.43) = 9.53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}{k1*(1-x_{A})*(c_{B0}-c_{A0}*x_{A})-\frac{c_{A0}*x_{A}*x_{A}}{kc}}=127.24 h. Theoretical volume is v=127.24*900.43=114567.52 l.After comprehensively evaluating various factors in the reaction process, the emergence of highly corrosive substances (sulfuric acid) necessitates material considerations. Given cost-effectiveness requirements, we recommend using stainless steel as the reactor material.</t>
  </si>
  <si>
    <t>&lt;｜begin▁of▁sentence｜&gt;&lt;｜User｜&gt;Please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755 kg/h. The mixture density is 1.01 kg/L. Assuming pure feed streams, the required conversion of acetic acid (A) is 0.63. Please calculate the reactor residence time and volume.&lt;｜Assistant｜&gt;</t>
  </si>
  <si>
    <t>&lt;think&gt;
&lt;/think&gt;
The molar mass of acetic acid is 60 kg/kmol, ethanol is 46 kg/kmol, and ethyl acetate is 88 kg/kmol. The molar flow rate of ethyl acetate required per hour is n_product = 184/88 = 2.09 kmol/h. According to the chemical reaction equation, the mass flow rate of acetic acid required per hour is m_A = 2.09*60 = 125.45 kg/h. The mass flow rate of ethanol required per hour is m_B = 2.09*46 = 96.18 kg/h. The total volumetric feed flow rate is q_raw = (125.45+96.18)*1000/1.0 = 221.64 L/h. The initial concentration of acetic acid is c_{A0} = 125.45*1000/(60*221.64) = 9.43 mol/L. The initial concentration of ethanol is c_{B0} = 96.18*1000/(46*221.64) = 9.43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}{k1*(1-x_{A})*(c_{B0}-c_{A0}*x_{A})-\frac{c_{A0}*x_{A}*x_{A}}{kc}}=126.0 h. Theoretical volume is v=126.0*221.64=27926.64 l.After comprehensively evaluating various factors in the reaction process, the emergence of highly corrosive substances (sulfuric acid) necessitates material considerations. Given cost-effectiveness requirements, we recommend using stainless steel as the reactor material.</t>
  </si>
  <si>
    <t>&lt;｜begin▁of▁sentence｜&gt;&lt;｜User｜&gt;Please calculate the residence time and reactor volume based on the following conditions, and provide recommendations for material selection.
In a PFR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184 kg/h. The mixture density is 1.0 kg/L. Assuming pure feed streams, the required conversion of acetic acid (A) is 0.62. Please calculate the reactor residence time and volume.&lt;｜Assistant｜&gt;</t>
  </si>
  <si>
    <t>&lt;think&gt;
&lt;/think&gt;
The molar mass of acetic acid is 60 kg/kmol, ethanol is 46 kg/kmol, and ethyl acetate is 88 kg/kmol. The molar flow rate of ethyl acetate required per hour is n_product = 315/88 = 3.58 kmol/h. According to the chemical reaction equation, the mass flow rate of acetic acid required per hour is m_A = 3.58*60 = 214.77 kg/h. The mass flow rate of ethanol required per hour is m_B = 3.58*46 = 164.66 kg/h. The total volumetric feed flow rate is q_raw = (214.77+164.66)*1000/0.86 = 441.2 L/h. The initial concentration of acetic acid is c_{A0} = 214.77*1000/(60*441.2) = 8.11 mol/L. The initial concentration of ethanol is c_{B0} = 164.66*1000/(46*441.2) = 8.11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}{k1*(1-x_{A})*(c_{B0}-c_{A0}*x_{A})-\frac{c_{A0}*x_{A}*x_{A}}{kc}}=107.5 h. Theoretical volume is v=107.5*441.2=47427.98 l.After comprehensively evaluating various factors in the reaction process, the emergence of highly corrosive substances (sulfuric acid) necessitates material considerations. Given cost-effectiveness requirements, we recommend using stainless steel as the reactor material.</t>
  </si>
  <si>
    <t>&lt;｜begin▁of▁sentence｜&gt;&lt;｜User｜&gt;Please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315 kg/h. The mixture density is 0.86 kg/L. Assuming pure feed streams, the required conversion of acetic acid (A) is 0.56. Please calculate the reactor residence time and volume.&lt;｜Assistant｜&gt;</t>
  </si>
  <si>
    <t>&lt;think&gt;
&lt;/think&gt;
The molar mass of acetic acid is 60 kg/kmol, ethanol is 46 kg/kmol, and ethyl acetate is 88 kg/kmol. The molar flow rate of ethyl acetate required per hour is n_product = 344/88 = 3.91 kmol/h. According to the chemical reaction equation, the mass flow rate of acetic acid required per hour is m_A = 3.91*60 = 234.55 kg/h. The mass flow rate of ethanol required per hour is m_B = 3.91*46 = 179.82 kg/h. The total volumetric feed flow rate is q_raw = (234.55+179.82)*1000/1.05 = 394.63 L/h. The initial concentration of acetic acid is c_{A0} = 234.55*1000/(60*394.63) = 9.91 mol/L. The initial concentration of ethanol is c_{B0} = 179.82*1000/(46*394.63) = 9.91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x)}=28.44 h. Theoretical volume is v=28.44*394.63=11221.77 l.After comprehensively evaluating various factors in the reaction process, the emergence of highly corrosive substances (sulfuric acid) necessitates material considerations. Given cost-effectiveness requirements, we recommend using stainless steel as the reactor material.</t>
  </si>
  <si>
    <t>&lt;｜begin▁of▁sentence｜&gt;&lt;｜User｜&gt;Please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344 kg/h. The mixture density is 1.05 kg/L. Assuming pure feed streams, the required conversion of acetic acid (A) is 0.53. Please calculate the reactor residence time and volume.&lt;｜Assistant｜&gt;</t>
  </si>
  <si>
    <t>&lt;think&gt;
&lt;/think&gt;
The molar mass of acetic acid is 60 kg/kmol, ethanol is 46 kg/kmol, and ethyl acetate is 88 kg/kmol. The molar flow rate of ethyl acetate required per hour is n_product = 264/88 = 3.0 kmol/h. According to the chemical reaction equation, the mass flow rate of acetic acid required per hour is m_A = 3.0*60 = 180.0 kg/h. The mass flow rate of ethanol required per hour is m_B = 3.0*46 = 138.0 kg/h. The total volumetric feed flow rate is q_raw = (180.0+138.0)*1000/0.95 = 334.74 L/h. The initial concentration of acetic acid is c_{A0} = 180.0*1000/(60*334.74) = 8.96 mol/L. The initial concentration of ethanol is c_{B0} = 138.0*1000/(46*334.74) = 8.96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}{k1*(1-x_{A})*(c_{B0}-c_{A0}*x_{A})-\frac{c_{A0}*x_{A}*x_{A}}{kc}}=119.67 h. Theoretical volume is v=119.67*334.74=40059.43 l.After comprehensively evaluating various factors in the reaction process, the emergence of highly corrosive substances (sulfuric acid) necessitates material considerations. Given cost-effectiveness requirements, we recommend using stainless steel as the reactor material.</t>
  </si>
  <si>
    <t>&lt;｜begin▁of▁sentence｜&gt;&lt;｜User｜&gt;Please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264 kg/h. The mixture density is 0.95 kg/L. Assuming pure feed streams, the required conversion of acetic acid (A) is 0.61. Please calculate the reactor residence time and volume.&lt;｜Assistant｜&gt;</t>
  </si>
  <si>
    <t>&lt;think&gt;
&lt;/think&gt;
The molar mass of acetic acid is 60 kg/kmol, ethanol is 46 kg/kmol, and ethyl acetate is 88 kg/kmol. The molar flow rate of ethyl acetate required per hour is n_product = 206/88 = 2.34 kmol/h. According to the chemical reaction equation, the mass flow rate of acetic acid required per hour is m_A = 2.34*60 = 140.45 kg/h. The mass flow rate of ethanol required per hour is m_B = 2.34*46 = 107.68 kg/h. The total volumetric feed flow rate is q_raw = (140.45+107.68)*1000/0.93 = 266.81 L/h. The initial concentration of acetic acid is c_{A0} = 140.45*1000/(60*266.81) = 8.77 mol/L. The initial concentration of ethanol is c_{B0} = 107.68*1000/(46*266.81) = 8.77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}{k1*(1-x_{A})*(c_{B0}-c_{A0}*x_{A})-\frac{c_{A0}*x_{A}*x_{A}}{kc}}=106.4 h. Theoretical volume is v=106.4*266.81=28389.72 l.After comprehensively evaluating various factors in the reaction process, the emergence of highly corrosive substances (sulfuric acid) necessitates material considerations. Given cost-effectiveness requirements, we recommend using stainless steel as the reactor material.</t>
  </si>
  <si>
    <t>&lt;｜begin▁of▁sentence｜&gt;&lt;｜User｜&gt;Please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206 kg/h. The mixture density is 0.93 kg/L. Assuming pure feed streams, the required conversion of acetic acid (A) is 0.42. Please calculate the reactor residence time and volume.&lt;｜Assistant｜&gt;</t>
  </si>
  <si>
    <t>&lt;think&gt;
&lt;/think&gt;
The molar mass of acetic acid is 60 kg/kmol, ethanol is 46 kg/kmol, and ethyl acetate is 88 kg/kmol. The molar flow rate of ethyl acetate required per hour is n_product = 782/88 = 8.89 kmol/h. According to the chemical reaction equation, the mass flow rate of acetic acid required per hour is m_A = 8.89*60 = 533.18 kg/h. The mass flow rate of ethanol required per hour is m_B = 8.89*46 = 408.77 kg/h. The total volumetric feed flow rate is q_raw = (533.18+408.77)*1000/0.84 = 1121.37 L/h. The initial concentration of acetic acid is c_{A0} = 533.18*1000/(60*1121.37) = 7.92 mol/L. The initial concentration of ethanol is c_{B0} = 408.77*1000/(46*1121.37) = 7.92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x)}=0.1 h. Theoretical volume is v=0.1*1121.37=110.9 l.After comprehensively evaluating various factors in the reaction process, the emergence of highly corrosive substances (sulfuric acid) necessitates material considerations. Given cost-effectiveness requirements, we recommend using stainless steel as the reactor material.</t>
  </si>
  <si>
    <t>&lt;｜begin▁of▁sentence｜&gt;&lt;｜User｜&gt;Please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782 kg/h. The mixture density is 0.84 kg/L. Assuming pure feed streams, the required conversion of acetic acid (A) is 0.62. Please calculate the reactor residence time and volume.&lt;｜Assistant｜&gt;</t>
  </si>
  <si>
    <t>&lt;think&gt;
&lt;/think&gt;
The molar mass of acetic acid is 60 kg/kmol, ethanol is 46 kg/kmol, and ethyl acetate is 88 kg/kmol. The molar flow rate of ethyl acetate required per hour is n_product = 345/88 = 3.92 kmol/h. According to the chemical reaction equation, the mass flow rate of acetic acid required per hour is m_A = 3.92*60 = 235.23 kg/h. The mass flow rate of ethanol required per hour is m_B = 3.92*46 = 180.34 kg/h. The total volumetric feed flow rate is q_raw = (235.23+180.34)*1000/0.81 = 513.05 L/h. The initial concentration of acetic acid is c_{A0} = 235.23*1000/(60*513.05) = 7.64 mol/L. The initial concentration of ethanol is c_{B0} = 180.34*1000/(46*513.05) = 7.64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}{k1*(1-x_{A})*(c_{B0}-c_{A0}*x_{A})-\frac{c_{A0}*x_{A}*x_{A}}{kc}}=101.98 h. Theoretical volume is v=101.98*513.05=52319.39 l.After comprehensively evaluating various factors in the reaction process, the emergence of highly corrosive substances (sulfuric acid) necessitates material considerations. Given cost-effectiveness requirements, we recommend using stainless steel as the reactor material.</t>
  </si>
  <si>
    <t>&lt;｜begin▁of▁sentence｜&gt;&lt;｜User｜&gt;Please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345 kg/h. The mixture density is 0.81 kg/L. Assuming pure feed streams, the required conversion of acetic acid (A) is 0.64. Please calculate the reactor residence time and volume.&lt;｜Assistant｜&gt;</t>
  </si>
  <si>
    <t>&lt;think&gt;
&lt;/think&gt;
The molar mass of acetic acid is 60 kg/kmol, ethanol is 46 kg/kmol, and ethyl acetate is 88 kg/kmol. The molar flow rate of ethyl acetate required per hour is n_product = 782/88 = 8.89 kmol/h. According to the chemical reaction equation, the mass flow rate of acetic acid required per hour is m_A = 8.89*60 = 533.18 kg/h. The mass flow rate of ethanol required per hour is m_B = 8.89*46 = 408.77 kg/h. The total volumetric feed flow rate is q_raw = (533.18+408.77)*1000/1.18 = 798.27 L/h. The initial concentration of acetic acid is c_{A0} = 533.18*1000/(60*798.27) = 11.13 mol/L. The initial concentration of ethanol is c_{B0} = 408.77*1000/(46*798.27) = 11.13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x)}=0.14 h. Theoretical volume is v=0.14*798.27=110.9 l.After comprehensively evaluating various factors in the reaction process, the emergence of highly corrosive substances (sulfuric acid) necessitates material considerations. Given cost-effectiveness requirements, we recommend using stainless steel as the reactor material.</t>
  </si>
  <si>
    <t>&lt;｜begin▁of▁sentence｜&gt;&lt;｜User｜&gt;Please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782 kg/h. The mixture density is 1.18 kg/L. Assuming pure feed streams, the required conversion of acetic acid (A) is 0.62. Please calculate the reactor residence time and volume.&lt;｜Assistant｜&gt;</t>
  </si>
  <si>
    <t>&lt;think&gt;
&lt;/think&gt;
The molar mass of acetic acid is 60 kg/kmol, ethanol is 46 kg/kmol, and ethyl acetate is 88 kg/kmol. The molar flow rate of ethyl acetate required per hour is n_product = 172/88 = 1.95 kmol/h. According to the chemical reaction equation, the mass flow rate of acetic acid required per hour is m_A = 1.95*60 = 117.27 kg/h. The mass flow rate of ethanol required per hour is m_B = 1.95*46 = 89.91 kg/h. The total volumetric feed flow rate is q_raw = (117.27+89.91)*1000/0.93 = 222.78 L/h. The initial concentration of acetic acid is c_{A0} = 117.27*1000/(60*222.78) = 8.77 mol/L. The initial concentration of ethanol is c_{B0} = 89.91*1000/(46*222.78) = 8.77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}{k1*(1-x_{A})*(c_{B0}-c_{A0}*x_{A})-\frac{c_{A0}*x_{A}*x_{A}}{kc}}=111.21 h. Theoretical volume is v=111.21*222.78=24774.6 l.After comprehensively evaluating various factors in the reaction process, the emergence of highly corrosive substances (sulfuric acid) necessitates material considerations. Given cost-effectiveness requirements, we recommend using stainless steel as the reactor material.</t>
  </si>
  <si>
    <t>&lt;｜begin▁of▁sentence｜&gt;&lt;｜User｜&gt;Please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172 kg/h. The mixture density is 0.93 kg/L. Assuming pure feed streams, the required conversion of acetic acid (A) is 0.47. Please calculate the reactor residence time and volume.&lt;｜Assistant｜&gt;</t>
  </si>
  <si>
    <t>&lt;｜begin▁of▁sentence｜&gt;&lt;｜User｜&gt;Please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633 kg/h. The mixture density is 0.91 kg/L. Assuming pure feed streams, the required conversion of acetic acid (A) is 0.61. Please calculate the reactor residence time and volume.&lt;｜Assistant｜&gt;</t>
  </si>
  <si>
    <t>&lt;think&gt;
&lt;/think&gt;
The molar mass of acetic acid is 60 kg/kmol, ethanol is 46 kg/kmol, and ethyl acetate is 88 kg/kmol. The molar flow rate of ethyl acetate required per hour is n_product = 529/88 = 6.01 kmol/h. According to the chemical reaction equation, the mass flow rate of acetic acid required per hour is m_A = 6.01*60 = 360.68 kg/h. The mass flow rate of ethanol required per hour is m_B = 6.01*46 = 276.52 kg/h. The total volumetric feed flow rate is q_raw = (360.68+276.52)*1000/1.04 = 612.7 L/h. The initial concentration of acetic acid is c_{A0} = 360.68*1000/(60*612.7) = 9.81 mol/L. The initial concentration of ethanol is c_{B0} = 276.52*1000/(46*612.7) = 9.81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x)}=48.73 h. Theoretical volume is v=48.73*612.7=29854.15 l.After comprehensively evaluating various factors in the reaction process, the emergence of highly corrosive substances (sulfuric acid) necessitates material considerations. Given cost-effectiveness requirements, we recommend using stainless steel as the reactor material.</t>
  </si>
  <si>
    <t>&lt;｜begin▁of▁sentence｜&gt;&lt;｜User｜&gt;Please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529 kg/h. The mixture density is 1.04 kg/L. Assuming pure feed streams, the required conversion of acetic acid (A) is 0.44. Please calculate the reactor residence time and volume.&lt;｜Assistant｜&gt;</t>
  </si>
  <si>
    <t>&lt;think&gt;
&lt;/think&gt;
The molar mass of acetic acid is 60 kg/kmol, ethanol is 46 kg/kmol, and ethyl acetate is 88 kg/kmol. The molar flow rate of ethyl acetate required per hour is n_product = 169/88 = 1.92 kmol/h. According to the chemical reaction equation, the mass flow rate of acetic acid required per hour is m_A = 1.92*60 = 115.23 kg/h. The mass flow rate of ethanol required per hour is m_B = 1.92*46 = 88.34 kg/h. The total volumetric feed flow rate is q_raw = (115.23+88.34)*1000/1.01 = 201.55 L/h. The initial concentration of acetic acid is c_{A0} = 115.23*1000/(60*201.55) = 9.53 mol/L. The initial concentration of ethanol is c_{B0} = 88.34*1000/(46*201.55) = 9.53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}{k1*(1-x_{A})*(c_{B0}-c_{A0}*x_{A})-\frac{c_{A0}*x_{A}*x_{A}}{kc}}=124.42 h. Theoretical volume is v=124.42*201.55=25076.97 l.After comprehensively evaluating various factors in the reaction process, the emergence of highly corrosive substances (sulfuric acid) necessitates material considerations. Given cost-effectiveness requirements, we recommend using stainless steel as the reactor material.</t>
  </si>
  <si>
    <t>&lt;｜begin▁of▁sentence｜&gt;&lt;｜User｜&gt;Please calculate the residence time and reactor volume based on the following conditions, and provide recommendations for material selection.
In a PFR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169 kg/h. The mixture density is 1.01 kg/L. Assuming pure feed streams, the required conversion of acetic acid (A) is 0.52. Please calculate the reactor residence time and volume.&lt;｜Assistant｜&gt;</t>
  </si>
  <si>
    <t>&lt;think&gt;
&lt;/think&gt;
The molar mass of acetic acid is 60 kg/kmol, ethanol is 46 kg/kmol, and ethyl acetate is 88 kg/kmol. The molar flow rate of ethyl acetate required per hour is n_product = 128/88 = 1.45 kmol/h. According to the chemical reaction equation, the mass flow rate of acetic acid required per hour is m_A = 1.45*60 = 87.27 kg/h. The mass flow rate of ethanol required per hour is m_B = 1.45*46 = 66.91 kg/h. The total volumetric feed flow rate is q_raw = (87.27+66.91)*1000/1.15 = 134.07 L/h. The initial concentration of acetic acid is c_{A0} = 87.27*1000/(60*134.07) = 10.85 mol/L. The initial concentration of ethanol is c_{B0} = 66.91*1000/(46*134.07) = 10.85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}{k1*(1-x_{A})*(c_{B0}-c_{A0}*x_{A})-\frac{c_{A0}*x_{A}*x_{A}}{kc}}=144.63 h. Theoretical volume is v=144.63*134.07=19390.97 l.After comprehensively evaluating various factors in the reaction process, the emergence of highly corrosive substances (sulfuric acid) necessitates material considerations. Given cost-effectiveness requirements, we recommend using stainless steel as the reactor material.</t>
  </si>
  <si>
    <t>&lt;｜begin▁of▁sentence｜&gt;&lt;｜User｜&gt;Please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128 kg/h. The mixture density is 1.15 kg/L. Assuming pure feed streams, the required conversion of acetic acid (A) is 0.65. Please calculate the reactor residence time and volume.&lt;｜Assistant｜&gt;</t>
  </si>
  <si>
    <t>&lt;think&gt;
&lt;/think&gt;
The molar mass of acetic acid is 60 kg/kmol, ethanol is 46 kg/kmol, and ethyl acetate is 88 kg/kmol. The molar flow rate of ethyl acetate required per hour is n_product = 637/88 = 7.24 kmol/h. According to the chemical reaction equation, the mass flow rate of acetic acid required per hour is m_A = 7.24*60 = 434.32 kg/h. The mass flow rate of ethanol required per hour is m_B = 7.24*46 = 332.98 kg/h. The total volumetric feed flow rate is q_raw = (434.32+332.98)*1000/0.8 = 959.12 L/h. The initial concentration of acetic acid is c_{A0} = 434.32*1000/(60*959.12) = 7.55 mol/L. The initial concentration of ethanol is c_{B0} = 332.98*1000/(46*959.12) = 7.55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x)}=2.75 h. Theoretical volume is v=2.75*959.12=2632.95 l.After comprehensively evaluating various factors in the reaction process, the emergence of highly corrosive substances (sulfuric acid) necessitates material considerations. Given cost-effectiveness requirements, we recommend using stainless steel as the reactor material.</t>
  </si>
  <si>
    <t>&lt;｜begin▁of▁sentence｜&gt;&lt;｜User｜&gt;Please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637 kg/h. The mixture density is 0.8 kg/L. Assuming pure feed streams, the required conversion of acetic acid (A) is 0.61. Please calculate the reactor residence time and volume.&lt;｜Assistant｜&gt;</t>
  </si>
  <si>
    <t>&lt;think&gt;
&lt;/think&gt;
The molar mass of acetic acid is 60 kg/kmol, ethanol is 46 kg/kmol, and ethyl acetate is 88 kg/kmol. The molar flow rate of ethyl acetate required per hour is n_product = 494/88 = 5.61 kmol/h. According to the chemical reaction equation, the mass flow rate of acetic acid required per hour is m_A = 5.61*60 = 336.82 kg/h. The mass flow rate of ethanol required per hour is m_B = 5.61*46 = 258.23 kg/h. The total volumetric feed flow rate is q_raw = (336.82+258.23)*1000/0.85 = 700.05 L/h. The initial concentration of acetic acid is c_{A0} = 336.82*1000/(60*700.05) = 8.02 mol/L. The initial concentration of ethanol is c_{B0} = 258.23*1000/(46*700.05) = 8.02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x)}=38.29 h. Theoretical volume is v=38.29*700.05=26805.58 l.After comprehensively evaluating various factors in the reaction process, the emergence of highly corrosive substances (sulfuric acid) necessitates material considerations. Given cost-effectiveness requirements, we recommend using stainless steel as the reactor material.</t>
  </si>
  <si>
    <t>&lt;｜begin▁of▁sentence｜&gt;&lt;｜User｜&gt;Please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494 kg/h. The mixture density is 0.85 kg/L. Assuming pure feed streams, the required conversion of acetic acid (A) is 0.45. Please calculate the reactor residence time and volume.&lt;｜Assistant｜&gt;</t>
  </si>
  <si>
    <t>&lt;think&gt;
&lt;/think&gt;
The molar mass of acetic acid is 60 kg/kmol, ethanol is 46 kg/kmol, and ethyl acetate is 88 kg/kmol. The molar flow rate of ethyl acetate required per hour is n_product = 695/88 = 7.9 kmol/h. According to the chemical reaction equation, the mass flow rate of acetic acid required per hour is m_A = 7.9*60 = 473.86 kg/h. The mass flow rate of ethanol required per hour is m_B = 7.9*46 = 363.3 kg/h. The total volumetric feed flow rate is q_raw = (473.86+363.3)*1000/1.05 = 797.29 L/h. The initial concentration of acetic acid is c_{A0} = 473.86*1000/(60*797.29) = 9.91 mol/L. The initial concentration of ethanol is c_{B0} = 363.3*1000/(46*797.29) = 9.91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x)}=7.0 h. Theoretical volume is v=7.0*797.29=5583.55 l.After comprehensively evaluating various factors in the reaction process, the emergence of highly corrosive substances (sulfuric acid) necessitates material considerations. Given cost-effectiveness requirements, we recommend using stainless steel as the reactor material.</t>
  </si>
  <si>
    <t>&lt;｜begin▁of▁sentence｜&gt;&lt;｜User｜&gt;Please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695 kg/h. The mixture density is 1.05 kg/L. Assuming pure feed streams, the required conversion of acetic acid (A) is 0.6. Please calculate the reactor residence time and volume.&lt;｜Assistant｜&gt;</t>
  </si>
  <si>
    <t>&lt;think&gt;
&lt;/think&gt;
The molar mass of acetic acid is 60 kg/kmol, ethanol is 46 kg/kmol, and ethyl acetate is 88 kg/kmol. The molar flow rate of ethyl acetate required per hour is n_product = 108/88 = 1.23 kmol/h. According to the chemical reaction equation, the mass flow rate of acetic acid required per hour is m_A = 1.23*60 = 73.64 kg/h. The mass flow rate of ethanol required per hour is m_B = 1.23*46 = 56.45 kg/h. The total volumetric feed flow rate is q_raw = (73.64+56.45)*1000/1.14 = 114.11 L/h. The initial concentration of acetic acid is c_{A0} = 73.64*1000/(60*114.11) = 10.75 mol/L. The initial concentration of ethanol is c_{B0} = 56.45*1000/(46*114.11) = 10.75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x)}=44.5 h. Theoretical volume is v=44.5*114.11=5077.54 l.After comprehensively evaluating various factors in the reaction process, the emergence of highly corrosive substances (sulfuric acid) necessitates material considerations. Given cost-effectiveness requirements, we recommend using stainless steel as the reactor material.</t>
  </si>
  <si>
    <t>&lt;｜begin▁of▁sentence｜&gt;&lt;｜User｜&gt;Please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108 kg/h. The mixture density is 1.14 kg/L. Assuming pure feed streams, the required conversion of acetic acid (A) is 0.48. Please calculate the reactor residence time and volume.&lt;｜Assistant｜&gt;</t>
  </si>
  <si>
    <t>&lt;think&gt;
&lt;/think&gt;
The molar mass of acetic acid is 60 kg/kmol, ethanol is 46 kg/kmol, and ethyl acetate is 88 kg/kmol. The molar flow rate of ethyl acetate required per hour is n_product = 675/88 = 7.67 kmol/h. According to the chemical reaction equation, the mass flow rate of acetic acid required per hour is m_A = 7.67*60 = 460.23 kg/h. The mass flow rate of ethanol required per hour is m_B = 7.67*46 = 352.84 kg/h. The total volumetric feed flow rate is q_raw = (460.23+352.84)*1000/0.99 = 821.28 L/h. The initial concentration of acetic acid is c_{A0} = 460.23*1000/(60*821.28) = 9.34 mol/L. The initial concentration of ethanol is c_{B0} = 352.84*1000/(46*821.28) = 9.34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}{k1*(1-x_{A})*(c_{B0}-c_{A0}*x_{A})-\frac{c_{A0}*x_{A}*x_{A}}{kc}}=117.49 h. Theoretical volume is v=117.49*821.28=96488.83 l.After comprehensively evaluating various factors in the reaction process, the emergence of highly corrosive substances (sulfuric acid) necessitates material considerations. Given cost-effectiveness requirements, we recommend using stainless steel as the reactor material.</t>
  </si>
  <si>
    <t>&lt;｜begin▁of▁sentence｜&gt;&lt;｜User｜&gt;Please calculate the residence time and reactor volume based on the following conditions, and provide recommendations for material selection.
In a PFR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675 kg/h. The mixture density is 0.99 kg/L. Assuming pure feed streams, the required conversion of acetic acid (A) is 0.46. Please calculate the reactor residence time and volume.&lt;｜Assistant｜&gt;</t>
  </si>
  <si>
    <t>&lt;think&gt;
&lt;/think&gt;
The molar mass of acetic acid is 60 kg/kmol, ethanol is 46 kg/kmol, and ethyl acetate is 88 kg/kmol. The molar flow rate of ethyl acetate required per hour is n_product = 675/88 = 7.67 kmol/h. According to the chemical reaction equation, the mass flow rate of acetic acid required per hour is m_A = 7.67*60 = 460.23 kg/h. The mass flow rate of ethanol required per hour is m_B = 7.67*46 = 352.84 kg/h. The total volumetric feed flow rate is q_raw = (460.23+352.84)*1000/1.12 = 725.95 L/h. The initial concentration of acetic acid is c_{A0} = 460.23*1000/(60*725.95) = 10.57 mol/L. The initial concentration of ethanol is c_{B0} = 352.84*1000/(46*725.95) = 10.57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x)}=21.09 h. Theoretical volume is v=21.09*725.95=15312.98 l.After comprehensively evaluating various factors in the reaction process, the emergence of highly corrosive substances (sulfuric acid) necessitates material considerations. Given cost-effectiveness requirements, we recommend using stainless steel as the reactor material.</t>
  </si>
  <si>
    <t>&lt;｜begin▁of▁sentence｜&gt;&lt;｜User｜&gt;Please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675 kg/h. The mixture density is 1.12 kg/L. Assuming pure feed streams, the required conversion of acetic acid (A) is 0.56. Please calculate the reactor residence time and volume.&lt;｜Assistant｜&gt;</t>
  </si>
  <si>
    <t>&lt;think&gt;
&lt;/think&gt;
The molar mass of acetic acid is 60 kg/kmol, ethanol is 46 kg/kmol, and ethyl acetate is 88 kg/kmol. The molar flow rate of ethyl acetate required per hour is n_product = 921/88 = 10.47 kmol/h. According to the chemical reaction equation, the mass flow rate of acetic acid required per hour is m_A = 10.47*60 = 627.95 kg/h. The mass flow rate of ethanol required per hour is m_B = 10.47*46 = 481.43 kg/h. The total volumetric feed flow rate is q_raw = (627.95+481.43)*1000/1.08 = 1027.21 L/h. The initial concentration of acetic acid is c_{A0} = 627.95*1000/(60*1027.21) = 10.19 mol/L. The initial concentration of ethanol is c_{B0} = 481.43*1000/(46*1027.21) = 10.19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}{k1*(1-x_{A})*(c_{B0}-c_{A0}*x_{A})-\frac{c_{A0}*x_{A}*x_{A}}{kc}}=136.06 h. Theoretical volume is v=136.06*1027.21=139757.2 l.After comprehensively evaluating various factors in the reaction process, the emergence of highly corrosive substances (sulfuric acid) necessitates material considerations. Given cost-effectiveness requirements, we recommend using stainless steel as the reactor material.</t>
  </si>
  <si>
    <t>&lt;｜begin▁of▁sentence｜&gt;&lt;｜User｜&gt;Please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921 kg/h. The mixture density is 1.08 kg/L. Assuming pure feed streams, the required conversion of acetic acid (A) is 0.63. Please calculate the reactor residence time and volume.&lt;｜Assistant｜&gt;</t>
  </si>
  <si>
    <t>&lt;think&gt;
&lt;/think&gt;
The molar mass of acetic acid is 60 kg/kmol, ethanol is 46 kg/kmol, and ethyl acetate is 88 kg/kmol. The molar flow rate of ethyl acetate required per hour is n_product = 839/88 = 9.53 kmol/h. According to the chemical reaction equation, the mass flow rate of acetic acid required per hour is m_A = 9.53*60 = 572.05 kg/h. The mass flow rate of ethanol required per hour is m_B = 9.53*46 = 438.57 kg/h. The total volumetric feed flow rate is q_raw = (572.05+438.57)*1000/0.89 = 1135.52 L/h. The initial concentration of acetic acid is c_{A0} = 572.05*1000/(60*1135.52) = 8.4 mol/L. The initial concentration of ethanol is c_{B0} = 438.57*1000/(46*1135.52) = 8.4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x)}=26.39 h. Theoretical volume is v=26.39*1135.52=29970.71 l.After comprehensively evaluating various factors in the reaction process, the emergence of highly corrosive substances (sulfuric acid) necessitates material considerations. Given cost-effectiveness requirements, we recommend using stainless steel as the reactor material.</t>
  </si>
  <si>
    <t>&lt;｜begin▁of▁sentence｜&gt;&lt;｜User｜&gt;Please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839 kg/h. The mixture density is 0.89 kg/L. Assuming pure feed streams, the required conversion of acetic acid (A) is 0.52. Please calculate the reactor residence time and volume.&lt;｜Assistant｜&gt;</t>
  </si>
  <si>
    <t>&lt;think&gt;
&lt;/think&gt;
The molar mass of acetic acid is 60 kg/kmol, ethanol is 46 kg/kmol, and ethyl acetate is 88 kg/kmol. The molar flow rate of ethyl acetate required per hour is n_product = 723/88 = 8.22 kmol/h. According to the chemical reaction equation, the mass flow rate of acetic acid required per hour is m_A = 8.22*60 = 492.95 kg/h. The mass flow rate of ethanol required per hour is m_B = 8.22*46 = 377.93 kg/h. The total volumetric feed flow rate is q_raw = (492.95+377.93)*1000/0.79 = 1102.39 L/h. The initial concentration of acetic acid is c_{A0} = 492.95*1000/(60*1102.39) = 7.45 mol/L. The initial concentration of ethanol is c_{B0} = 377.93*1000/(46*1102.39) = 7.45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}{k1*(1-x_{A})*(c_{B0}-c_{A0}*x_{A})-\frac{c_{A0}*x_{A}*x_{A}}{kc}}=99.45 h. Theoretical volume is v=99.45*1102.39=109635.35 l.After comprehensively evaluating various factors in the reaction process, the emergence of highly corrosive substances (sulfuric acid) necessitates material considerations. Given cost-effectiveness requirements, we recommend using stainless steel as the reactor material.</t>
  </si>
  <si>
    <t>&lt;｜begin▁of▁sentence｜&gt;&lt;｜User｜&gt;Please calculate the residence time and reactor volume based on the following conditions, and provide recommendations for material selection.
In a PFR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723 kg/h. The mixture density is 0.79 kg/L. Assuming pure feed streams, the required conversion of acetic acid (A) is 0.6. Please calculate the reactor residence time and volume.&lt;｜Assistant｜&gt;</t>
  </si>
  <si>
    <t>&lt;think&gt;
&lt;/think&gt;
The molar mass of acetic acid is 60 kg/kmol, ethanol is 46 kg/kmol, and ethyl acetate is 88 kg/kmol. The molar flow rate of ethyl acetate required per hour is n_product = 343/88 = 3.9 kmol/h. According to the chemical reaction equation, the mass flow rate of acetic acid required per hour is m_A = 3.9*60 = 233.86 kg/h. The mass flow rate of ethanol required per hour is m_B = 3.9*46 = 179.3 kg/h. The total volumetric feed flow rate is q_raw = (233.86+179.3)*1000/0.93 = 444.26 L/h. The initial concentration of acetic acid is c_{A0} = 233.86*1000/(60*444.26) = 8.77 mol/L. The initial concentration of ethanol is c_{B0} = 179.3*1000/(46*444.26) = 8.77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}{k1*(1-x_{A})*(c_{B0}-c_{A0}*x_{A})-\frac{c_{A0}*x_{A}*x_{A}}{kc}}=111.99 h. Theoretical volume is v=111.99*444.26=49753.92 l.After comprehensively evaluating various factors in the reaction process, the emergence of highly corrosive substances (sulfuric acid) necessitates material considerations. Given cost-effectiveness requirements, we recommend using stainless steel as the reactor material.</t>
  </si>
  <si>
    <t>&lt;｜begin▁of▁sentence｜&gt;&lt;｜User｜&gt;Please calculate the residence time and reactor volume based on the following conditions, and provide recommendations for material selection.
In a BR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343 kg/h. The mixture density is 0.93 kg/L. Assuming pure feed streams, the required conversion of acetic acid (A) is 0.48. Please calculate the reactor residence time and volume.&lt;｜Assistant｜&gt;</t>
  </si>
  <si>
    <t>&lt;think&gt;
&lt;/think&gt;
The molar mass of acetic acid is 60 kg/kmol, ethanol is 46 kg/kmol, and ethyl acetate is 88 kg/kmol. The molar flow rate of ethyl acetate required per hour is n_product = 123/88 = 1.4 kmol/h. According to the chemical reaction equation, the mass flow rate of acetic acid required per hour is m_A = 1.4*60 = 83.86 kg/h. The mass flow rate of ethanol required per hour is m_B = 1.4*46 = 64.3 kg/h. The total volumetric feed flow rate is q_raw = (83.86+64.3)*1000/1.05 = 141.1 L/h. The initial concentration of acetic acid is c_{A0} = 83.86*1000/(60*141.1) = 9.91 mol/L. The initial concentration of ethanol is c_{B0} = 64.3*1000/(46*141.1) = 9.91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x)}=16.71 h. Theoretical volume is v=16.71*141.1=2357.84 l.After comprehensively evaluating various factors in the reaction process, the emergence of highly corrosive substances (sulfuric acid) necessitates material considerations. Given cost-effectiveness requirements, we recommend using stainless steel as the reactor material.</t>
  </si>
  <si>
    <t>&lt;｜begin▁of▁sentence｜&gt;&lt;｜User｜&gt;Please calculate the residence time and reactor volume based on the following conditions, and provide recommendations for material selection.
In a CSTR reactor, Ethyl acetate is synthesized from ethanol and acetic acid. The reaction equation is $\ce{CH_{3}COOH + C_{2}H_{5}OH \rightleftharpoons CH_{3}COOC_{2}H_{5} + H_{2}O}$. This reversible reaction uses concentrated sulfuric acid as a catalyst. Assigning A, B, C, D to represent the four compounds respectively, the reaction rate equation is $r_{A} = k_{1} \left( c_{A} \cdot c_{B} - \frac{1}{k_{c}} \cdot c_{C} \cdot c_{D} \right)$. At 78°C, $k_{1} = 3.56 \times 10^{-5}  \text{dm}^{6}/(\text{min} \cdot \text{g} \cdot \text{mol})$, $k_{c} = 2.67$, $M_A = 60 kg/kmol $, $M_B = 46 kg/kmol $. A and B are fed at equal molar flow rates. The target ethyl acetate (C) production rate is 123 kg/h. The mixture density is 1.05 kg/L. Assuming pure feed streams, the required conversion of acetic acid (A) is 0.57. Please calculate the reactor residence time and volume.&lt;｜Assistant｜&gt;</t>
  </si>
  <si>
    <t>&lt;think&gt;
&lt;/think&gt;
The relative molecular weight of CH_{3}COOC_{2}H_{5} is 76 kg/kmol, NaOH is 40 kg/kmol. Raw material volumetric flow rate: Q_{0}=(470+470)/1.19=789.92 m^3/h. Initial concentration of ethyl acetate: c_{A0}=470*1000/(76*789.92)=7.83 mol/L. Initial concentration of sodium hydroxide: c_{B0}=470*1000*1/(40*789.92)=14.88 mol/L. The concentration of chloroethanol: c_{A}=c_{A0}*(1-x). The concentration of sodium bicarbonate: c_{B}=c_{B0}-c_{A0}*x. Reaction time obtained through integral calculation: t=\frac{c_{A0} \cdot x_{f}}{r_{A}}=\frac{c_{A0} \cdot x_{f}}{k \cdot c_{A} \cdot c_{B}}=\frac{x_{f}}{k \cdot (1-x_{A}) \cdot (c_{B0}-c_{A0} \cdot x_{A})}=0.08 h. Theoretical volume is v=0.08*789.92=60.74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</si>
  <si>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1.19. The reaction rate of this reaction as follows r_{A}=k*c_{A}*c_{B}The rate constant of 5.63/mol*h at reaction temperature. The conversion rate is 0.79. Please calculate the residence time and volume of the reactor.&lt;｜Assistant｜&gt;</t>
  </si>
  <si>
    <t>&lt;think&gt;
&lt;/think&gt;
The relative molecular weight of CH_{3}COOC_{2}H_{5} is 76 kg/kmol, NaOH is 40 kg/kmol. Raw material volumetric flow rate: Q_{0}=(755+755)/1.83=825.14 m^3/h. Initial concentration of ethyl acetate: c_{A0}=755*1000/(76*825.14)=12.04 mol/L. Initial concentration of sodium hydroxide: c_{B0}=755*1000*1/(40*825.14)=22.88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v=0.03*825.14=28.82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</si>
  <si>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1.83. The reaction rate of this reaction as follows r_{A}=k*c_{A}*c_{B}The rate constant of 5.63/mol*h at reaction temperature. The conversion rate is 0.94. Please calculate the residence time and volume of the reactor.&lt;｜Assistant｜&gt;</t>
  </si>
  <si>
    <t>&lt;think&gt;
&lt;/think&gt;
The relative molecular weight of CH_{3}COOC_{2}H_{5} is 76 kg/kmol, NaOH is 40 kg/kmol. Raw material volumetric flow rate: Q_{0}=(160+160)/1.63=196.32 m^3/h. Initial concentration of ethyl acetate: c_{A0}=160*1000/(76*196.32)=10.72 mol/L. Initial concentration of sodium hydroxide: c_{B0}=160*1000*1/(40*196.32)=20.38 mol/L. The concentration of chloroethanol: c_{A}=c_{A0}*(1-x). The concentration of sodium bicarbonate: c_{B}=c_{B0}-c_{A0}*x. Reaction time obtained through integral calculation: t=\frac{c_{A0} \cdot x_{f}}{r_{A}}=\frac{c_{A0} \cdot x_{f}}{k \cdot c_{A} \cdot c_{B}}=\frac{x_{f}}{k \cdot (1-x_{A}) \cdot (c_{B0}-c_{A0} \cdot x_{A})}=0.04 h. Theoretical volume is v=0.04*196.32=7.09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</si>
  <si>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1.63. The reaction rate of this reaction as follows r_{A}=k*c_{A}*c_{B}The rate constant of 5.63/mol*h at reaction temperature. The conversion rate is 0.72. Please calculate the residence time and volume of the reactor.&lt;｜Assistant｜&gt;</t>
  </si>
  <si>
    <t>&lt;think&gt;
&lt;/think&gt;
The relative molecular weight of CH_{3}COOC_{2}H_{5} is 76 kg/kmol, NaOH is 40 kg/kmol. Raw material volumetric flow rate: Q_{0}=(352+352)/1.9=370.53 m^3/h. Initial concentration of ethyl acetate: c_{A0}=352*1000/(76*370.53)=12.5 mol/L. Initial concentration of sodium hydroxide: c_{B0}=352*1000*1/(40*370.53)=23.75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v=0.03*370.53=9.72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</si>
  <si>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1.9. The reaction rate of this reaction as follows r_{A}=k*c_{A}*c_{B}The rate constant of 5.63/mol*h at reaction temperature. The conversion rate is 0.9. Please calculate the residence time and volume of the reactor.&lt;｜Assistant｜&gt;</t>
  </si>
  <si>
    <t>&lt;think&gt;
&lt;/think&gt;
The relative molecular weight of CH_{3}COOC_{2}H_{5} is 76 kg/kmol, NaOH is 40 kg/kmol. Raw material volumetric flow rate: Q_{0}=(703+703)/1.7=827.06 m^3/h. Initial concentration of ethyl acetate: c_{A0}=703*1000/(76*827.06)=11.18 mol/L. Initial concentration of sodium hydroxide: c_{B0}=703*1000*1/(40*827.06)=21.25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v=0.02*827.06=14.93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</si>
  <si>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1.7. The reaction rate of this reaction as follows r_{A}=k*c_{A}*c_{B}The rate constant of 5.63/mol*h at reaction temperature. The conversion rate is 0.79. Please calculate the residence time and volume of the reactor.&lt;｜Assistant｜&gt;</t>
  </si>
  <si>
    <t>&lt;think&gt;
&lt;/think&gt;
The relative molecular weight of CH_{3}COOC_{2}H_{5} is 76 kg/kmol, NaOH is 40 kg/kmol. Raw material volumetric flow rate: Q_{0}=(969+969)/1.01=1918.81 m^3/h. Initial concentration of ethyl acetate: c_{A0}=969*1000/(76*1918.81)=6.64 mol/L. Initial concentration of sodium hydroxide: c_{B0}=969*1000*1/(40*1918.81)=12.62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v=0.03*1918.81=52.22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</si>
  <si>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1.01. The reaction rate of this reaction as follows r_{A}=k*c_{A}*c_{B}The rate constant of 5.63/mol*h at reaction temperature. The conversion rate is 0.76. Please calculate the residence time and volume of the reactor.&lt;｜Assistant｜&gt;</t>
  </si>
  <si>
    <t>&lt;think&gt;
&lt;/think&gt;
The relative molecular weight of CH_{3}COOC_{2}H_{5} is 76 kg/kmol, NaOH is 40 kg/kmol. Raw material volumetric flow rate: Q_{0}=(137+137)/1.64=167.07 m^3/h. Initial concentration of ethyl acetate: c_{A0}=137*1000/(76*167.07)=10.79 mol/L. Initial concentration of sodium hydroxide: c_{B0}=137*1000*1/(40*167.07)=20.5 mol/L. The concentration of chloroethanol: c_{A}=c_{A0}*(1-x). The concentration of sodium bicarbonate: c_{B}=c_{B0}-c_{A0}*x. Reaction time obtained through integral calculation: t=\frac{c_{A0} \cdot x_{f}}{r_{A}}=\frac{c_{A0} \cdot x_{f}}{k \cdot c_{A} \cdot c_{B}}=\frac{x_{f}}{k \cdot (1-x_{A}) \cdot (c_{B0}-c_{A0} \cdot x_{A})}=0.05 h. Theoretical volume is v=0.05*167.07=8.71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</si>
  <si>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1.64. The reaction rate of this reaction as follows r_{A}=k*c_{A}*c_{B}The rate constant of 5.63/mol*h at reaction temperature. The conversion rate is 0.78. Please calculate the residence time and volume of the reactor.&lt;｜Assistant｜&gt;</t>
  </si>
  <si>
    <t>&lt;think&gt;
&lt;/think&gt;
The relative molecular weight of CH_{3}COOC_{2}H_{5} is 76 kg/kmol, NaOH is 40 kg/kmol. Raw material volumetric flow rate: Q_{0}=(161+161)/1.29=249.61 m^3/h. Initial concentration of ethyl acetate: c_{A0}=161*1000/(76*249.61)=8.49 mol/L. Initial concentration of sodium hydroxide: c_{B0}=161*1000*1/(40*249.61)=16.12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v=0.03*249.61=7.25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</si>
  <si>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1.29. The reaction rate of this reaction as follows r_{A}=k*c_{A}*c_{B}The rate constant of 5.63/mol*h at reaction temperature. The conversion rate is 0.84. Please calculate the residence time and volume of the reactor.&lt;｜Assistant｜&gt;</t>
  </si>
  <si>
    <t>&lt;think&gt;
&lt;/think&gt;
The relative molecular weight of CH_{3}COOC_{2}H_{5} is 76 kg/kmol, NaOH is 40 kg/kmol. Raw material volumetric flow rate: Q_{0}=(225+225)/1.75=257.14 m^3/h. Initial concentration of ethyl acetate: c_{A0}=225*1000/(76*257.14)=11.51 mol/L. Initial concentration of sodium hydroxide: c_{B0}=225*1000*1/(40*257.14)=21.87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v=0.02*257.14=4.51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</si>
  <si>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1.75. The reaction rate of this reaction as follows r_{A}=k*c_{A}*c_{B}The rate constant of 5.63/mol*h at reaction temperature. The conversion rate is 0.79. Please calculate the residence time and volume of the reactor.&lt;｜Assistant｜&gt;</t>
  </si>
  <si>
    <t>&lt;think&gt;
&lt;/think&gt;
The relative molecular weight of CH_{3}COOC_{2}H_{5} is 76 kg/kmol, NaOH is 40 kg/kmol. Raw material volumetric flow rate: Q_{0}=(265+265)/1.49=355.7 m^3/h. Initial concentration of ethyl acetate: c_{A0}=265*1000/(76*355.7)=9.8 mol/L. Initial concentration of sodium hydroxide: c_{B0}=265*1000*1/(40*355.7)=18.62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v=0.03*355.7=9.76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</si>
  <si>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1.49. The reaction rate of this reaction as follows r_{A}=k*c_{A}*c_{B}The rate constant of 5.63/mol*h at reaction temperature. The conversion rate is 0.86. Please calculate the residence time and volume of the reactor.&lt;｜Assistant｜&gt;</t>
  </si>
  <si>
    <t>&lt;think&gt;
&lt;/think&gt;
The relative molecular weight of CH_{3}COOC_{2}H_{5} is 76 kg/kmol, NaOH is 40 kg/kmol. Raw material volumetric flow rate: Q_{0}=(489+489)/1.82=537.36 m^3/h. Initial concentration of ethyl acetate: c_{A0}=489*1000/(76*537.36)=11.97 mol/L. Initial concentration of sodium hydroxide: c_{B0}=489*1000*1/(40*537.36)=22.75 mol/L. The concentration of chloroethanol: c_{A}=c_{A0}*(1-x). The concentration of sodium bicarbonate: c_{B}=c_{B0}-c_{A0}*x. Reaction time obtained through integral calculation: t=\int_{0}^{x_{f} } \frac{c_{A0}dx_{A} }{r_{A}}=\int_{0}^{x_{f} } \frac{c_{A0}dx_{A} }{k*c_{A}*c_{B}}=\int_{0}^{x_{f} } \frac{dx_{A} }{k*(1-x_{A})*(c_{B0}-c_{A0}*x_{A})}=0.01 h. Theoretical volume is v=0.01*537.36=7.56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</si>
  <si>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1.82. The reaction rate of this reaction as follows r_{A}=k*c_{A}*c_{B}The rate constant of 5.63/mol*h at reaction temperature. The conversion rate is 0.74. Please calculate the residence time and volume of the reactor.&lt;｜Assistant｜&gt;</t>
  </si>
  <si>
    <t>&lt;think&gt;
&lt;/think&gt;
The relative molecular weight of CH_{3}COOC_{2}H_{5} is 76 kg/kmol, NaOH is 40 kg/kmol. Raw material volumetric flow rate: Q_{0}=(652+652)/1.87=697.33 m^3/h. Initial concentration of ethyl acetate: c_{A0}=652*1000/(76*697.33)=12.3 mol/L. Initial concentration of sodium hydroxide: c_{B0}=652*1000*1/(40*697.33)=23.38 mol/L. The concentration of chloroethanol: c_{A}=c_{A0}*(1-x). The concentration of sodium bicarbonate: c_{B}=c_{B0}-c_{A0}*x. Reaction time obtained through integral calculation: t=\frac{c_{A0} \cdot x_{f}}{r_{A}}=\frac{c_{A0} \cdot x_{f}}{k \cdot c_{A} \cdot c_{B}}=\frac{x_{f}}{k \cdot (1-x_{A}) \cdot (c_{B0}-c_{A0} \cdot x_{A})}=0.09 h. Theoretical volume is v=0.09*697.33=65.41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</si>
  <si>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1.87. The reaction rate of this reaction as follows r_{A}=k*c_{A}*c_{B}The rate constant of 5.63/mol*h at reaction temperature. The conversion rate is 0.87. Please calculate the residence time and volume of the reactor.&lt;｜Assistant｜&gt;</t>
  </si>
  <si>
    <t>&lt;think&gt;
&lt;/think&gt;
The relative molecular weight of CH_{3}COOC_{2}H_{5} is 76 kg/kmol, NaOH is 40 kg/kmol. Raw material volumetric flow rate: Q_{0}=(562+562)/1.47=764.63 m^3/h. Initial concentration of ethyl acetate: c_{A0}=562*1000/(76*764.63)=9.67 mol/L. Initial concentration of sodium hydroxide: c_{B0}=562*1000*1/(40*764.63)=18.38 mol/L. The concentration of chloroethanol: c_{A}=c_{A0}*(1-x). The concentration of sodium bicarbonate: c_{B}=c_{B0}-c_{A0}*x. Reaction time obtained through integral calculation: t=\frac{c_{A0} \cdot x_{f}}{r_{A}}=\frac{c_{A0} \cdot x_{f}}{k \cdot c_{A} \cdot c_{B}}=\frac{x_{f}}{k \cdot (1-x_{A}) \cdot (c_{B0}-c_{A0} \cdot x_{A})}=0.13 h. Theoretical volume is v=0.13*764.63=100.96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</si>
  <si>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1.47. The reaction rate of this reaction as follows r_{A}=k*c_{A}*c_{B}The rate constant of 5.63/mol*h at reaction temperature. The conversion rate is 0.88. Please calculate the residence time and volume of the reactor.&lt;｜Assistant｜&gt;</t>
  </si>
  <si>
    <t>&lt;think&gt;
&lt;/think&gt;
The relative molecular weight of CH_{3}COOC_{2}H_{5} is 76 kg/kmol, NaOH is 40 kg/kmol. Raw material volumetric flow rate: Q_{0}=(735+735)/1.33=1105.26 m^3/h. Initial concentration of ethyl acetate: c_{A0}=735*1000/(76*1105.26)=8.75 mol/L. Initial concentration of sodium hydroxide: c_{B0}=735*1000*1/(40*1105.26)=16.62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v=0.03*1105.26=33.99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</si>
  <si>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1.33. The reaction rate of this reaction as follows r_{A}=k*c_{A}*c_{B}The rate constant of 5.63/mol*h at reaction temperature. The conversion rate is 0.86. Please calculate the residence time and volume of the reactor.&lt;｜Assistant｜&gt;</t>
  </si>
  <si>
    <t>&lt;think&gt;
&lt;/think&gt;
The relative molecular weight of CH_{3}COOC_{2}H_{5} is 76 kg/kmol, NaOH is 40 kg/kmol. Raw material volumetric flow rate: Q_{0}=(887+887)/1.3=1364.62 m^3/h. Initial concentration of ethyl acetate: c_{A0}=887*1000/(76*1364.62)=8.55 mol/L. Initial concentration of sodium hydroxide: c_{B0}=887*1000*1/(40*1364.62)=16.25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v=0.03*1364.62=34.8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</si>
  <si>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1.3. The reaction rate of this reaction as follows r_{A}=k*c_{A}*c_{B}The rate constant of 5.63/mol*h at reaction temperature. The conversion rate is 0.81. Please calculate the residence time and volume of the reactor.&lt;｜Assistant｜&gt;</t>
  </si>
  <si>
    <t>&lt;think&gt;
&lt;/think&gt;
The relative molecular weight of CH_{3}COOC_{2}H_{5} is 76 kg/kmol, NaOH is 40 kg/kmol. Raw material volumetric flow rate: Q_{0}=(341+341)/1.45=470.34 m^3/h. Initial concentration of ethyl acetate: c_{A0}=341*1000/(76*470.34)=9.54 mol/L. Initial concentration of sodium hydroxide: c_{B0}=341*1000*1/(40*470.34)=18.12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v=0.02*470.34=11.19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</si>
  <si>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1.45. The reaction rate of this reaction as follows r_{A}=k*c_{A}*c_{B}The rate constant of 5.63/mol*h at reaction temperature. The conversion rate is 0.82. Please calculate the residence time and volume of the reactor.&lt;｜Assistant｜&gt;</t>
  </si>
  <si>
    <t>&lt;think&gt;
&lt;/think&gt;
The relative molecular weight of CH_{3}COOC_{2}H_{5} is 76 kg/kmol, NaOH is 40 kg/kmol. Raw material volumetric flow rate: Q_{0}=(137+137)/1.55=176.77 m^3/h. Initial concentration of ethyl acetate: c_{A0}=137*1000/(76*176.77)=10.2 mol/L. Initial concentration of sodium hydroxide: c_{B0}=137*1000*1/(40*176.77)=19.38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v=0.02*176.77=3.64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</si>
  <si>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1.55. The reaction rate of this reaction as follows r_{A}=k*c_{A}*c_{B}The rate constant of 5.63/mol*h at reaction temperature. The conversion rate is 0.8. Please calculate the residence time and volume of the reactor.&lt;｜Assistant｜&gt;</t>
  </si>
  <si>
    <t>&lt;think&gt;
&lt;/think&gt;
The relative molecular weight of CH_{3}COOC_{2}H_{5} is 76 kg/kmol, NaOH is 40 kg/kmol. Raw material volumetric flow rate: Q_{0}=(430+430)/1.16=741.38 m^3/h. Initial concentration of ethyl acetate: c_{A0}=430*1000/(76*741.38)=7.63 mol/L. Initial concentration of sodium hydroxide: c_{B0}=430*1000*1/(40*741.38)=14.5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v=0.02*741.38=17.57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</si>
  <si>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1.16. The reaction rate of this reaction as follows r_{A}=k*c_{A}*c_{B}The rate constant of 5.63/mol*h at reaction temperature. The conversion rate is 0.76. Please calculate the residence time and volume of the reactor.&lt;｜Assistant｜&gt;</t>
  </si>
  <si>
    <t>&lt;think&gt;
&lt;/think&gt;
The relative molecular weight of CH_{3}COOC_{2}H_{5} is 76 kg/kmol, NaOH is 40 kg/kmol. Raw material volumetric flow rate: Q_{0}=(283+283)/1.61=351.55 m^3/h. Initial concentration of ethyl acetate: c_{A0}=283*1000/(76*351.55)=10.59 mol/L. Initial concentration of sodium hydroxide: c_{B0}=283*1000*1/(40*351.55)=20.12 mol/L. The concentration of chloroethanol: c_{A}=c_{A0}*(1-x). The concentration of sodium bicarbonate: c_{B}=c_{B0}-c_{A0}*x. Reaction time obtained through integral calculation: t=\int_{0}^{x_{f} } \frac{c_{A0}dx_{A} }{r_{A}}=\int_{0}^{x_{f} } \frac{c_{A0}dx_{A} }{k*c_{A}*c_{B}}=\int_{0}^{x_{f} } \frac{dx_{A} }{k*(1-x_{A})*(c_{B0}-c_{A0}*x_{A})}=0.05 h. Theoretical volume is v=0.05*351.55=18.29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</si>
  <si>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1.61. The reaction rate of this reaction as follows r_{A}=k*c_{A}*c_{B}The rate constant of 5.63/mol*h at reaction temperature. The conversion rate is 0.97. Please calculate the residence time and volume of the reactor.&lt;｜Assistant｜&gt;</t>
  </si>
  <si>
    <t>&lt;think&gt;
&lt;/think&gt;
The relative molecular weight of CH_{3}COOC_{2}H_{5} is 76 kg/kmol, NaOH is 40 kg/kmol. Raw material volumetric flow rate: Q_{0}=(443+443)/1.23=720.33 m^3/h. Initial concentration of ethyl acetate: c_{A0}=443*1000/(76*720.33)=8.09 mol/L. Initial concentration of sodium hydroxide: c_{B0}=443*1000*1/(40*720.33)=15.37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v=0.03*720.33=25.09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</si>
  <si>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1.23. The reaction rate of this reaction as follows r_{A}=k*c_{A}*c_{B}The rate constant of 5.63/mol*h at reaction temperature. The conversion rate is 0.87. Please calculate the residence time and volume of the reactor.&lt;｜Assistant｜&gt;</t>
  </si>
  <si>
    <t>&lt;think&gt;
&lt;/think&gt;
The relative molecular weight of CH_{3}COOC_{2}H_{5} is 76 kg/kmol, NaOH is 40 kg/kmol. Raw material volumetric flow rate: Q_{0}=(569+569)/1.9=598.95 m^3/h. Initial concentration of ethyl acetate: c_{A0}=569*1000/(76*598.95)=12.5 mol/L. Initial concentration of sodium hydroxide: c_{B0}=569*1000*1/(40*598.95)=23.75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v=0.02*598.95=11.33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</si>
  <si>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1.9. The reaction rate of this reaction as follows r_{A}=k*c_{A}*c_{B}The rate constant of 5.63/mol*h at reaction temperature. The conversion rate is 0.83. Please calculate the residence time and volume of the reactor.&lt;｜Assistant｜&gt;</t>
  </si>
  <si>
    <t>&lt;think&gt;
&lt;/think&gt;
The relative molecular weight of CH_{3}COOC_{2}H_{5} is 76 kg/kmol, NaOH is 40 kg/kmol. Raw material volumetric flow rate: Q_{0}=(584+584)/1.37=852.55 m^3/h. Initial concentration of ethyl acetate: c_{A0}=584*1000/(76*852.55)=9.01 mol/L. Initial concentration of sodium hydroxide: c_{B0}=584*1000*1/(40*852.55)=17.13 mol/L. The concentration of chloroethanol: c_{A}=c_{A0}*(1-x). The concentration of sodium bicarbonate: c_{B}=c_{B0}-c_{A0}*x. Reaction time obtained through integral calculation: t=\frac{c_{A0} \cdot x_{f}}{r_{A}}=\frac{c_{A0} \cdot x_{f}}{k \cdot c_{A} \cdot c_{B}}=\frac{x_{f}}{k \cdot (1-x_{A}) \cdot (c_{B0}-c_{A0} \cdot x_{A})}=0.69 h. Theoretical volume is v=0.69*852.55=584.12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</si>
  <si>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1.37. The reaction rate of this reaction as follows r_{A}=k*c_{A}*c_{B}The rate constant of 5.63/mol*h at reaction temperature. The conversion rate is 0.97. Please calculate the residence time and volume of the reactor.&lt;｜Assistant｜&gt;</t>
  </si>
  <si>
    <t>&lt;think&gt;
&lt;/think&gt;
The relative molecular weight of CH_{3}COOC_{2}H_{5} is 76 kg/kmol, NaOH is 40 kg/kmol. Raw material volumetric flow rate: Q_{0}=(640+640)/1.47=870.75 m^3/h. Initial concentration of ethyl acetate: c_{A0}=640*1000/(76*870.75)=9.67 mol/L. Initial concentration of sodium hydroxide: c_{B0}=640*1000*1/(40*870.75)=18.38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v=0.02*870.75=15.71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</si>
  <si>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1.47. The reaction rate of this reaction as follows r_{A}=k*c_{A}*c_{B}The rate constant of 5.63/mol*h at reaction temperature. The conversion rate is 0.75. Please calculate the residence time and volume of the reactor.&lt;｜Assistant｜&gt;</t>
  </si>
  <si>
    <t>&lt;think&gt;
&lt;/think&gt;
The relative molecular weight of CH_{3}COOC_{2}H_{5} is 76 kg/kmol, NaOH is 40 kg/kmol. Raw material volumetric flow rate: Q_{0}=(396+396)/1.16=682.76 m^3/h. Initial concentration of ethyl acetate: c_{A0}=396*1000/(76*682.76)=7.63 mol/L. Initial concentration of sodium hydroxide: c_{B0}=396*1000*1/(40*682.76)=14.5 mol/L. The concentration of chloroethanol: c_{A}=c_{A0}*(1-x). The concentration of sodium bicarbonate: c_{B}=c_{B0}-c_{A0}*x. Reaction time obtained through integral calculation: t=\int_{0}^{x_{f} } \frac{c_{A0}dx_{A} }{r_{A}}=\int_{0}^{x_{f} } \frac{c_{A0}dx_{A} }{k*c_{A}*c_{B}}=\int_{0}^{x_{f} } \frac{dx_{A} }{k*(1-x_{A})*(c_{B0}-c_{A0}*x_{A})}=0.08 h. Theoretical volume is v=0.08*682.76=56.27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</si>
  <si>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1.16. The reaction rate of this reaction as follows r_{A}=k*c_{A}*c_{B}The rate constant of 5.63/mol*h at reaction temperature. The conversion rate is 0.98. Please calculate the residence time and volume of the reactor.&lt;｜Assistant｜&gt;</t>
  </si>
  <si>
    <t>&lt;think&gt;
&lt;/think&gt;
The relative molecular weight of CH_{3}COOC_{2}H_{5} is 76 kg/kmol, NaOH is 40 kg/kmol. Raw material volumetric flow rate: Q_{0}=(118+118)/1.51=156.29 m^3/h. Initial concentration of ethyl acetate: c_{A0}=118*1000/(76*156.29)=9.93 mol/L. Initial concentration of sodium hydroxide: c_{B0}=118*1000*1/(40*156.29)=18.88 mol/L. The concentration of chloroethanol: c_{A}=c_{A0}*(1-x). The concentration of sodium bicarbonate: c_{B}=c_{B0}-c_{A0}*x. Reaction time obtained through integral calculation: t=\frac{c_{A0} \cdot x_{f}}{r_{A}}=\frac{c_{A0} \cdot x_{f}}{k \cdot c_{A} \cdot c_{B}}=\frac{x_{f}}{k \cdot (1-x_{A}) \cdot (c_{B0}-c_{A0} \cdot x_{A})}=0.12 h. Theoretical volume is v=0.12*156.29=18.16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</si>
  <si>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1.51. The reaction rate of this reaction as follows r_{A}=k*c_{A}*c_{B}The rate constant of 5.63/mol*h at reaction temperature. The conversion rate is 0.87. Please calculate the residence time and volume of the reactor.&lt;｜Assistant｜&gt;</t>
  </si>
  <si>
    <t>&lt;think&gt;
&lt;/think&gt;
The relative molecular weight of CH_{3}COOC_{2}H_{5} is 76 kg/kmol, NaOH is 40 kg/kmol. Raw material volumetric flow rate: Q_{0}=(654+654)/1.14=1147.37 m^3/h. Initial concentration of ethyl acetate: c_{A0}=654*1000/(76*1147.37)=7.5 mol/L. Initial concentration of sodium hydroxide: c_{B0}=654*1000*1/(40*1147.37)=14.25 mol/L. The concentration of chloroethanol: c_{A}=c_{A0}*(1-x). The concentration of sodium bicarbonate: c_{B}=c_{B0}-c_{A0}*x. Reaction time obtained through integral calculation: t=\int_{0}^{x_{f} } \frac{c_{A0}dx_{A} }{r_{A}}=\int_{0}^{x_{f} } \frac{c_{A0}dx_{A} }{k*c_{A}*c_{B}}=\int_{0}^{x_{f} } \frac{dx_{A} }{k*(1-x_{A})*(c_{B0}-c_{A0}*x_{A})}=0.04 h. Theoretical volume is v=0.04*1147.37=50.14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</si>
  <si>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BR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1.14. The reaction rate of this reaction as follows r_{A}=k*c_{A}*c_{B}The rate constant of 5.63/mol*h at reaction temperature. The conversion rate is 0.9. Please calculate the residence time and volume of the reactor.&lt;｜Assistant｜&gt;</t>
  </si>
  <si>
    <t>&lt;think&gt;
&lt;/think&gt;
The relative molecular weight of CH_{3}COOC_{2}H_{5} is 76 kg/kmol, NaOH is 40 kg/kmol. Raw material volumetric flow rate: Q_{0}=(154+154)/1.77=174.01 m^3/h. Initial concentration of ethyl acetate: c_{A0}=154*1000/(76*174.01)=11.64 mol/L. Initial concentration of sodium hydroxide: c_{B0}=154*1000*1/(40*174.01)=22.12 mol/L. The concentration of chloroethanol: c_{A}=c_{A0}*(1-x). The concentration of sodium bicarbonate: c_{B}=c_{B0}-c_{A0}*x. Reaction time obtained through integral calculation: t=\frac{c_{A0} \cdot x_{f}}{r_{A}}=\frac{c_{A0} \cdot x_{f}}{k \cdot c_{A} \cdot c_{B}}=\frac{x_{f}}{k \cdot (1-x_{A}) \cdot (c_{B0}-c_{A0} \cdot x_{A})}=0.1 h. Theoretical volume is v=0.1*174.01=17.25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</si>
  <si>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1.77. The reaction rate of this reaction as follows r_{A}=k*c_{A}*c_{B}The rate constant of 5.63/mol*h at reaction temperature. The conversion rate is 0.87. Please calculate the residence time and volume of the reactor.&lt;｜Assistant｜&gt;</t>
  </si>
  <si>
    <t>&lt;think&gt;
&lt;/think&gt;
The relative molecular weight of CH_{3}COOC_{2}H_{5} is 76 kg/kmol, NaOH is 40 kg/kmol. Raw material volumetric flow rate: Q_{0}=(551+551)/1.55=710.97 m^3/h. Initial concentration of ethyl acetate: c_{A0}=551*1000/(76*710.97)=10.2 mol/L. Initial concentration of sodium hydroxide: c_{B0}=551*1000*1/(40*710.97)=19.38 mol/L. The concentration of chloroethanol: c_{A}=c_{A0}*(1-x). The concentration of sodium bicarbonate: c_{B}=c_{B0}-c_{A0}*x. Reaction time obtained through integral calculation: t=\frac{c_{A0} \cdot x_{f}}{r_{A}}=\frac{c_{A0} \cdot x_{f}}{k \cdot c_{A} \cdot c_{B}}=\frac{x_{f}}{k \cdot (1-x_{A}) \cdot (c_{B0}-c_{A0} \cdot x_{A})}=0.11 h. Theoretical volume is v=0.11*710.97=80.46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</si>
  <si>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1.55. The reaction rate of this reaction as follows r_{A}=k*c_{A}*c_{B}The rate constant of 5.63/mol*h at reaction temperature. The conversion rate is 0.87. Please calculate the residence time and volume of the reactor.&lt;｜Assistant｜&gt;</t>
  </si>
  <si>
    <t>&lt;think&gt;
&lt;/think&gt;
The relative molecular weight of CH_{3}COOC_{2}H_{5} is 76 kg/kmol, NaOH is 40 kg/kmol. Raw material volumetric flow rate: Q_{0}=(1000+1000)/1.27=1574.8 m^3/h. Initial concentration of ethyl acetate: c_{A0}=1000*1000/(76*1574.8)=8.36 mol/L. Initial concentration of sodium hydroxide: c_{B0}=1000*1000*1/(40*1574.8)=15.88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v=0.02*1574.8=31.75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</si>
  <si>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PFR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1.27. The reaction rate of this reaction as follows r_{A}=k*c_{A}*c_{B}The rate constant of 5.63/mol*h at reaction temperature. The conversion rate is 0.74. Please calculate the residence time and volume of the reactor.&lt;｜Assistant｜&gt;</t>
  </si>
  <si>
    <t>&lt;think&gt;
&lt;/think&gt;
The relative molecular weight of CH_{3}COOC_{2}H_{5} is 76 kg/kmol, NaOH is 40 kg/kmol. Raw material volumetric flow rate: Q_{0}=(217+217)/1.63=266.26 m^3/h. Initial concentration of ethyl acetate: c_{A0}=217*1000/(76*266.26)=10.72 mol/L. Initial concentration of sodium hydroxide: c_{B0}=217*1000*1/(40*266.26)=20.38 mol/L. The concentration of chloroethanol: c_{A}=c_{A0}*(1-x). The concentration of sodium bicarbonate: c_{B}=c_{B0}-c_{A0}*x. Reaction time obtained through integral calculation: t=\frac{c_{A0} \cdot x_{f}}{r_{A}}=\frac{c_{A0} \cdot x_{f}}{k \cdot c_{A} \cdot c_{B}}=\frac{x_{f}}{k \cdot (1-x_{A}) \cdot (c_{B0}-c_{A0} \cdot x_{A})}=0.06 h. Theoretical volume is v=0.06*266.26=16.04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</si>
  <si>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&lt;｜begin▁of▁sentence｜&gt;&lt;｜User｜&gt;Please calculate the residence time and reactor volume based on the following conditions, and provide recommendations for material selection.
The saponification reaction of ethyl acetate is carried out in CSTR reactor. The reaction equation is $\ce{CH_{3}COOC_{2}H_{5} + NaOH \longrightarrow CH_{3}COONa + C_{2}H_{5}OH}$, which is first-order with respect to both ethyl acetate and sodium hydroxide. The reaction rate equation is $r_{A} = k \cdot c_{A} \cdot c_{B}$, with a rate constant of 5.6 L/(mol·min).The molar ratio of sodium bicarbonate to chloroethanol in the reactor charge is 1, and the specific gravity of the mixture is 1.63. The reaction rate of this reaction as follows r_{A}=k*c_{A}*c_{B}The rate constant of 5.63/mol*h at reaction temperature. The conversion rate is 0.8. Please calculate the residence time and volume of the reactor.&lt;｜Assistant｜&gt;</t>
  </si>
  <si>
    <t>&lt;think&gt;
&lt;/think&gt;
The relative molecular weight of NaHCO_{3} is 84 kg/kmol, CH_{2}ClCH_{2}OH is 80.5 kg/kmol, CH_{2}OHCH_{2}OH is 62 kg/kmol. Hourly production of ethylene glycol: 130/62=2.1kmol/h. Hourly required chloroethanol: 2.1*80.5/(0.76*0.12)=1850.77kg/h. Hourly required sodium bicarbonate: 2.1*84*3.6/(0.76*0.34)=2453.81kg/h. Raw material volumetric flow rate: Q_{0}=(1850.77+2453.81)/1.04=4139.02L/h. Initial concentration of chloroethanol: c_{A0}=2.1*1000/(0.76*4139.02)=0.67mol/L. Initial concentration of sodium bicarbonate: c_{B0}=2.1*1000*3.6/(0.76*4139.02)=2.4mol/L. The concentration of chloroethanol: c_{A}=c_{A0}*(1-x). The concentration of sodium bicarbonate: c_{B}=c_{B0}-c_{A0}*x. Reaction time obtained through integral calculation: t=\int_{0}^{x_{f} } \frac{c_{A0}dx_{A} }{r_{A}}=\int_{0}^{x_{f} } \frac{c_{A0}dx_{A} }{k*c_{A}*c_{B}}=\int_{0}^{x_{f} } \frac{dx_{A} }{k*(1-x_{A})*(c_{B0}-c_{A0}*x_{A})}=0.13 h. Theoretical volume is v=0.13*4139.02=545.49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</si>
  <si>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130kg/h. 0.12 (weight) aqueous NaHCO_{3} solution and 0.34 (weight) CH_{2}ClCH_{2}OH aqueous solution are used as raw materials. The molar ratio of sodium bicarbonate to chloroethanol in the reactor charge is 3.6, and the specific gravity of the mixture is 1.04. The reaction rate of this reaction as follows $r_{A} = k \cdot c_{A} \cdot c_{B}$The rate constant of 5.21/mol*h at reaction temperature. The conversion rate is 0.76. Please calculate the residence time and volume of the reactor.&lt;｜Assistant｜&gt;</t>
  </si>
  <si>
    <t>&lt;think&gt;
&lt;/think&gt;
The relative molecular weight of NaHCO_{3} is 84 kg/kmol, CH_{2}ClCH_{2}OH is 80.5 kg/kmol, CH_{2}OHCH_{2}OH is 62 kg/kmol. Hourly production of ethylene glycol: 453/62=7.31kmol/h. Hourly required chloroethanol: 7.31*80.5/(0.81*0.18)=4034.08kg/h. Hourly required sodium bicarbonate: 7.31*84*3.8/(0.81*0.23)=12518.62kg/h. Raw material volumetric flow rate: Q_{0}=(4034.08+12518.62)/1.57=10543.12L/h. Initial concentration of chloroethanol: c_{A0}=7.31*1000/(0.81*10543.12)=0.86mol/L. Initial concentration of sodium bicarbonate: c_{B0}=7.31*1000*3.8/(0.81*10543.12)=3.25mol/L. The concentration of chloroethanol: c_{A}=c_{A0}*(1-x). The concentration of sodium bicarbonate: c_{B}=c_{B0}-c_{A0}*x. Reaction time obtained through integral calculation: t=\int_{0}^{x_{f} } \frac{c_{A0}dx_{A} }{r_{A}}=\int_{0}^{x_{f} } \frac{c_{A0}dx_{A} }{k*c_{A}*c_{B}}=\int_{0}^{x_{f} } \frac{dx_{A} }{k*(1-x_{A})*(c_{B0}-c_{A0}*x_{A})}=0.11 h. Theoretical volume is v=0.11*10543.12=1200.37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</si>
  <si>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453kg/h. 0.18 (weight) aqueous NaHCO_{3} solution and 0.23 (weight) CH_{2}ClCH_{2}OH aqueous solution are used as raw materials. The molar ratio of sodium bicarbonate to chloroethanol in the reactor charge is 3.8, and the specific gravity of the mixture is 1.57. The reaction rate of this reaction as follows $r_{A} = k \cdot c_{A} \cdot c_{B}$The rate constant of 5.21/mol*h at reaction temperature. The conversion rate is 0.81. Please calculate the residence time and volume of the reactor.&lt;｜Assistant｜&gt;</t>
  </si>
  <si>
    <t>&lt;think&gt;
&lt;/think&gt;
The relative molecular weight of NaHCO_{3} is 84 kg/kmol, CH_{2}ClCH_{2}OH is 80.5 kg/kmol, CH_{2}OHCH_{2}OH is 62 kg/kmol. Hourly production of ethylene glycol: 602/62=9.71kmol/h. Hourly required chloroethanol: 9.71*80.5/(0.87*0.31)=2898.14kg/h. Hourly required sodium bicarbonate: 9.71*84*1.0/(0.87*0.37)=2533.75kg/h. Raw material volumetric flow rate: Q_{0}=(2898.14+2533.75)/1.59=3416.28L/h. Initial concentration of chloroethanol: c_{A0}=9.71*1000/(0.87*3416.28)=3.27mol/L. Initial concentration of sodium bicarbonate: c_{B0}=9.71*1000*1.0/(0.87*3416.28)=3.27mol/L. The concentration of chloroethanol: c_{A}=c_{A0}*(1-x). The concentration of sodium bicarbonate: c_{B}=c_{B0}-c_{A0}*x. Reaction time obtained through integral calculation: t=\int_{0}^{x_{f} } \frac{c_{A0}dx_{A} }{r_{A}}=\int_{0}^{x_{f} } \frac{c_{A0}dx_{A} }{k*c_{A}*c_{B}}=\int_{0}^{x_{f} } \frac{dx_{A} }{k*(1-x_{A})*(c_{B0}-c_{A0}*x_{A})}=0.39 h. Theoretical volume is v=0.39*3416.28=1343.26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</si>
  <si>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602kg/h. 0.31 (weight) aqueous NaHCO_{3} solution and 0.37 (weight) CH_{2}ClCH_{2}OH aqueous solution are used as raw materials. The molar ratio of sodium bicarbonate to chloroethanol in the reactor charge is 1.0, and the specific gravity of the mixture is 1.59. The reaction rate of this reaction as follows $r_{A} = k \cdot c_{A} \cdot c_{B}$The rate constant of 5.21/mol*h at reaction temperature. The conversion rate is 0.87. Please calculate the residence time and volume of the reactor.&lt;｜Assistant｜&gt;</t>
  </si>
  <si>
    <t>&lt;think&gt;
&lt;/think&gt;
The relative molecular weight of NaHCO_{3} is 84 kg/kmol, CH_{2}ClCH_{2}OH is 80.5 kg/kmol, CH_{2}OHCH_{2}OH is 62 kg/kmol. Hourly production of ethylene glycol: 816/62=13.16kmol/h. Hourly required chloroethanol: 13.16*80.5/(0.95*0.4)=2788.12kg/h. Hourly required sodium bicarbonate: 13.16*84*2.9/(0.95*0.45)=7499.63kg/h. Raw material volumetric flow rate: Q_{0}=(2788.12+7499.63)/1.31=7853.24L/h. Initial concentration of chloroethanol: c_{A0}=13.16*1000/(0.95*7853.24)=1.76mol/L. Initial concentration of sodium bicarbonate: c_{B0}=13.16*1000*2.9/(0.95*7853.24)=5.12mol/L. The concentration of chloroethanol: c_{A}=c_{A0}*(1-x). The concentration of sodium bicarbonate: c_{B}=c_{B0}-c_{A0}*x. Reaction time obtained through integral calculation: t=\int_{0}^{x_{f} } \frac{c_{A0}dx_{A} }{r_{A}}=\int_{0}^{x_{f} } \frac{c_{A0}dx_{A} }{k*c_{A}*c_{B}}=\int_{0}^{x_{f} } \frac{dx_{A} }{k*(1-x_{A})*(c_{B0}-c_{A0}*x_{A})}=0.15 h. Theoretical volume is v=0.15*7853.24=1168.73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</si>
  <si>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816kg/h. 0.4 (weight) aqueous NaHCO_{3} solution and 0.45 (weight) CH_{2}ClCH_{2}OH aqueous solution are used as raw materials. The molar ratio of sodium bicarbonate to chloroethanol in the reactor charge is 2.9, and the specific gravity of the mixture is 1.31. The reaction rate of this reaction as follows $r_{A} = k \cdot c_{A} \cdot c_{B}$The rate constant of 5.21/mol*h at reaction temperature. The conversion rate is 0.95. Please calculate the residence time and volume of the reactor.&lt;｜Assistant｜&gt;</t>
  </si>
  <si>
    <t>&lt;think&gt;
&lt;/think&gt;
The relative molecular weight of NaHCO_{3} is 84 kg/kmol, CH_{2}ClCH_{2}OH is 80.5 kg/kmol, CH_{2}OHCH_{2}OH is 62 kg/kmol. Hourly production of ethylene glycol: 464/62=7.48kmol/h. Hourly required chloroethanol: 7.48*80.5/(0.72*0.05)=16734.77kg/h. Hourly required sodium bicarbonate: 7.48*84*3.3/(0.72*0.23)=12527.35kg/h. Raw material volumetric flow rate: Q_{0}=(16734.77+12527.35)/1.41=20753.27L/h. Initial concentration of chloroethanol: c_{A0}=7.48*1000/(0.72*20753.27)=0.5mol/L. Initial concentration of sodium bicarbonate: c_{B0}=7.48*1000*3.3/(0.72*20753.27)=1.65mol/L. The concentration of chloroethanol: c_{A}=c_{A0}*(1-x). The concentration of sodium bicarbonate: c_{B}=c_{B0}-c_{A0}*x. Reaction time obtained through integral calculation: t=\int_{0}^{x_{f} } \frac{c_{A0}dx_{A} }{r_{A}}=\int_{0}^{x_{f} } \frac{c_{A0}dx_{A} }{k*c_{A}*c_{B}}=\int_{0}^{x_{f} } \frac{dx_{A} }{k*(1-x_{A})*(c_{B0}-c_{A0}*x_{A})}=0.17 h. Theoretical volume is v=0.17*20753.27=3550.7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</si>
  <si>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464kg/h. 0.05 (weight) aqueous NaHCO_{3} solution and 0.23 (weight) CH_{2}ClCH_{2}OH aqueous solution are used as raw materials. The molar ratio of sodium bicarbonate to chloroethanol in the reactor charge is 3.3, and the specific gravity of the mixture is 1.41. The reaction rate of this reaction as follows $r_{A} = k \cdot c_{A} \cdot c_{B}$The rate constant of 5.21/mol*h at reaction temperature. The conversion rate is 0.72. Please calculate the residence time and volume of the reactor.&lt;｜Assistant｜&gt;</t>
  </si>
  <si>
    <t>&lt;think&gt;
&lt;/think&gt;
The relative molecular weight of NaHCO_{3} is 84 kg/kmol, CH_{2}ClCH_{2}OH is 80.5 kg/kmol, CH_{2}OHCH_{2}OH is 62 kg/kmol. Hourly production of ethylene glycol: 867/62=13.98kmol/h. Hourly required chloroethanol: 13.98*80.5/(0.85*0.37)=3579.34kg/h. Hourly required sodium bicarbonate: 13.98*84*4.0/(0.85*0.42)=13161.29kg/h. Raw material volumetric flow rate: Q_{0}=(3579.34+13161.29)/1.48=11311.23L/h. Initial concentration of chloroethanol: c_{A0}=13.98*1000/(0.85*11311.23)=1.45mol/L. Initial concentration of sodium bicarbonate: c_{B0}=13.98*1000*4.0/(0.85*11311.23)=5.82mol/L. The concentration of chloroethanol: c_{A}=c_{A0}*(1-x). The concentration of sodium bicarbonate: c_{B}=c_{B0}-c_{A0}*x. Reaction time obtained through integral calculation: t=\int_{0}^{x_{f} } \frac{c_{A0}dx_{A} }{r_{A}}=\int_{0}^{x_{f} } \frac{c_{A0}dx_{A} }{k*c_{A}*c_{B}}=\int_{0}^{x_{f} } \frac{dx_{A} }{k*(1-x_{A})*(c_{B0}-c_{A0}*x_{A})}=0.07 h. Theoretical volume is v=0.07*11311.23=825.08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</si>
  <si>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867kg/h. 0.37 (weight) aqueous NaHCO_{3} solution and 0.42 (weight) CH_{2}ClCH_{2}OH aqueous solution are used as raw materials. The molar ratio of sodium bicarbonate to chloroethanol in the reactor charge is 4.0, and the specific gravity of the mixture is 1.48. The reaction rate of this reaction as follows $r_{A} = k \cdot c_{A} \cdot c_{B}$The rate constant of 5.21/mol*h at reaction temperature. The conversion rate is 0.85. Please calculate the residence time and volume of the reactor.&lt;｜Assistant｜&gt;</t>
  </si>
  <si>
    <t>&lt;think&gt;
&lt;/think&gt;
The relative molecular weight of NaHCO_{3} is 84 kg/kmol, CH_{2}ClCH_{2}OH is 80.5 kg/kmol, CH_{2}OHCH_{2}OH is 62 kg/kmol. Hourly production of ethylene glycol: 447/62=7.21kmol/h. Hourly required chloroethanol: 7.21*80.5/(0.86*0.1)=6748.59kg/h. Hourly required sodium bicarbonate: 7.21*84*1.1/(0.86*0.12)=6455.18kg/h. Raw material volumetric flow rate: Q_{0}=(6748.59+6455.18)/1.93=6841.33L/h. Initial concentration of chloroethanol: c_{A0}=7.21*1000/(0.86*6841.33)=1.23mol/L. Initial concentration of sodium bicarbonate: c_{B0}=7.21*1000*1.1/(0.86*6841.33)=1.35mol/L. The concentration of chloroethanol: c_{A}=c_{A0}*(1-x). The concentration of sodium bicarbonate: c_{B}=c_{B0}-c_{A0}*x. Reaction time obtained through integral calculation: t=\int_{0}^{x_{f} } \frac{c_{A0}dx_{A} }{r_{A}}=\int_{0}^{x_{f} } \frac{c_{A0}dx_{A} }{k*c_{A}*c_{B}}=\int_{0}^{x_{f} } \frac{dx_{A} }{k*(1-x_{A})*(c_{B0}-c_{A0}*x_{A})}=0.69 h. Theoretical volume is v=0.69*6841.33=4754.47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</si>
  <si>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447kg/h. 0.1 (weight) aqueous NaHCO_{3} solution and 0.12 (weight) CH_{2}ClCH_{2}OH aqueous solution are used as raw materials. The molar ratio of sodium bicarbonate to chloroethanol in the reactor charge is 1.1, and the specific gravity of the mixture is 1.93. The reaction rate of this reaction as follows $r_{A} = k \cdot c_{A} \cdot c_{B}$The rate constant of 5.21/mol*h at reaction temperature. The conversion rate is 0.86. Please calculate the residence time and volume of the reactor.&lt;｜Assistant｜&gt;</t>
  </si>
  <si>
    <t>&lt;think&gt;
&lt;/think&gt;
The relative molecular weight of NaHCO_{3} is 84 kg/kmol, CH_{2}ClCH_{2}OH is 80.5 kg/kmol, CH_{2}OHCH_{2}OH is 62 kg/kmol. Hourly production of ethylene glycol: 182/62=2.94kmol/h. Hourly required chloroethanol: 2.94*80.5/(0.7*0.23)=1467.74kg/h. Hourly required sodium bicarbonate: 2.94*84*1.4/(0.7*0.43)=1146.89kg/h. Raw material volumetric flow rate: Q_{0}=(1467.74+1146.89)/1.47=1778.66L/h. Initial concentration of chloroethanol: c_{A0}=2.94*1000/(0.7*1778.66)=2.36mol/L. Initial concentration of sodium bicarbonate: c_{B0}=2.94*1000*1.4/(0.7*1778.66)=3.3mol/L. The concentration of chloroethanol: c_{A}=c_{A0}*(1-x). The concentration of sodium bicarbonate: c_{B}=c_{B0}-c_{A0}*x. Reaction time obtained through integral calculation: t=\int_{0}^{x_{f} } \frac{c_{A0}dx_{A} }{r_{A}}=\int_{0}^{x_{f} } \frac{c_{A0}dx_{A} }{k*c_{A}*c_{B}}=\int_{0}^{x_{f} } \frac{dx_{A} }{k*(1-x_{A})*(c_{B0}-c_{A0}*x_{A})}=0.1 h. Theoretical volume is v=0.1*1778.66=184.92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</si>
  <si>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182kg/h. 0.23 (weight) aqueous NaHCO_{3} solution and 0.43 (weight) CH_{2}ClCH_{2}OH aqueous solution are used as raw materials. The molar ratio of sodium bicarbonate to chloroethanol in the reactor charge is 1.4, and the specific gravity of the mixture is 1.47. The reaction rate of this reaction as follows $r_{A} = k \cdot c_{A} \cdot c_{B}$The rate constant of 5.21/mol*h at reaction temperature. The conversion rate is 0.7. Please calculate the residence time and volume of the reactor.&lt;｜Assistant｜&gt;</t>
  </si>
  <si>
    <t>&lt;think&gt;
&lt;/think&gt;
The relative molecular weight of NaHCO_{3} is 84 kg/kmol, CH_{2}ClCH_{2}OH is 80.5 kg/kmol, CH_{2}OHCH_{2}OH is 62 kg/kmol. Hourly production of ethylene glycol: 115/62=1.85kmol/h. Hourly required chloroethanol: 1.85*80.5/(0.84*0.49)=362.77kg/h. Hourly required sodium bicarbonate: 1.85*84*2.4/(0.84*0.5)=890.32kg/h. Raw material volumetric flow rate: Q_{0}=(362.77+890.32)/1.15=1089.64L/h. Initial concentration of chloroethanol: c_{A0}=1.85*1000/(0.84*1089.64)=2.03mol/L. Initial concentration of sodium bicarbonate: c_{B0}=1.85*1000*2.4/(0.84*1089.64)=4.86mol/L. The concentration of chloroethanol: c_{A}=c_{A0}*(1-x). The concentration of sodium bicarbonate: c_{B}=c_{B0}-c_{A0}*x. Reaction time obtained through integral calculation: t=\int_{0}^{x_{f} } \frac{c_{A0}dx_{A} }{r_{A}}=\int_{0}^{x_{f} } \frac{c_{A0}dx_{A} }{k*c_{A}*c_{B}}=\int_{0}^{x_{f} } \frac{dx_{A} }{k*(1-x_{A})*(c_{B0}-c_{A0}*x_{A})}=0.09 h. Theoretical volume is v=0.09*1089.64=103.34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</si>
  <si>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115kg/h. 0.49 (weight) aqueous NaHCO_{3} solution and 0.5 (weight) CH_{2}ClCH_{2}OH aqueous solution are used as raw materials. The molar ratio of sodium bicarbonate to chloroethanol in the reactor charge is 2.4, and the specific gravity of the mixture is 1.15. The reaction rate of this reaction as follows $r_{A} = k \cdot c_{A} \cdot c_{B}$The rate constant of 5.21/mol*h at reaction temperature. The conversion rate is 0.84. Please calculate the residence time and volume of the reactor.&lt;｜Assistant｜&gt;</t>
  </si>
  <si>
    <t>&lt;think&gt;
&lt;/think&gt;
The relative molecular weight of NaHCO_{3} is 84 kg/kmol, CH_{2}ClCH_{2}OH is 80.5 kg/kmol, CH_{2}OHCH_{2}OH is 62 kg/kmol. Hourly production of ethylene glycol: 782/62=12.61kmol/h. Hourly required chloroethanol: 12.61*80.5/(0.76*0.1)=13359.72kg/h. Hourly required sodium bicarbonate: 12.61*84*1.9/(0.76*0.47)=5635.55kg/h. Raw material volumetric flow rate: Q_{0}=(13359.72+5635.55)/1.91=9945.17L/h. Initial concentration of chloroethanol: c_{A0}=12.61*1000/(0.76*9945.17)=1.67mol/L. Initial concentration of sodium bicarbonate: c_{B0}=12.61*1000*1.9/(0.76*9945.17)=3.17mol/L. The concentration of chloroethanol: c_{A}=c_{A0}*(1-x). The concentration of sodium bicarbonate: c_{B}=c_{B0}-c_{A0}*x. Reaction time obtained through integral calculation: t=\int_{0}^{x_{f} } \frac{c_{A0}dx_{A} }{r_{A}}=\int_{0}^{x_{f} } \frac{c_{A0}dx_{A} }{k*c_{A}*c_{B}}=\int_{0}^{x_{f} } \frac{dx_{A} }{k*(1-x_{A})*(c_{B0}-c_{A0}*x_{A})}=0.12 h. Theoretical volume is v=0.12*9945.17=1164.6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</si>
  <si>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782kg/h. 0.1 (weight) aqueous NaHCO_{3} solution and 0.47 (weight) CH_{2}ClCH_{2}OH aqueous solution are used as raw materials. The molar ratio of sodium bicarbonate to chloroethanol in the reactor charge is 1.9, and the specific gravity of the mixture is 1.91. The reaction rate of this reaction as follows $r_{A} = k \cdot c_{A} \cdot c_{B}$The rate constant of 5.21/mol*h at reaction temperature. The conversion rate is 0.76. Please calculate the residence time and volume of the reactor.&lt;｜Assistant｜&gt;</t>
  </si>
  <si>
    <t>&lt;think&gt;
&lt;/think&gt;
The relative molecular weight of NaHCO_{3} is 84 kg/kmol, CH_{2}ClCH_{2}OH is 80.5 kg/kmol, CH_{2}OHCH_{2}OH is 62 kg/kmol. Hourly production of ethylene glycol: 480/62=7.74kmol/h. Hourly required chloroethanol: 7.74*80.5/(0.9*0.09)=7694.15kg/h. Hourly required sodium bicarbonate: 7.74*84*3.8/(0.9*0.26)=10560.79kg/h. Raw material volumetric flow rate: Q_{0}=(7694.15+10560.79)/1.55=11777.38L/h. Initial concentration of chloroethanol: c_{A0}=7.74*1000/(0.9*11777.38)=0.73mol/L. Initial concentration of sodium bicarbonate: c_{B0}=7.74*1000*3.8/(0.9*11777.38)=2.78mol/L. The concentration of chloroethanol: c_{A}=c_{A0}*(1-x). The concentration of sodium bicarbonate: c_{B}=c_{B0}-c_{A0}*x. Reaction time obtained through integral calculation: t=\int_{0}^{x_{f} } \frac{c_{A0}dx_{A} }{r_{A}}=\int_{0}^{x_{f} } \frac{c_{A0}dx_{A} }{k*c_{A}*c_{B}}=\int_{0}^{x_{f} } \frac{dx_{A} }{k*(1-x_{A})*(c_{B0}-c_{A0}*x_{A})}=0.19 h. Theoretical volume is v=0.19*11777.38=2246.37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</si>
  <si>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480kg/h. 0.09 (weight) aqueous NaHCO_{3} solution and 0.26 (weight) CH_{2}ClCH_{2}OH aqueous solution are used as raw materials. The molar ratio of sodium bicarbonate to chloroethanol in the reactor charge is 3.8, and the specific gravity of the mixture is 1.55. The reaction rate of this reaction as follows $r_{A} = k \cdot c_{A} \cdot c_{B}$The rate constant of 5.21/mol*h at reaction temperature. The conversion rate is 0.9. Please calculate the residence time and volume of the reactor.&lt;｜Assistant｜&gt;</t>
  </si>
  <si>
    <t>&lt;think&gt;
&lt;/think&gt;
The relative molecular weight of NaHCO_{3} is 84 kg/kmol, CH_{2}ClCH_{2}OH is 80.5 kg/kmol, CH_{2}OHCH_{2}OH is 62 kg/kmol. Hourly production of ethylene glycol: 604/62=9.74kmol/h. Hourly required chloroethanol: 9.74*80.5/(0.98*0.26)=3077.81kg/h. Hourly required sodium bicarbonate: 9.74*84*1.8/(0.98*0.36)=4175.12kg/h. Raw material volumetric flow rate: Q_{0}=(3077.81+4175.12)/1.21=5994.15L/h. Initial concentration of chloroethanol: c_{A0}=9.74*1000/(0.98*5994.15)=1.66mol/L. Initial concentration of sodium bicarbonate: c_{B0}=9.74*1000*1.8/(0.98*5994.15)=2.99mol/L. The concentration of chloroethanol: c_{A}=c_{A0}*(1-x). The concentration of sodium bicarbonate: c_{B}=c_{B0}-c_{A0}*x. Reaction time obtained through integral calculation: t=\int_{0}^{x_{f} } \frac{c_{A0}dx_{A} }{r_{A}}=\int_{0}^{x_{f} } \frac{c_{A0}dx_{A} }{k*c_{A}*c_{B}}=\int_{0}^{x_{f} } \frac{dx_{A} }{k*(1-x_{A})*(c_{B0}-c_{A0}*x_{A})}=0.45 h. Theoretical volume is v=0.45*5994.15=2710.62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</si>
  <si>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604kg/h. 0.26 (weight) aqueous NaHCO_{3} solution and 0.36 (weight) CH_{2}ClCH_{2}OH aqueous solution are used as raw materials. The molar ratio of sodium bicarbonate to chloroethanol in the reactor charge is 1.8, and the specific gravity of the mixture is 1.21. The reaction rate of this reaction as follows $r_{A} = k \cdot c_{A} \cdot c_{B}$The rate constant of 5.21/mol*h at reaction temperature. The conversion rate is 0.98. Please calculate the residence time and volume of the reactor.&lt;｜Assistant｜&gt;</t>
  </si>
  <si>
    <t>&lt;think&gt;
&lt;/think&gt;
The relative molecular weight of NaHCO_{3} is 84 kg/kmol, CH_{2}ClCH_{2}OH is 80.5 kg/kmol, CH_{2}OHCH_{2}OH is 62 kg/kmol. Hourly production of ethylene glycol: 441/62=7.11kmol/h. Hourly required chloroethanol: 7.11*80.5/(0.79*0.17)=4263.5kg/h. Hourly required sodium bicarbonate: 7.11*84*1.7/(0.79*0.22)=5844.2kg/h. Raw material volumetric flow rate: Q_{0}=(4263.5+5844.2)/1.32=7657.35L/h. Initial concentration of chloroethanol: c_{A0}=7.11*1000/(0.79*7657.35)=1.18mol/L. Initial concentration of sodium bicarbonate: c_{B0}=7.11*1000*1.7/(0.79*7657.35)=2.0mol/L. The concentration of chloroethanol: c_{A}=c_{A0}*(1-x). The concentration of sodium bicarbonate: c_{B}=c_{B0}-c_{A0}*x. Reaction time obtained through integral calculation: t=\frac{c_{A0}*x_{f}}{r_{A}}=\frac{c_{A0}*x_{f}}{k*c_{A}*c_{B}}=\frac{x_{f}}{k*(1-x_{A})*(c_{B0}-c_{A0}*x_{A})}=0.67 h. Theoretical volume is v=0.67*7657.35=5167.33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</si>
  <si>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441kg/h. 0.17 (weight) aqueous NaHCO_{3} solution and 0.22 (weight) CH_{2}ClCH_{2}OH aqueous solution are used as raw materials. The molar ratio of sodium bicarbonate to chloroethanol in the reactor charge is 1.7, and the specific gravity of the mixture is 1.32. The reaction rate of this reaction as follows $r_{A} = k \cdot c_{A} \cdot c_{B}$The rate constant of 5.21/mol*h at reaction temperature. The conversion rate is 0.79. Please calculate the residence time and volume of the reactor.&lt;｜Assistant｜&gt;</t>
  </si>
  <si>
    <t>&lt;think&gt;
&lt;/think&gt;
The relative molecular weight of NaHCO_{3} is 84 kg/kmol, CH_{2}ClCH_{2}OH is 80.5 kg/kmol, CH_{2}OHCH_{2}OH is 62 kg/kmol. Hourly production of ethylene glycol: 666/62=10.74kmol/h. Hourly required chloroethanol: 10.74*80.5/(0.9*0.15)=6405.38kg/h. Hourly required sodium bicarbonate: 10.74*84*1.4/(0.9*0.24)=5848.39kg/h. Raw material volumetric flow rate: Q_{0}=(6405.38+5848.39)/1.46=8392.99L/h. Initial concentration of chloroethanol: c_{A0}=10.74*1000/(0.9*8392.99)=1.42mol/L. Initial concentration of sodium bicarbonate: c_{B0}=10.74*1000*1.4/(0.9*8392.99)=1.99mol/L. The concentration of chloroethanol: c_{A}=c_{A0}*(1-x). The concentration of sodium bicarbonate: c_{B}=c_{B0}-c_{A0}*x. Reaction time obtained through integral calculation: t=\int_{0}^{x_{f} } \frac{c_{A0}dx_{A} }{r_{A}}=\int_{0}^{x_{f} } \frac{c_{A0}dx_{A} }{k*c_{A}*c_{B}}=\int_{0}^{x_{f} } \frac{dx_{A} }{k*(1-x_{A})*(c_{B0}-c_{A0}*x_{A})}=0.43 h. Theoretical volume is v=0.43*8392.99=3605.06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</si>
  <si>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666kg/h. 0.15 (weight) aqueous NaHCO_{3} solution and 0.24 (weight) CH_{2}ClCH_{2}OH aqueous solution are used as raw materials. The molar ratio of sodium bicarbonate to chloroethanol in the reactor charge is 1.4, and the specific gravity of the mixture is 1.46. The reaction rate of this reaction as follows $r_{A} = k \cdot c_{A} \cdot c_{B}$The rate constant of 5.21/mol*h at reaction temperature. The conversion rate is 0.9. Please calculate the residence time and volume of the reactor.&lt;｜Assistant｜&gt;</t>
  </si>
  <si>
    <t>&lt;think&gt;
&lt;/think&gt;
The relative molecular weight of NaHCO_{3} is 84 kg/kmol, CH_{2}ClCH_{2}OH is 80.5 kg/kmol, CH_{2}OHCH_{2}OH is 62 kg/kmol. Hourly production of ethylene glycol: 751/62=12.11kmol/h. Hourly required chloroethanol: 12.11*80.5/(0.96*0.21)=4836.75kg/h. Hourly required sodium bicarbonate: 12.11*84*2.9/(0.96*0.24)=12806.87kg/h. Raw material volumetric flow rate: Q_{0}=(4836.75+12806.87)/1.59=11096.62L/h. Initial concentration of chloroethanol: c_{A0}=12.11*1000/(0.96*11096.62)=1.14mol/L. Initial concentration of sodium bicarbonate: c_{B0}=12.11*1000*2.9/(0.96*11096.62)=3.3mol/L. The concentration of chloroethanol: c_{A}=c_{A0}*(1-x). The concentration of sodium bicarbonate: c_{B}=c_{B0}-c_{A0}*x. Reaction time obtained through integral calculation: t=\int_{0}^{x_{f} } \frac{c_{A0}dx_{A} }{r_{A}}=\int_{0}^{x_{f} } \frac{c_{A0}dx_{A} }{k*c_{A}*c_{B}}=\int_{0}^{x_{f} } \frac{dx_{A} }{k*(1-x_{A})*(c_{B0}-c_{A0}*x_{A})}=0.25 h. Theoretical volume is v=0.25*11096.62=2777.01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</si>
  <si>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751kg/h. 0.21 (weight) aqueous NaHCO_{3} solution and 0.24 (weight) CH_{2}ClCH_{2}OH aqueous solution are used as raw materials. The molar ratio of sodium bicarbonate to chloroethanol in the reactor charge is 2.9, and the specific gravity of the mixture is 1.59. The reaction rate of this reaction as follows $r_{A} = k \cdot c_{A} \cdot c_{B}$The rate constant of 5.21/mol*h at reaction temperature. The conversion rate is 0.96. Please calculate the residence time and volume of the reactor.&lt;｜Assistant｜&gt;</t>
  </si>
  <si>
    <t>&lt;think&gt;
&lt;/think&gt;
The relative molecular weight of NaHCO_{3} is 84 kg/kmol, CH_{2}ClCH_{2}OH is 80.5 kg/kmol, CH_{2}OHCH_{2}OH is 62 kg/kmol. Hourly production of ethylene glycol: 587/62=9.47kmol/h. Hourly required chloroethanol: 9.47*80.5/(0.71*0.13)=8257.35kg/h. Hourly required sodium bicarbonate: 9.47*84*5.0/(0.71*0.27)=20743.1kg/h. Raw material volumetric flow rate: Q_{0}=(8257.35+20743.1)/1.78=16292.38L/h. Initial concentration of chloroethanol: c_{A0}=9.47*1000/(0.71*16292.38)=0.82mol/L. Initial concentration of sodium bicarbonate: c_{B0}=9.47*1000*5.0/(0.71*16292.38)=4.09mol/L. The concentration of chloroethanol: c_{A}=c_{A0}*(1-x). The concentration of sodium bicarbonate: c_{B}=c_{B0}-c_{A0}*x. Reaction time obtained through integral calculation: t=\int_{0}^{x_{f} } \frac{c_{A0}dx_{A} }{r_{A}}=\int_{0}^{x_{f} } \frac{c_{A0}dx_{A} }{k*c_{A}*c_{B}}=\int_{0}^{x_{f} } \frac{dx_{A} }{k*(1-x_{A})*(c_{B0}-c_{A0}*x_{A})}=0.06 h. Theoretical volume is v=0.06*16292.38=1036.1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</si>
  <si>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587kg/h. 0.13 (weight) aqueous NaHCO_{3} solution and 0.27 (weight) CH_{2}ClCH_{2}OH aqueous solution are used as raw materials. The molar ratio of sodium bicarbonate to chloroethanol in the reactor charge is 5.0, and the specific gravity of the mixture is 1.78. The reaction rate of this reaction as follows $r_{A} = k \cdot c_{A} \cdot c_{B}$The rate constant of 5.21/mol*h at reaction temperature. The conversion rate is 0.71. Please calculate the residence time and volume of the reactor.&lt;｜Assistant｜&gt;</t>
  </si>
  <si>
    <t>&lt;think&gt;
&lt;/think&gt;
The relative molecular weight of NaHCO_{3} is 84 kg/kmol, CH_{2}ClCH_{2}OH is 80.5 kg/kmol, CH_{2}OHCH_{2}OH is 62 kg/kmol. Hourly production of ethylene glycol: 839/62=13.53kmol/h. Hourly required chloroethanol: 13.53*80.5/(0.98*0.08)=13894.73kg/h. Hourly required sodium bicarbonate: 13.53*84*3.1/(0.98*0.26)=13829.67kg/h. Raw material volumetric flow rate: Q_{0}=(13894.73+13829.67)/1.88=14747.02L/h. Initial concentration of chloroethanol: c_{A0}=13.53*1000/(0.98*14747.02)=0.94mol/L. Initial concentration of sodium bicarbonate: c_{B0}=13.53*1000*3.1/(0.98*14747.02)=2.9mol/L. The concentration of chloroethanol: c_{A}=c_{A0}*(1-x). The concentration of sodium bicarbonate: c_{B}=c_{B0}-c_{A0}*x. Reaction time obtained through integral calculation: t=\frac{c_{A0}*x_{f}}{r_{A}}=\frac{c_{A0}*x_{f}}{k*c_{A}*c_{B}}=\frac{x_{f}}{k*(1-x_{A})*(c_{B0}-c_{A0}*x_{A})}=4.74 h. Theoretical volume is v=4.74*14747.02=69869.38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</si>
  <si>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839kg/h. 0.08 (weight) aqueous NaHCO_{3} solution and 0.26 (weight) CH_{2}ClCH_{2}OH aqueous solution are used as raw materials. The molar ratio of sodium bicarbonate to chloroethanol in the reactor charge is 3.1, and the specific gravity of the mixture is 1.88. The reaction rate of this reaction as follows $r_{A} = k \cdot c_{A} \cdot c_{B}$The rate constant of 5.21/mol*h at reaction temperature. The conversion rate is 0.98. Please calculate the residence time and volume of the reactor.&lt;｜Assistant｜&gt;</t>
  </si>
  <si>
    <t>&lt;think&gt;
&lt;/think&gt;
The relative molecular weight of NaHCO_{3} is 84 kg/kmol, CH_{2}ClCH_{2}OH is 80.5 kg/kmol, CH_{2}OHCH_{2}OH is 62 kg/kmol. Hourly production of ethylene glycol: 853/62=13.76kmol/h. Hourly required chloroethanol: 13.76*80.5/(0.96*0.21)=5493.67kg/h. Hourly required sodium bicarbonate: 13.76*84*4.8/(0.96*0.29)=19925.47kg/h. Raw material volumetric flow rate: Q_{0}=(5493.67+19925.47)/1.35=18829.0L/h. Initial concentration of chloroethanol: c_{A0}=13.76*1000/(0.96*18829.0)=0.76mol/L. Initial concentration of sodium bicarbonate: c_{B0}=13.76*1000*4.8/(0.96*18829.0)=3.65mol/L. The concentration of chloroethanol: c_{A}=c_{A0}*(1-x). The concentration of sodium bicarbonate: c_{B}=c_{B0}-c_{A0}*x. Reaction time obtained through integral calculation: t=\int_{0}^{x_{f} } \frac{c_{A0}dx_{A} }{r_{A}}=\int_{0}^{x_{f} } \frac{c_{A0}dx_{A} }{k*c_{A}*c_{B}}=\int_{0}^{x_{f} } \frac{dx_{A} }{k*(1-x_{A})*(c_{B0}-c_{A0}*x_{A})}=0.2 h. Theoretical volume is v=0.2*18829.0=3743.26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</si>
  <si>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853kg/h. 0.21 (weight) aqueous NaHCO_{3} solution and 0.29 (weight) CH_{2}ClCH_{2}OH aqueous solution are used as raw materials. The molar ratio of sodium bicarbonate to chloroethanol in the reactor charge is 4.8, and the specific gravity of the mixture is 1.35. The reaction rate of this reaction as follows $r_{A} = k \cdot c_{A} \cdot c_{B}$The rate constant of 5.21/mol*h at reaction temperature. The conversion rate is 0.96. Please calculate the residence time and volume of the reactor.&lt;｜Assistant｜&gt;</t>
  </si>
  <si>
    <t>&lt;think&gt;
&lt;/think&gt;
The relative molecular weight of NaHCO_{3} is 84 kg/kmol, CH_{2}ClCH_{2}OH is 80.5 kg/kmol, CH_{2}OHCH_{2}OH is 62 kg/kmol. Hourly production of ethylene glycol: 353/62=5.69kmol/h. Hourly required chloroethanol: 5.69*80.5/(0.95*0.13)=3711.18kg/h. Hourly required sodium bicarbonate: 5.69*84*3.9/(0.95*0.22)=8924.43kg/h. Raw material volumetric flow rate: Q_{0}=(3711.18+8924.43)/1.79=7059.0L/h. Initial concentration of chloroethanol: c_{A0}=5.69*1000/(0.95*7059.0)=0.85mol/L. Initial concentration of sodium bicarbonate: c_{B0}=5.69*1000*3.9/(0.95*7059.0)=3.31mol/L. The concentration of chloroethanol: c_{A}=c_{A0}*(1-x). The concentration of sodium bicarbonate: c_{B}=c_{B0}-c_{A0}*x. Reaction time obtained through integral calculation: t=\int_{0}^{x_{f} } \frac{c_{A0}dx_{A} }{r_{A}}=\int_{0}^{x_{f} } \frac{c_{A0}dx_{A} }{k*c_{A}*c_{B}}=\int_{0}^{x_{f} } \frac{dx_{A} }{k*(1-x_{A})*(c_{B0}-c_{A0}*x_{A})}=0.21 h. Theoretical volume is v=0.21*7059.0=1494.9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</si>
  <si>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353kg/h. 0.13 (weight) aqueous NaHCO_{3} solution and 0.22 (weight) CH_{2}ClCH_{2}OH aqueous solution are used as raw materials. The molar ratio of sodium bicarbonate to chloroethanol in the reactor charge is 3.9, and the specific gravity of the mixture is 1.79. The reaction rate of this reaction as follows $r_{A} = k \cdot c_{A} \cdot c_{B}$The rate constant of 5.21/mol*h at reaction temperature. The conversion rate is 0.95. Please calculate the residence time and volume of the reactor.&lt;｜Assistant｜&gt;</t>
  </si>
  <si>
    <t>&lt;think&gt;
&lt;/think&gt;
The relative molecular weight of NaHCO_{3} is 84 kg/kmol, CH_{2}ClCH_{2}OH is 80.5 kg/kmol, CH_{2}OHCH_{2}OH is 62 kg/kmol. Hourly production of ethylene glycol: 651/62=10.5kmol/h. Hourly required chloroethanol: 10.5*80.5/(0.94*0.21)=4281.91kg/h. Hourly required sodium bicarbonate: 10.5*84*3.1/(0.94*0.38)=7654.54kg/h. Raw material volumetric flow rate: Q_{0}=(4281.91+7654.54)/1.97=6059.11L/h. Initial concentration of chloroethanol: c_{A0}=10.5*1000/(0.94*6059.11)=1.84mol/L. Initial concentration of sodium bicarbonate: c_{B0}=10.5*1000*3.1/(0.94*6059.11)=5.71mol/L. The concentration of chloroethanol: c_{A}=c_{A0}*(1-x). The concentration of sodium bicarbonate: c_{B}=c_{B0}-c_{A0}*x. Reaction time obtained through integral calculation: t=\int_{0}^{x_{f} } \frac{c_{A0}dx_{A} }{r_{A}}=\int_{0}^{x_{f} } \frac{c_{A0}dx_{A} }{k*c_{A}*c_{B}}=\int_{0}^{x_{f} } \frac{dx_{A} }{k*(1-x_{A})*(c_{B0}-c_{A0}*x_{A})}=0.12 h. Theoretical volume is v=0.12*6059.11=736.62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</si>
  <si>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651kg/h. 0.21 (weight) aqueous NaHCO_{3} solution and 0.38 (weight) CH_{2}ClCH_{2}OH aqueous solution are used as raw materials. The molar ratio of sodium bicarbonate to chloroethanol in the reactor charge is 3.1, and the specific gravity of the mixture is 1.97. The reaction rate of this reaction as follows $r_{A} = k \cdot c_{A} \cdot c_{B}$The rate constant of 5.21/mol*h at reaction temperature. The conversion rate is 0.94. Please calculate the residence time and volume of the reactor.&lt;｜Assistant｜&gt;</t>
  </si>
  <si>
    <t>&lt;think&gt;
&lt;/think&gt;
The relative molecular weight of NaHCO_{3} is 84 kg/kmol, CH_{2}ClCH_{2}OH is 80.5 kg/kmol, CH_{2}OHCH_{2}OH is 62 kg/kmol. Hourly production of ethylene glycol: 242/62=3.9kmol/h. Hourly required chloroethanol: 3.9*80.5/(0.9*0.25)=1396.49kg/h. Hourly required sodium bicarbonate: 3.9*84*1.5/(0.9*0.33)=1655.91kg/h. Raw material volumetric flow rate: Q_{0}=(1396.49+1655.91)/1.63=1872.64L/h. Initial concentration of chloroethanol: c_{A0}=3.9*1000/(0.9*1872.64)=2.32mol/L. Initial concentration of sodium bicarbonate: c_{B0}=3.9*1000*1.5/(0.9*1872.64)=3.47mol/L. The concentration of chloroethanol: c_{A}=c_{A0}*(1-x). The concentration of sodium bicarbonate: c_{B}=c_{B0}-c_{A0}*x. Reaction time obtained through integral calculation: t=\int_{0}^{x_{f} } \frac{c_{A0}dx_{A} }{r_{A}}=\int_{0}^{x_{f} } \frac{c_{A0}dx_{A} }{k*c_{A}*c_{B}}=\int_{0}^{x_{f} } \frac{dx_{A} }{k*(1-x_{A})*(c_{B0}-c_{A0}*x_{A})}=0.23 h. Theoretical volume is v=0.23*1872.64=430.3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</si>
  <si>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242kg/h. 0.25 (weight) aqueous NaHCO_{3} solution and 0.33 (weight) CH_{2}ClCH_{2}OH aqueous solution are used as raw materials. The molar ratio of sodium bicarbonate to chloroethanol in the reactor charge is 1.5, and the specific gravity of the mixture is 1.63. The reaction rate of this reaction as follows $r_{A} = k \cdot c_{A} \cdot c_{B}$The rate constant of 5.21/mol*h at reaction temperature. The conversion rate is 0.9. Please calculate the residence time and volume of the reactor.&lt;｜Assistant｜&gt;</t>
  </si>
  <si>
    <t>&lt;think&gt;
&lt;/think&gt;
The relative molecular weight of NaHCO_{3} is 84 kg/kmol, CH_{2}ClCH_{2}OH is 80.5 kg/kmol, CH_{2}OHCH_{2}OH is 62 kg/kmol. Hourly production of ethylene glycol: 491/62=7.92kmol/h. Hourly required chloroethanol: 7.92*80.5/(0.89*0.16)=4476.88kg/h. Hourly required sodium bicarbonate: 7.92*84*1.4/(0.89*0.41)=2552.25kg/h. Raw material volumetric flow rate: Q_{0}=(4476.88+2552.25)/1.87=3758.89L/h. Initial concentration of chloroethanol: c_{A0}=7.92*1000/(0.89*3758.89)=2.37mol/L. Initial concentration of sodium bicarbonate: c_{B0}=7.92*1000*1.4/(0.89*3758.89)=3.31mol/L. The concentration of chloroethanol: c_{A}=c_{A0}*(1-x). The concentration of sodium bicarbonate: c_{B}=c_{B0}-c_{A0}*x. Reaction time obtained through integral calculation: t=\int_{0}^{x_{f} } \frac{c_{A0}dx_{A} }{r_{A}}=\int_{0}^{x_{f} } \frac{c_{A0}dx_{A} }{k*c_{A}*c_{B}}=\int_{0}^{x_{f} } \frac{dx_{A} }{k*(1-x_{A})*(c_{B0}-c_{A0}*x_{A})}=0.24 h. Theoretical volume is v=0.24*3758.89=912.4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</si>
  <si>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491kg/h. 0.16 (weight) aqueous NaHCO_{3} solution and 0.41 (weight) CH_{2}ClCH_{2}OH aqueous solution are used as raw materials. The molar ratio of sodium bicarbonate to chloroethanol in the reactor charge is 1.4, and the specific gravity of the mixture is 1.87. The reaction rate of this reaction as follows $r_{A} = k \cdot c_{A} \cdot c_{B}$The rate constant of 5.21/mol*h at reaction temperature. The conversion rate is 0.89. Please calculate the residence time and volume of the reactor.&lt;｜Assistant｜&gt;</t>
  </si>
  <si>
    <t>&lt;think&gt;
&lt;/think&gt;
The relative molecular weight of NaHCO_{3} is 84 kg/kmol, CH_{2}ClCH_{2}OH is 80.5 kg/kmol, CH_{2}OHCH_{2}OH is 62 kg/kmol. Hourly production of ethylene glycol: 792/62=12.77kmol/h. Hourly required chloroethanol: 12.77*80.5/(0.92*0.31)=3605.62kg/h. Hourly required sodium bicarbonate: 12.77*84*2.3/(0.92*0.45)=5961.29kg/h. Raw material volumetric flow rate: Q_{0}=(3605.62+5961.29)/1.8=5314.95L/h. Initial concentration of chloroethanol: c_{A0}=12.77*1000/(0.92*5314.95)=2.61mol/L. Initial concentration of sodium bicarbonate: c_{B0}=12.77*1000*2.3/(0.92*5314.95)=6.01mol/L. The concentration of chloroethanol: c_{A}=c_{A0}*(1-x). The concentration of sodium bicarbonate: c_{B}=c_{B0}-c_{A0}*x. Reaction time obtained through integral calculation: t=\int_{0}^{x_{f} } \frac{c_{A0}dx_{A} }{r_{A}}=\int_{0}^{x_{f} } \frac{c_{A0}dx_{A} }{k*c_{A}*c_{B}}=\int_{0}^{x_{f} } \frac{dx_{A} }{k*(1-x_{A})*(c_{B0}-c_{A0}*x_{A})}=0.11 h. Theoretical volume is v=0.11*5314.95=605.24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</si>
  <si>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792kg/h. 0.31 (weight) aqueous NaHCO_{3} solution and 0.45 (weight) CH_{2}ClCH_{2}OH aqueous solution are used as raw materials. The molar ratio of sodium bicarbonate to chloroethanol in the reactor charge is 2.3, and the specific gravity of the mixture is 1.8. The reaction rate of this reaction as follows $r_{A} = k \cdot c_{A} \cdot c_{B}$The rate constant of 5.21/mol*h at reaction temperature. The conversion rate is 0.92. Please calculate the residence time and volume of the reactor.&lt;｜Assistant｜&gt;</t>
  </si>
  <si>
    <t>&lt;think&gt;
&lt;/think&gt;
The relative molecular weight of NaHCO_{3} is 84 kg/kmol, CH_{2}ClCH_{2}OH is 80.5 kg/kmol, CH_{2}OHCH_{2}OH is 62 kg/kmol. Hourly production of ethylene glycol: 411/62=6.63kmol/h. Hourly required chloroethanol: 6.63*80.5/(0.74*0.15)=4807.54kg/h. Hourly required sodium bicarbonate: 6.63*84*2.6/(0.74*0.45)=4347.69kg/h. Raw material volumetric flow rate: Q_{0}=(4807.54+4347.69)/1.32=6935.78L/h. Initial concentration of chloroethanol: c_{A0}=6.63*1000/(0.74*6935.78)=1.29mol/L. Initial concentration of sodium bicarbonate: c_{B0}=6.63*1000*2.6/(0.74*6935.78)=3.36mol/L. The concentration of chloroethanol: c_{A}=c_{A0}*(1-x). The concentration of sodium bicarbonate: c_{B}=c_{B0}-c_{A0}*x. Reaction time obtained through integral calculation: t=\int_{0}^{x_{f} } \frac{c_{A0}dx_{A} }{r_{A}}=\int_{0}^{x_{f} } \frac{c_{A0}dx_{A} }{k*c_{A}*c_{B}}=\int_{0}^{x_{f} } \frac{dx_{A} }{k*(1-x_{A})*(c_{B0}-c_{A0}*x_{A})}=0.09 h. Theoretical volume is v=0.09*6935.78=652.01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</si>
  <si>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411kg/h. 0.15 (weight) aqueous NaHCO_{3} solution and 0.45 (weight) CH_{2}ClCH_{2}OH aqueous solution are used as raw materials. The molar ratio of sodium bicarbonate to chloroethanol in the reactor charge is 2.6, and the specific gravity of the mixture is 1.32. The reaction rate of this reaction as follows $r_{A} = k \cdot c_{A} \cdot c_{B}$The rate constant of 5.21/mol*h at reaction temperature. The conversion rate is 0.74. Please calculate the residence time and volume of the reactor.&lt;｜Assistant｜&gt;</t>
  </si>
  <si>
    <t>&lt;think&gt;
&lt;/think&gt;
The relative molecular weight of NaHCO_{3} is 84 kg/kmol, CH_{2}ClCH_{2}OH is 80.5 kg/kmol, CH_{2}OHCH_{2}OH is 62 kg/kmol. Hourly production of ethylene glycol: 776/62=12.52kmol/h. Hourly required chloroethanol: 12.52*80.5/(0.92*0.23)=4761.57kg/h. Hourly required sodium bicarbonate: 12.52*84*4.9/(0.92*0.33)=16968.51kg/h. Raw material volumetric flow rate: Q_{0}=(4761.57+16968.51)/1.33=16338.4L/h. Initial concentration of chloroethanol: c_{A0}=12.52*1000/(0.92*16338.4)=0.83mol/L. Initial concentration of sodium bicarbonate: c_{B0}=12.52*1000*4.9/(0.92*16338.4)=4.08mol/L. The concentration of chloroethanol: c_{A}=c_{A0}*(1-x). The concentration of sodium bicarbonate: c_{B}=c_{B0}-c_{A0}*x. Reaction time obtained through integral calculation: t=\int_{0}^{x_{f} } \frac{c_{A0}dx_{A} }{r_{A}}=\int_{0}^{x_{f} } \frac{c_{A0}dx_{A} }{k*c_{A}*c_{B}}=\int_{0}^{x_{f} } \frac{dx_{A} }{k*(1-x_{A})*(c_{B0}-c_{A0}*x_{A})}=0.14 h. Theoretical volume is v=0.14*16338.4=2238.24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</si>
  <si>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776kg/h. 0.23 (weight) aqueous NaHCO_{3} solution and 0.33 (weight) CH_{2}ClCH_{2}OH aqueous solution are used as raw materials. The molar ratio of sodium bicarbonate to chloroethanol in the reactor charge is 4.9, and the specific gravity of the mixture is 1.33. The reaction rate of this reaction as follows $r_{A} = k \cdot c_{A} \cdot c_{B}$The rate constant of 5.21/mol*h at reaction temperature. The conversion rate is 0.92. Please calculate the residence time and volume of the reactor.&lt;｜Assistant｜&gt;</t>
  </si>
  <si>
    <t>&lt;think&gt;
&lt;/think&gt;
The relative molecular weight of NaHCO_{3} is 84 kg/kmol, CH_{2}ClCH_{2}OH is 80.5 kg/kmol, CH_{2}OHCH_{2}OH is 62 kg/kmol. Hourly production of ethylene glycol: 384/62=6.19kmol/h. Hourly required chloroethanol: 6.19*80.5/(0.84*0.44)=1348.97kg/h. Hourly required sodium bicarbonate: 6.19*84*4.6/(0.84*0.47)=6061.77kg/h. Raw material volumetric flow rate: Q_{0}=(1348.97+6061.77)/1.37=5409.3L/h. Initial concentration of chloroethanol: c_{A0}=6.19*1000/(0.84*5409.3)=1.36mol/L. Initial concentration of sodium bicarbonate: c_{B0}=6.19*1000*4.6/(0.84*5409.3)=6.27mol/L. The concentration of chloroethanol: c_{A}=c_{A0}*(1-x). The concentration of sodium bicarbonate: c_{B}=c_{B0}-c_{A0}*x. Reaction time obtained through integral calculation: t=\frac{c_{A0}*x_{f}}{r_{A}}=\frac{c_{A0}*x_{f}}{k*c_{A}*c_{B}}=\frac{x_{f}}{k*(1-x_{A})*(c_{B0}-c_{A0}*x_{A})}=0.2 h. Theoretical volume is v=0.2*5409.3=1063.55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</si>
  <si>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384kg/h. 0.44 (weight) aqueous NaHCO_{3} solution and 0.47 (weight) CH_{2}ClCH_{2}OH aqueous solution are used as raw materials. The molar ratio of sodium bicarbonate to chloroethanol in the reactor charge is 4.6, and the specific gravity of the mixture is 1.37. The reaction rate of this reaction as follows $r_{A} = k \cdot c_{A} \cdot c_{B}$The rate constant of 5.21/mol*h at reaction temperature. The conversion rate is 0.84. Please calculate the residence time and volume of the reactor.&lt;｜Assistant｜&gt;</t>
  </si>
  <si>
    <t>&lt;｜begin▁of▁sentence｜&gt;&lt;｜User｜&gt;Please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332kg/h. 0.09 (weight) aqueous NaHCO_{3} solution and 0.24 (weight) CH_{2}ClCH_{2}OH aqueous solution are used as raw materials. The molar ratio of sodium bicarbonate to chloroethanol in the reactor charge is 2.7, and the specific gravity of the mixture is 1.96. The reaction rate of this reaction as follows $r_{A} = k \cdot c_{A} \cdot c_{B}$The rate constant of 5.21/mol*h at reaction temperature. The conversion rate is 0.73. Please calculate the residence time and volume of the reactor.&lt;｜Assistant｜&gt;</t>
  </si>
  <si>
    <t>&lt;think&gt;
&lt;/think&gt;
The relative molecular weight of NaHCO_{3} is 84 kg/kmol, CH_{2}ClCH_{2}OH is 80.5 kg/kmol, CH_{2}OHCH_{2}OH is 62 kg/kmol. Hourly production of ethylene glycol: 848/62=13.68kmol/h. Hourly required chloroethanol: 13.68*80.5/(0.87*0.22)=5752.52kg/h. Hourly required sodium bicarbonate: 13.68*84*4.4/(0.87*0.4)=14526.36kg/h. Raw material volumetric flow rate: Q_{0}=(5752.52+14526.36)/1.45=13985.44L/h. Initial concentration of chloroethanol: c_{A0}=13.68*1000/(0.87*13985.44)=1.12mol/L. Initial concentration of sodium bicarbonate: c_{B0}=13.68*1000*4.4/(0.87*13985.44)=4.95mol/L. The concentration of chloroethanol: c_{A}=c_{A0}*(1-x). The concentration of sodium bicarbonate: c_{B}=c_{B0}-c_{A0}*x. Reaction time obtained through integral calculation: t=\int_{0}^{x_{f} } \frac{c_{A0}dx_{A} }{r_{A}}=\int_{0}^{x_{f} } \frac{c_{A0}dx_{A} }{k*c_{A}*c_{B}}=\int_{0}^{x_{f} } \frac{dx_{A} }{k*(1-x_{A})*(c_{B0}-c_{A0}*x_{A})}=0.09 h. Theoretical volume is v=0.09*13985.44=1278.21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</si>
  <si>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848kg/h. 0.22 (weight) aqueous NaHCO_{3} solution and 0.4 (weight) CH_{2}ClCH_{2}OH aqueous solution are used as raw materials. The molar ratio of sodium bicarbonate to chloroethanol in the reactor charge is 4.4, and the specific gravity of the mixture is 1.45. The reaction rate of this reaction as follows $r_{A} = k \cdot c_{A} \cdot c_{B}$The rate constant of 5.21/mol*h at reaction temperature. The conversion rate is 0.87. Please calculate the residence time and volume of the reactor.&lt;｜Assistant｜&gt;</t>
  </si>
  <si>
    <t>&lt;think&gt;
&lt;/think&gt;
The relative molecular weight of NaHCO_{3} is 84 kg/kmol, CH_{2}ClCH_{2}OH is 80.5 kg/kmol, CH_{2}OHCH_{2}OH is 62 kg/kmol. Hourly production of ethylene glycol: 597/62=9.63kmol/h. Hourly required chloroethanol: 9.63*80.5/(0.84*0.09)=10253.14kg/h. Hourly required sodium bicarbonate: 9.63*84*3.0/(0.84*0.16)=18054.44kg/h. Raw material volumetric flow rate: Q_{0}=(10253.14+18054.44)/1.35=20968.57L/h. Initial concentration of chloroethanol: c_{A0}=9.63*1000/(0.84*20968.57)=0.55mol/L. Initial concentration of sodium bicarbonate: c_{B0}=9.63*1000*3.0/(0.84*20968.57)=1.64mol/L. The concentration of chloroethanol: c_{A}=c_{A0}*(1-x). The concentration of sodium bicarbonate: c_{B}=c_{B0}-c_{A0}*x. Reaction time obtained through integral calculation: t=\int_{0}^{x_{f} } \frac{c_{A0}dx_{A} }{r_{A}}=\int_{0}^{x_{f} } \frac{c_{A0}dx_{A} }{k*c_{A}*c_{B}}=\int_{0}^{x_{f} } \frac{dx_{A} }{k*(1-x_{A})*(c_{B0}-c_{A0}*x_{A})}=0.26 h. Theoretical volume is v=0.26*20968.57=5536.52 l.After comprehensively considering various factors in the reaction process, the operating temperatures remain moderate with no presence of highly corrosive substances. Given the cost considerations, we recommend using carbon steel as the reactor material.</t>
  </si>
  <si>
    <t>&lt;｜begin▁of▁sentence｜&gt;&lt;｜User｜&gt;Please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597kg/h. 0.09 (weight) aqueous NaHCO_{3} solution and 0.16 (weight) CH_{2}ClCH_{2}OH aqueous solution are used as raw materials. The molar ratio of sodium bicarbonate to chloroethanol in the reactor charge is 3.0, and the specific gravity of the mixture is 1.35. The reaction rate of this reaction as follows $r_{A} = k \cdot c_{A} \cdot c_{B}$The rate constant of 5.21/mol*h at reaction temperature. The conversion rate is 0.84. Please calculate the residence time and volume of the reactor.&lt;｜Assistant｜&gt;</t>
  </si>
  <si>
    <t>&lt;｜begin▁of▁sentence｜&gt;&lt;｜User｜&gt;Please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300kg/h. 0.25 (weight) aqueous NaHCO_{3} solution and 0.47 (weight) CH_{2}ClCH_{2}OH aqueous solution are used as raw materials. The molar ratio of sodium bicarbonate to chloroethanol in the reactor charge is 2.1, and the specific gravity of the mixture is 1.63. The reaction rate of this reaction as follows $r_{A} = k \cdot c_{A} \cdot c_{B}$The rate constant of 5.21/mol*h at reaction temperature. The conversion rate is 0.8. Please calculate the residence time and volume of the reactor.&lt;｜Assistant｜&gt;</t>
  </si>
  <si>
    <t>真实反应训练结果</t>
    <phoneticPr fontId="1" type="noConversion"/>
  </si>
  <si>
    <t>4.2.1节训练结果及时间</t>
    <phoneticPr fontId="1" type="noConversion"/>
  </si>
  <si>
    <t>The molar mass of acetic acid is 60 kg/kmol, ethanol is 46 kg/kmol, and ethyl acetate is 88 kg/kmol. The molar flow rate of ethyl acetate required per hour is n_product = 930/88 = 10.57 kmol/h. According to the chemical reaction equation, the mass flow rate of acetic acid required per hour is m_A = 10.57*60 = 634.09 kg/h. The mass flow rate of ethanol required per hour is m_B = 10.57*46 = 486.14 kg/h. The total volumetric feed flow rate is q_raw = (634.09+486.14)*1000/1.07 = 1041.17 L/h. The initial concentration of acetic acid is c_{A0} = 634.09*1000/(60*1041.17) = 10.0 mol/L. The initial concentration of ethanol is c_{B0} = 486.14*1000/(46*1041.17) = 10.0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x)}=26.19 h. Theoretical volume is v=26.19*1041.17=27294.62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</si>
  <si>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431/88 = 4.91 kmol/h. According to the chemical reaction equation, the mass flow rate of acetic acid required per hour is m_A = 4.91*60 = 294.55 kg/h. The mass flow rate of ethanol required per hour is m_B = 4.91*46 = 226.23 kg/h. The total volumetric feed flow rate is q_raw = (294.55+226.23)*1000/0.85 = 618.4 L/h. The initial concentration of acetic acid is c_{A0} = 294.55*1000/(60*618.4) = 7.83 mol/L. The initial concentration of ethanol is c_{B0} = 226.23*1000/(46*618.4) = 7.83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}{k1*(1-x_{A})*(c_{B0}-c_{A0}*x_{A})-\frac{c_{A0}*x_{A}*x_{A}}{kc}}=91.68 h. Theoretical volume is v=91.68*618.4=56566.56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</si>
  <si>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886/88 = 10.07 kmol/h. According to the chemical reaction equation, the mass flow rate of acetic acid required per hour is m_A = 10.07*60 = 604.09 kg/h. The mass flow rate of ethanol required per hour is m_B = 10.07*46 = 463.54 kg/h. The total volumetric feed flow rate is q_raw = (604.09+463.54)*1000/0.95 = 1100.11 L/h. The initial concentration of acetic acid is c_{A0} = 604.09*1000/(60*1100.11) = 9.03 mol/L. The initial concentration of ethanol is c_{B0} = 463.54*1000/(46*1100.11) = 9.03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}{k1*(1-x_{A})*(c_{B0}-c_{A0}*x_{A})-\frac{c_{A0}*x_{A}*x_{A}}{kc}}=122.41 h. Theoretical volume is v=122.41*1100.11=135436.Choose the best option to complete the sentence: ________ is the core of human resources management. A. Performance appraisal B. Employee recruitment C. Performance improvement D. Talent development</t>
  </si>
  <si>
    <t>The molar mass of acetic acid is 60 kg/kmol, ethanol is 46 kg/kmol, and ethyl acetate is 88 kg/kmol. The molar flow rate of ethyl acetate required per hour is n_product = 755/88 = 8.58 kmol/h. According to the chemical reaction equation, the mass flow rate of acetic acid required per hour is m_A = 8.58*60 = 514.77 kg/h. The mass flow rate of ethanol required per hour is m_B = 8.58*46 = 393.36 kg/h. The total volumetric feed flow rate is q_raw = (514.77+393.36)*1000/1.01 = 861.67 L/h. The initial concentration of acetic acid is c_{A0} = 514.77*1000/(60*861.67) = 10.09 mol/L. The initial concentration of ethanol is c_{B0} = 393.36*1000/(46*861.67) = 10.09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}{k1*(1-x_{A})*(c_{B0}-c_{A0}*x_{A})-\frac{c_{A0}*x_{A}*x_{A}}{kc}}=141.1 h. Theoretical volume is v=141.1*861.67=120088.36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</si>
  <si>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184/88 = 2.1 kmol/h. According to the chemical reaction equation, the mass flow rate of acetic acid required per hour is m_A = 2.1*60 = 126.14 kg/h. The mass flow rate of ethanol required per hour is m_B = 2.1*46 = 96.7 kg/h. The total volumetric feed flow rate is q_raw = (126.14+96.7)*1000/1.0 = 222.87 L/h. The initial concentration of acetic acid is c_{A0} = 126.14*1000/(60*222.87) = 9.43 mol/L. The initial concentration of ethanol is c_{B0} = 96.7*1000/(46*222.87) = 9.43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}{k1*(1-x_{A})*(c_{B0}-c_{A0}*x_{A})-\frac{c_{A0}*x_{A}*x_{A}}{kc}}=126.69 h. Theoretical volume is v=126.69*222.87=28111.92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</si>
  <si>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315/88 = 3.56 kmol/h. According to the chemical reaction equation, the mass flow rate of acetic acid required per hour is m_A = 3.56*60 = 213.41 kg/h. The mass flow rate of ethanol required per hour is m_B = 3.56*46 = 164. idle. The total volumetric feed flow rate is q_raw = (213.41+164)*1000/0.86 = 435.29 L/h. The initial concentration of acetic acid is c_{A0} = 213.41*1000/(60*435.29) = 8.21 mol/L. The initial concentration of ethanol is c_{B0} = 164*1000/(46*435.29) = 8.21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}{k1*(1-x_{A})*(c_{B0}-c_{A0}*x_{A})-\frac{c_{A0}*x_{A}*x_{A}}{kc}}=106.97 h. Theoretical volume is v=106.97*435.29=46666.67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</si>
  <si>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344/88 = 3.91 kmol/h. According to the chemical reaction equation, the mass flow rate of acetic acid required per hour is m_A = 3.91*60 = 234.55 kg/h. The mass flow rate of ethanol required per hour is m_B = 3.91*46 = 179.82 kg/h. The total volumetric feed flow rate is q_raw = (234.55+179.82)*1000/1.05 = 392.45 L/h. The initial concentration of acetic acid is c_{A0} = 234.55*1000/(60*392.45) = 10.09 mol/L. The initial concentration of ethanol is c_{B0} = 179.82*1000/(46*392.45) = 10.09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x)}=28.17 h. Theoretical volume is v=28.17*392.45=11013.47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</si>
  <si>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264/88 = 2.97 kmol/h. According to the chemical reaction equation, the mass flow rate of acetic acid required per hour is m_A = 2.97*60 = 178.09 kg/h. The mass flow rate of ethanol required per hour is m_B = 2.97*46 = 136.54 kg/h. The total volumetric feed flow rate is q_raw = (178.09+136.54)*1000/0.95 = 330.03 L/h. The initial concentration of acetic acid is c_{A0} = 178.09*1000/(60*330.03) = 9.15 mol/L. The initial concentration of ethanol is c_{B0} = 136.54*1000/(46*330.03) = 9.15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}{k1*(1-x_{A})*(c_{B0}-c_{A0}*x_{A})-\frac{c_{A0}*x_{A}*x_{A}}{kc}}=124.53 h. Theoretical volume is v=124.53*330.03=41113.31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</si>
  <si>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206/88 = 2.34 kmol/h. According to the chemical reaction equation, the mass flow rate of acetic acid required per hour is m_A = 2.34*60 = 140.45 kg/h. The mass flow rate of ethanol required per hour is m_B = 2.34*46 = 107.27 kg/h. The total volumetric feed flow rate is q_raw = (140.45+107.27)*1000/0.93 = 259.63 L/h. The initial concentration of acetic acid is c_{A0} = 140.45*1000/(60*259.63) = 9.06 mol/L. The initial concentration of ethanol is c_{B0} = 107.27*1000/(46*259.63) = 9.06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}{k1*(1-x_{A})*(c_{B0}-c_{A0}*x_{A})-\frac{c_{A0}*x_{A}*x_{A}}{kc}}=111.79 h. Theoretical volume is v=111.79*259.63=29217.42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</si>
  <si>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782/88 = 8.89 kmol/h. According to the chemical reaction equation, the mass flow rate of acetic acid required per hour is m_A = 8.89*60 = 533.36 kg/h. The mass flow rate of ethanol required per hour is m_B = 8.89*46 = 407.18 kg/h. The total volumetric feed flow rate is q_raw = (533.36+407.18)*1000/0.84 = 1091.13 L/h. The initial concentration of acetic acid is c_{A0} = 533.36*1000/(60*1091.13) = 8.11 mol/L. The initial concentration of ethanol is c_{B0} = 407.18*1000/(46*1091.13) = 8.11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x)}=0.1 h. Theoretical volume is v=0.1*1091.13=109.13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</si>
  <si>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345/88 = 3.92 kmol/h. According to the chemical reaction equation, the mass flow rate of acetic acid required per hour is m_A = 3.92*60 = 235.23 kg/h. The mass flow rate of ethanol required per hour is m_B = 3.92*46 = 180.34 kg/h. The total volumetric feed flow rate is q_raw = (235.23+180.34)*1000/0.81 = 501.91 L/h. The initial concentration of acetic acid is c_{A0} = 235.23*1000/(60*501.91) = 7.83 mol/L. The initial concentration of ethanol is c_{B0} = 180.34*1000/(46*501.91) = 7.83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}{k1*(1-x_{A})*(c_{B0}-c_{A0}*x_{A})-\frac{c_{A0}*x_{A}*x_{A}}{kc}}=100.72 h. Theoretical volume is v=100.72*501.91=50613.27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</si>
  <si>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782/88 = 8.89 kmol/h. According to the chemical reaction equation, the mass flow rate of acetic acid required per hour is m_A = 8.89*60 = 533.36 kg/h. The mass flow rate of ethanol required per hour is m_B = 8.89*46 = 407.18 kg/h. The total volumetric feed flow rate is q_raw = (533.36+407.18)*1000/1.18 = 794.19 L/h. The initial concentration of acetic acid is c_{A0} = 533.36*1000/(60*794.19) = 11.13 mol/L. The initial concentration of ethanol is c_{B0} = 407.18*1000/(46*794.19) = 11.13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x)}=0.13 h. Theoretical volume is v=0.13*794.19=103.11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</si>
  <si>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172/88 = 1.95 kmol/h. According to the chemical reaction equation, the mass flow rate of acetic acid required per hour is m_A = 1.95*60 = 117.27 kg/h. The mass flow rate of ethanol required per hour is m_B = 1.95*46 = 89.91 kg/h. The total volumetric feed flow rate is q_raw = (117.27+89.91)*1000/0.93 = 228.4L/h. The initial concentration of acetic acid is c_{A0} = 117.27*1000/(60*228.4) = 8.58 mol/L. The initial concentration of ethanol is c_{B0} = 89.91*1000/(46*228.4) = 8.58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}{k1*(1-x_{A})*(c_{B0}-c_{A0}*x_{A})-\frac{c_{A0}*x_{A}*x_{A}}{kc}}=109.06 h. Theoretical volume is v=109.06*228.4=24711.34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</si>
  <si>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633/88 = 7.19 kmol/h. According to the chemical reaction equation, the mass flow rate of acetic acid required per hour is m_A = 7.19*60 = 431.59 kg/h. The mass flow rate of ethanol required per hour is m_B = 7.19*46 = 330.89 kg/h. The total volumetric feed flow rate is q_raw = (431.59+330.89)*1000/0.91 = 868.64 L/h. The initial concentration of acetic acid is c_{A0} = 431.59*1000/(60*868.64) = 8.11 mol/L. The initial concentration of ethanol is c_{B0} = 330.89*1000/(46*868.64) = 8.11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}{k1*(1-x_{A})*(c_{B0}-c_{A0}*x_{A})-\frac{c_{A0}*x_{A}*x_{A}}{kc}}=112.39 h. Theoretical volume is v=112.39*868.64=97104.15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</si>
  <si>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529/88 = 6.03 kmol/h. According to the chemical reaction equation, the mass flow rate of acetic acid required per hour is m_A = 6.03*60 = 362.05 kg/h. The mass flow rate of ethanol required per hour is m_B = 6.03*46 = 277.57 kg/h. The total volumetric feed flow rate is q_raw = (362.05+277.57)*1000/1.04 = 620.18 L/h. The initial concentration of acetic acid is c_{A0} = 362.05*1000/(60*620.18) = 9.62 mol/L. The initial concentration of ethanol is c_{B0} = 277.57*1000/(46*620.18) = 9.62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x)}=50.42 h. Theoretical volume is v=50.42*620.18=31482.28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</si>
  <si>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169/88 = 1.91 kmol/h. According to the chemical reaction equation, the mass flow rate of acetic acid required per hour is m_A = 1.91*60 = 114.55 kg/h. The mass flow rate of ethanol required per hour is m_B = 1.91*46 = 87.82 kg/h. The total volumetric feed flow rate is q_raw = (114.55+87.82)*1000/1.01 = 201.34 L/h. The initial concentration of acetic acid is c_{A0} = 114.55*1000/(60*201.34) = 9.53 mol/L. The initial concentration of ethanol is c_{B0} = 87.82*1000/(46*201.34) = 9.53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}{k1*(1-x_{A})*(c_{B0}-c_{A0}*x_{A})-\frac{c_{A0}*x_{A}*x_{A}}{kc}}=129.17 h. Theoretical volume is v=129.17*201.34=26135.49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</si>
  <si>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128/88 = 1.45 kmol/h. According to the chemical reaction equation, the mass flow rate of acetic acid required per hour is m_A = 1.45*60 = 87.27 kg/h. The mass flow rate of ethanol required per hour is m_B = 1.45*46 = 66.5 kg/h. The total volumetric feed flow rate is q_raw = (87.27+66.5)*1000/1.15 = 131.81 L/h. The initial concentration of acetic acid is c_{A0} = 87.27*1000/(60*131.81) = 11.04 mol/L. The initial concentration of ethanol is c_{B0} = 66.5*1000/(46*131.81) = 11.04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}{k1*(1-x_{A})*(c_{B0}-c_{A0}*x_{A})-\frac{c_{A0}*x_{A}*x_{A}}{kc}}=149.75 h. Theoretical volume is v=149.75*131.81=19557.27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</si>
  <si>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637/88 = 7.23 kmol/h. According to the chemical reaction equation, the mass flow rate of acetic acid required per hour is m_A = 7.23*60 = 433.64 kg/h. The mass flow rate of ethanol required per hour is m_B = 7.23*46 = 332.57 kg/h. The total volumetric feed flow rate is q_raw = (433.64+332.57)*1000/0.8 = 992.23 L/h. The initial concentration of acetic acid is c_{A0} = 433.64*1000/(60*992.23) = 7.45 mol/L. The initial concentration of ethanol is c_{B0} = 332.57*1000/(46*992.23) = 7.45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x)}=3.09 h. Theoretical volume is v=3.09*992.23=3063.44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</si>
  <si>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494/88 = 5.61 kmol/h. According to the chemical reaction equation, the mass flow rate of acetic acid required per hour is m_A = 5.61*60 = 336.82 kg/h. The mass flow rate of ethanol required per hour is m_B = 5.61*46 = 257.82 kg/h. The total volumetric feed flow rate is q_raw = (336.82+257.82)*1000/0.85 = 694.17 L/h. The initial concentration of acetic acid is c_{A0} = 336.82*1000/(60*694.17) = 8.21 mol/L. The initial concentration of ethanol is c_{B0} = 257.82*1000/(46*694.17) = 8.21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x)}=35.38 h. Theoretical volume is v=35.38*694.17=24561.66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</si>
  <si>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108/88 = 1.23 kmol/h. According to the chemical reaction equation, the mass flow rate of acetic acid required per hour is m_A = 1.23*60 = 73.77 kg/h. The mass flow rate of ethanol required per hour is m_B = 1.23*46 = 56.26 kg/h. The total volumetric feed flow rate is q_raw = (73.77+56.26)*1000/1.14 = 117.5 L/h. The initial concentration of acetic acid is c_{A0} = 73.77*1000/(60*117.5) = 10.53 mol/L. The initial concentration of ethanol is c_{B0} = 56.26*1000/(46*117.5) = 10.53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x)}=41.75 h. Theoretical volume is v=41.75*117.5=4993.31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</si>
  <si>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675/88 = 7.68 kmol/h. According to the chemical reaction equation, the mass flow rate of acetic acid required per hour is m_A = 7.68*60 = 460.91 kg/h. The mass flow rate of ethanol required per hour is m_B = 7.68*46 = 352.57 kg/h. The total volumetric feed flow rate is q_raw = (460.91+352.57)*1000/0.99 = 825.37 L/h. The initial concentration of acetic acid is c_{A0} = 460.91*1000/(60*825.37) = 9.25 mol/L. The initial concentration of ethanol is c_{B0} = 352.57*1000/(46*825.37) = 9.25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}{k1*(1-x_{A})*(c_{B0}-c_{A0}*x_{A})-\frac{c_{A0}*x_{A}*x_{A}}{kc}}=112.17 h. Theoretical volume is v=112.17*825.37=92549.2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</si>
  <si>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675/88 = 7.64 kmol/h. According to the chemical reaction equation, the mass flow rate of acetic acid required per hour is m_A = 7.64*60 = 458.18 kg/h. The mass flow rate of ethanol required per hour is m_B = 7.64*46 = 352.98 kg/h. The total volumetric feed flow rate is q_raw = (458.18+352.98)*1000/1.12 = 710.45 L/h. The initial concentration of acetic acid is c_{A0} = 458.18*1000/(60*710.45) = 10.66 mol/L. The initial concentration of ethanol is c_{B0} = 352.98*1000/(46*710.45) = 10.66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x)}=18.46 h. Theoretical volume is v=18.46*710.45=13142.56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</si>
  <si>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921/88 = 10.47 kmol/h. According to the chemical reaction equation, the mass flow rate of acetic acid required per hour is m_A = 10.47*60 = 627.95 kg/h. The mass flow rate of ethanol required per hour is m_B = 10.47*46 = 481.44 kg/h. The total volumetric feed flow rate is q_raw = (627.95+481.44)*1000/1.08 = 1023.42 L/h. The initial concentration of acetic acid is c_{A0} = 627.95*1000/(60*1023.42) = 10.19 mol/L. The initial concentration of ethanol is c_{B0} = 481.44*1000/(46*1023.42) = 10.19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}{k1*(1-x_{A})*(c_{B0}-c_{A0}*x_{A})-\frac{c_{A0}*x_{A}*x_{A}}{kc}}=136.08 h. Theoretical volume is v=136.08*1023.42=139329.66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</si>
  <si>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839/88 = 9.53 kmol/h. According to the chemical reaction equation, the mass flow rate of acetic acid required per hour is m_A = 9.53*60 = 572.05 kg/h. The mass flow rate of ethanol required per hour is m_B = 9.53*46 = 439.87 kg/h. The total volumetric feed flow rate is q_raw = (572.05+439.87)*1000/0.89 = 1120.8 l/h. The initial concentration of acetic acid is c_{A0} = 572.05*1000/(60*1120.8) = 8.59 mol/L. The initial concentration of ethanol is c_{B0} = 439.87*1000/(46*1120.8) = 8.59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x)}=25.5 h. Theoretical volume is v=25.5*1120.8=28368.48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</si>
  <si>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723/88 = 8.2 kmol/h. According to the chemical reaction equation, the mass flow rate of acetic acid required per hour is m_A = 8.2*60 = 492.27 kg/h. The mass flow rate of ethanol required per hour is m_B = 8.2*46 = 377.41 kg/h. The total volumetric feed flow rate is q_raw = (492.27+377.41)*1000/0.79 = 110.79 L/h. The initial concentration of acetic acid is c_{A0} = 492.27*1000/(60*110.79) = 74.66 mol/L. The initial concentration of ethanol is c_{B0} = 377.41*1000/(46*110.79) = 74.66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}{k1*(1-x_{A})*(c_{B0}-c_{A0}*x_{A})-\frac{c_{A0}*x_{A}*x_{A}}{kc}}=116.78 h. Theoretical volume is v=116.78*110.79=12939.75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</si>
  <si>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343/88 = 3.91 kmol/h. According to the chemical reaction equation, the mass flow rate of acetic acid required per hour is m_A = 3.91*60 = 234.55 kg/h. The mass flow rate of ethanol required per hour is m_B = 3.91*46 = 179.82 kg/h. The total volumetric feed flow rate is q_raw = (234.55+179.82)*1000/0.93 = 448.71 L/h. The initial concentration of acetic acid is c_{A0} = 234.55*1000/(60*448.71) = 8.77 mol/L. The initial concentration of ethanol is c_{B0} = 179.82*1000/(46*448.71) = 8.77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}{k1*(1-x_{A})*(c_{B0}-c_{A0}*x_{A})-\frac{c_{A0}*x_{A}*x_{A}}{kc}}=109.59 h. Theoretical volume is v=109.59*448.71=48548.26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</si>
  <si>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123/88 = 1.41 kmol/h. According to the chemical reaction equation, the mass flow rate of acetic acid required per hour is m_A = 1.41*60 = 84.55 kg/h. The mass flow rate of ethanol required per hour is m_B = 1.41*46 = 64.45 kg/h. The total volumetric feed flow rate is q_raw = (84.55+64.45)*1000/1.05 = 139.16 L/h. The initial concentration of acetic acid is c_{A0} = 84.55*1000/(60*139.16) = 10.07 mol/L. The initial concentration of ethanol is c_{B0} = 64.45*1000/(46*139.16) = 10.07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x)}=20.28 h. Theoretical volume is v=20.28*139.16=2836.23 l.After comprehensively evaluating various factors in the reaction process, the emergence of highly corrosive substances (sulfuric acid) necessitates material considerations. Given cost-effectiveness requirements, we recommend using stainless steel as the reactor material.</t>
  </si>
  <si>
    <t>The relative molecular weight of CH_{3}COOC_{2}H_{5} is 76 kg/kmol, NaOH is 40 kg/kmol. Raw material volumetric flow rate: Q_{0}=(849+849)/1.19=1437.99 m^3/h. Initial concentration of ethyl acetate: c_{A0}=849*1000/(76*1437.99)=7.89 mol/L. Initial concentration of sodium hydroxide: c_{B0}=849*1000*1/(40*1437.99)=15.0 mol/L. The concentration of chloroethanol: c_{A}=c_{A0}*(1-x). The concentration of sodium bicarbonate: c_{B}=c_{B0}-c_{A0}*x. Reaction time obtained through integral calculation: t=\frac{c_{A0} \cdot x_{f}}{r_{A}}=\frac{c_{A0} \cdot x_{f}}{k \cdot c_{A} \cdot c_{B}}=\frac{x_{f}}{k \cdot (1-x_{A}) \cdot (c_{B0}-c_{A0} \cdot x_{A})}=0.08 h. Theoretical volume is v=0.08*1437.99=111.42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</si>
  <si>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Q_{0}=(675+675)/1.83=744.49 m^3/h. Initial concentration of ethyl acetate: c_{A0}=675*1000/(76*744.49)=11.91 mol/L. Initial concentration of sodium hydroxide: c_{B0}=675*1000*1/(40*744.49)=22.75 mol/L. The concentration of chloroethanol: c_{A}=c_{A0}*(1-x). The concentration of sodium bicarbonate: c_{B}=c_{B0}-c_{A0}*x. Reaction time obtained through integral calculation: t=\int_{0}^{x_{f} } \frac{c_{A0}dx_{A} }{r_{A}}=\int_{0}^{x_{f} } \frac{c_{A0}dx_{A} }{k*c_{A}*c_{B}}=\int_{0}^{x_{f} } \frac{dx_{A} }{k*(1-x_{A})*(c_{B0}-c_{A0}*x_{A})}=0.04 h. Theoretical volume is v=0.04*744.49=28.44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</si>
  <si>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Q_{0}=(109+109)/1.63=128.78 m^3/h. Initial concentration of ethyl acetate: c_{A0}=109*1000/(76*128.78)=11.34 mol/L. Initial concentration of sodium hydroxide: c_{B0}=109*1000*1/(40*128.78)=20.75 mol/L. The concentration of chloroethanol: c_{A}=c_{A0}*(1-x). The concentration of sodium bicarbonate: c_{B}=c_{B0}-c_{A0}*x. Reaction time obtained through integral calculation: t=\frac{c_{A0} \cdot x_{f}}{r_{A}}=\frac{c_{A0} \cdot x_{f}}{k \cdot c_{A} \cdot c_{B}}=\frac{x_{f}}{k \cdot (1-x_{A}) \cdot (c_{B0}-c_{A0} \cdot x_{A})}=0.03 h. Theoretical volume is v=0.03*128.78=4.04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</si>
  <si>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Q_{0}=(976+976)/1.9=980.94 m^3/h. Initial concentration of ethyl acetate: c_{A0}=976*1000/(76*980.94)=13.09 mol/L. Initial concentration of sodium hydroxide: c_{B0}=976*1000*1/(40*980.94)=25.38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v=0.03*980.94=29.37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</si>
  <si>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Q_{0}=(601+601)/1.7=717.94 m^3/h. Initial concentration of ethyl acetate: c_{A0}=601*1000/(76*717.94)=11.25 mol/L. Initial concentration of sodium hydroxide: c_{B0}=601*1000*1/(40*717.94)=21.38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v=0.02*717.94=11.15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</si>
  <si>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Q_{0}=(760+760)/1.01=1514.78 m^3/h. Initial concentration of ethyl acetate: c_{A0}=760*1000/(76*1514.78)=6.84 mol/L. Initial concentration of sodium hydroxide: c_{B0}=760*1000*1/(40*1514.78)=12.25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v=0.03*1514.78=40.46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</si>
  <si>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Q_{0}=(109+109)/1.64=128.59 m^3/h. Initial concentration of ethyl acetate: c_{A0}=109*1000/(76*128.59)=11.32 mol/L. Initial concentration of sodium hydroxide: c_{B0}=109*1000*1/(40*128.59)=21.0 mol/L. The concentration of chloroethanol: c_{A}=c_{A0}*(1-x). The concentration of sodium bicarbonate: c_{B}=c_{B0}-c_{A0}*x. Reaction time obtained through integral calculation: t=\frac{c_{A0} \cdot x_{f}}{r_{A}}=\frac{c_{A0} \cdot x_{f}}{k \cdot c_{A} \cdot c_{B}}=\frac{x_{f}}{k \cdot (1-x_{A}) \cdot (c_{B0}-c_{A0} \cdot x_{A})}=0.05 h. Theoretical volume is v=0.05*128.59=6.58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</si>
  <si>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Q_{0}=(678+678)/1.29=1050.0 m^3/h. Initial concentration of ethyl acetate: c_{A0}=678*1000/(76*1050.0)=8.78 mol/L. Initial concentration of sodium hydroxide: c_{B0}=678*1000*1/(40*1050.0)=16.47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v=0.03*1050.0=32.17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</si>
  <si>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Q_{0}=(834+834)/1.75=962.71 m^3/h. Initial concentration of ethyl acetate: c_{A0}=834*1000/(76*962.71)=11.38 mol/L. Initial concentration of sodium hydroxide: c_{B0}=834*1000*1/(40*962.71)=21.62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v=0.02*962.71=21.52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</si>
  <si>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Q_{0}=(844+844)/1.49=1154.75 m^3/h. Initial concentration of ethyl acetate: c_{A0}=844*1000/(76*1154.75)=9.67 mol/L. Initial concentration of sodium hydroxide: c_{B0}=844*1000*1/(40*1154.75)=18.45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v=0.03*1154.75=30.39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</si>
  <si>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Q_{0}=(388+388)/1.82=406.64 m^3/h. Initial concentration of ethyl acetate: c_{A0}=388*1000/(76*406.64)=12.63 mol/L. Initial concentration of sodium hydroxide: c_{B0}=388*1000*1/(40*406.64)=23.62 mol/L. The concentration of chloroethanol: c_{A}=c_{A0}*(1-x). The concentration of sodium bicarbonate: c_{B}=c_{B0}-c_{A0}*x. Reaction time obtained through integral calculation: t=\int_{0}^{x_{f} } \frac{c_{A0}dx_{A} }{r_{A}}=\int_{0}^{x_{f} } \frac{c_{A0}dx_{A} }{k*c_{A}*c_{B}}=\int_{0}^{x_{f} } \frac{dx_{A} }{k*(1-x_{A})*(c_{B0}-c_{A0}*x_{A})}=0.01 h. Theoretical volume is v=0.01*406.64=4.06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</si>
  <si>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Q_{0}=(603+603)/1.87=646.82 m^3/h. Initial concentration of ethyl acetate: c_{A0}=603*1000/(76*646.82)=12.11 mol/L. Initial concentration of sodium hydroxide: c_{B0}=603*1000*1/(40*646.82)=23.13 mol/L. The concentration of chloroethanol: c_{A}=c_{A0}*(1-x). The concentration of sodium bicarbonate: c_{B}=c_{B0}-c_{A0}*x. Reaction time obtained through integral calculation: t=\frac{c_{A0} \cdot x_{f}}{r_{A}}=\frac{c_{A0} \cdot x_{f}}{k \cdot c_{A} \cdot c_{B}}=\frac{x_{f}}{k \cdot (1-x_{A}) \cdot (c_{B0}-c_{A0} \cdot x_{A})}=0.1 h. Theoretical volume is v=0.1*646.82=64.15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</si>
  <si>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Q_{0}=(789+789)/1.47=1094.78 m^3/h. Initial concentration of ethyl acetate: c_{A0}=789*1000/(76*1094.78)=9.41 mol/L. Initial concentration of sodium hydroxide: c_{B0}=789*1000*1/(40*1094.78)=18.38 mol/L. The concentration of chloroethanol: c_{A}=c_{A0}*(1-x). The concentration of sodium bicarbonate: c_{B}=c_{B0}-c_{A0}*x. Reaction time obtained through integral calculation: t=\frac{c_{A0} \cdot x_{f}}{r_{A}}=\frac{c_{A0} \cdot x_{f}}{k \cdot c_{A} \cdot c_{B}}=\frac{x_{f}}{k \cdot (1-x_{A}) \cdot (c_{B0}-c_{A0} \cdot x_{A})}=0.15 h. Theoretical volume is v=0.15*1094.78=166.26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</si>
  <si>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Q_{0}=(690+690)/1.33=1007.66 m^3/h. Initial concentration of ethyl acetate: c_{A0}=690*1000/(76*1007.66)=9.01 mol/L. Initial concentration of sodium hydroxide: c_{B0}=690*1000*1/(40*1007.66)=17.25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v=0.03*1007.66=30.52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</si>
  <si>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Q_{0}=(976+976)/1.3=1504.61 m^3/h. Initial concentration of ethyl acetate: c_{A0}=976*1000/(76*1504.61)=8.49 mol/L. Initial concentration of sodium hydroxide: c_{B0}=976*1000*1/(40*1504.61)=15.25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v=0.03*1504.61=42.42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</si>
  <si>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Q_{0}=(378+378)/1.45=532.73 m^3/h. Initial concentration of ethyl acetate: c_{A0}=378*1000/(76*532.73)=9.43 mol/L. Initial concentration of sodium hydroxide: c_{B0}=378*1000*1/(40*532.73)=17.62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v=0.02*532.73=9.94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</si>
  <si>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Q_{0}=(844+844)/1.55=1095.48 m^3/h. Initial concentration of ethyl acetate: c_{A0}=844*1000/(76*1095.48)=10.07 mol/L. Initial concentration of sodium hydroxide: c_{B0}=844*1000*1/(40*1095.48)=19.38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v=0.02*1095.48=19.38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</si>
  <si>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Q_{0}=(780+780)/1.16=1355.65 m^3/h. Initial concentration of ethyl acetate: c_{A0}=780*1000/(76*1355.65)=7.57 mol/L. Initial concentration of sodium hydroxide: c_{B0}=780*1000*1/(40*1355.65)=14.37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v=0.02*1355.65=26.58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</si>
  <si>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Q_{0}=(596+596)/1.61=734.76 m^3/h. Initial concentration of ethyl acetate: c_{A0}=596*1000/(76*734.76)=10.86 mol/L. Initial concentration of sodium hydroxide: c_{B0}=596*1000*1/(40*734.76)=20.62 mol/L. The concentration of chloroethanol: c_{A}=c_{A0}*(1-x). The concentration of sodium bicarbonate: c_{B}=c_{B0}-c_{A0}*x. Reaction time obtained through integral calculation: t=\int_{0}^{x_{f} } \frac{c_{A0}dx_{A} }{r_{A}}=\int_{0}^{x_{f} } \frac{c_{A0}dx_{A} }{k*c_{A}*c_{B}}=\int_{0}^{x_{f} } \frac{dx_{A} }{k*(1-x_{A})*(c_{B0}-c_{A0}*x_{A})}=0.05 h. Theoretical volume is v=0.05*734.76=37.52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</si>
  <si>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Q_{0}=(528+528)/1.23=861.79 m^3/h. Initial concentration of ethyl acetate: c_{A0}=528*1000/(76*861.79)=7.96 mol/L. Initial concentration of sodium hydroxide: c_{B0}=528*1000*1/(40*861.79)=15.12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v=0.03*861.79=23.46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</si>
  <si>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Q_{0}=(550+550)/1.9=563.64 m^3/h. Initial concentration of ethyl acetate: c_{A0}=550*1000/(76*563.64)=12.83 mol/L. Initial concentration of sodium hydroxide: c_{B0}=550*1000*1/(40*563.64)=24.38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v=0.02*563.64=9.26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</si>
  <si>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Q_{0}=(188+188)/1.37=276.86 m^3/h. Initial concentration of ethyl acetate: c_{A0}=188*1000/(76*276.86)=8.95 mol/L. Initial concentration of sodium hydroxide: c_{B0}=188*1000*1/(40*276.86)=17.0 mol/L. The concentration of chloroethanol: c_{A}=c_{A0}*(1-x). The concentration of sodium bicarbonate: c_{B}=c_{B0}-c_{A0}*x. Reaction time obtained through integral calculation: t=\frac{c_{A0} \cdot x_{f}}{r_{A}}=\frac{c_{A0} \cdot x_{f}}{k \cdot c_{A} \cdot c_{B}}=\frac{x_{f}}{k \cdot (1-x_{A}) \cdot (c_{B0}-c_{A0} \cdot x_{A})}=0.41 h. Theoretical volume is v=0.41*276.86=113.。Actual volume obtained after comprehensively considering the specific gravity is v=113.61 l.After comprehensively considering the specific gravity, the recommended material for using in the reaction is carbon steel.</t>
  </si>
  <si>
    <t>The relative molecular weight of CH_{3}COOC_{2}H_{5} is 76 kg/kmol, NaOH is 40 kg/kmol. Raw material volumetric flow rate: Q_{0}=(126+126)/1.47=166.98 m^3/h. Initial concentration of ethyl acetate: c_{A0}=126*1000/(76*166.98)=10.0 mol/L. Initial concentration of sodium hydroxide: c_{B0}=126*1000*1/(40*166.98)=19.88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v=0.02*166.98=3.86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</si>
  <si>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Q_{0}=(125+125)/1.16=215.25 m^3/h. Initial concentration of ethyl acetate: c_{A0}=125*1000/(76*215.25)=7.83 mol/L. Initial concentration of sodium hydroxide: c_{B0}=125*1000*1/(40*215.25)=14.0 mol/L. The concentration of chloroethanol: c_{A}=c_{A0}*(1-x). The concentration of sodium bicarbonate: c_{B}=c_{B0}-c_{A0}*x. Reaction time obtained through integral calculation: t=\int_{0}^{x_{f} } \frac{c_{A0}dx_{A} }{r_{A}}=\int_{0}^{x_{f} } \frac{c_{A0}dx_{A} }{k*c_{A}*c_{B}}=\int_{0}^{x_{f} } \frac{dx_{A} }{k*(1-x_{A})*(c_{B0}-c_{A0}*x_{A})}=0.08 h. Theoretical volume is v=0.08*215.25=15.36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</si>
  <si>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Q_{0}=(1283+1283)/1.51=1698.31 m^3/h. Initial concentration of ethyl acetate: c_{A0}=1283*1000/(76*1698.31)=9.74 mol/L. Initial concentration of sodium hydroxide: c_{B0}=1283*1000*1/(40*1698.31)=19.75 mol/L. The concentration of chloroethanol: c_{A}=c_{A0}*(1-x). The concentration of sodium bicarbonate: c_{B}=c_{B0}-c_{A0}*x. Reaction time obtained through integral calculation: t=\frac{c_{A0} \cdot x_{f}}{r_{A}}=\frac{c_{A0} \cdot x_{f}}{k \cdot c_{A} \cdot c_{B}}=\frac{x_{f}}{k \cdot (1-x_{A}) \cdot (c_{B0}-c_{A0} \cdot x_{A})}=0.13 h. Theoretical volume is v=0.13*1698.31=225.33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</si>
  <si>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Q_{0}=(841+841)/1.14=1487.48 m^3/h. Initial concentration of ethyl acetate: c_{A0}=841*1000/(76*1487.48)=7.57 mol/L. Initial concentration of sodium hydroxide: c_{B0}=841*1000*1/(40*1487.48)=14.38 mol/L. The concentration of chloroethanol: c_{A}=c_{A0}*(1-x). The concentration of sodium bicarbonate: c_{B}=c_{B0}-c_{A0}*x. Reaction time obtained through integral calculation: t=\int_{0}^{x_{f} } \frac{c_{A0}dx_{A} }{r_{A}}=\int_{0}^{x_{f} } \frac{c_{A0}dx_{A} }{k*c_{A}*c_{B}}=\int_{0}^{x_{f} } \frac{dx_{A} }{k*(1-x_{A})*(c_{B0}-c_{A0}*x_{A})}=0.04 h. Theoretical volume is v=0.04*1487.48=59.92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</si>
  <si>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Q_{0}=(601+601)/1.77=683.09 m^3/h. Initial concentration of ethyl acetate: c_{A0}=601*1000/(76*683.09)=11.91 mol/L. Initial concentration of sodium hydroxide: c_{B0}=601*1000*1/(40*683.09)=22.67 mol/L. The concentration of chloroethanol: c_{A}=c_{A0}*(1-x). The concentration of sodium bicarbonate: c_{B}=c_{B0}-c_{A0}*x. Reaction time obtained through integral calculation: t=\frac{c_{A0} \cdot x_{f}}{r_{A}}=\frac{c_{A0} \cdot x_{f}}{k \cdot c_{A} \cdot c_{B}}=\frac{x_{f}}{k \cdot (1-x_{A}) \cdot (c_{B0}-c_{A0} \cdot x_{A})}=0.1 h. Theoretical volume is v=0.1*683.09=69.01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</si>
  <si>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Q_{0}=(846+846)/1.55=1101.26 m^3/h. Initial concentration of ethyl acetate: c_{A0}=846*1000/(76*1101.26)=10.31 mol/L. Initial concentration of sodium hydroxide: c_{B0}=846*1000*1/(40*1101.26)=19.62 mol/L. The concentration of chloroethanol: c_{A}=c_{A0}*(1-x). The concentration of sodium bicarbonate: c_{B}=c_{B0}-c_{A0}*x. Reaction time obtained through integral calculation: t=\frac{c_{A0} \cdot x_{f}}{r_{A}}=\frac{c_{A0} \cdot x_{f}}{k \cdot c_{A} \cdot c_{B}}=\frac{x_{f}}{k \cdot (1-x_{A}) \cdot (c_{B0}-c_{A0} \cdot x_{A})}=0.11 h. Theoretical volume is v=0.11*1101.26=121.25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</si>
  <si>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Q_{0}=(725+725)/1.27=1165.58 m^3/h. Initial concentration of ethyl acetate: c_{A0}=725*1000/(76*1165.58)=8.16 mol/L. Initial concentration of sodium hydroxide: c_{B0}=725*1000*1/(40*1165.58)=15.5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v=0.02*1165.58=22.58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</si>
  <si>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Q_{0}=(976+976)/1.63=1221.73 m^3/h. Initial concentration of ethyl acetate: c_{A0}=976*1000/(76*1221.73)=10.72 mol/L. Initial concentration of sodium hydroxide: c_{B0}=976*1000*1/(40*1221.73)=20.37 mol/L. The concentration of chloroethanol: c_{A}=c_{A0}*(1-x). The concentration of sodium bicarbonate: c_{B}=c_{B0}-c_{A0}*x. Reaction time obtained through integral calculation: t=\frac{c_{A0} \cdot x_{f}}{r_{A}}=\frac{c_{A0} \cdot x_{f}}{k \cdot c_{A} \cdot c_{B}}=\frac{x_{f}}{k \cdot (1-x_{A}) \cdot (c_{B0}-c_{A0} \cdot x_{A})}=0.07 h. Theoretical volume is v=0.07*1221.73=84.8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</si>
  <si>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NaHCO_{3} is 84 kg/kmol, CH_{2}ClCH_{2}OH is 80.5 kg/kmol, CH_{2}OHCH_{2}OH is 62 kg/kmol. Hourly production of ethylene glycol: 130/62=2.1kmol/h. Hourly required chloroethanol: 2.1*80.5/(0.76*0.12)=1787.4kg/h. Hourly required sodium bicarbonate: 2.1*84*3.6/(0.76*0.34)=2492.4kg/h. Raw material volumetric flow rate: Q_{0}=(1787.4+2492.4)/1.04=4210.63L/h. Initial concentration of chloroethanol: c_{A0}=2.1*1000/(0.76*4210.63)=0.63mol/L. Initial concentration of sodium bicarbonate: c_{B0}=2.1*1000*3.6/(0.76*4210.63)=2.18mol/L. The concentration of chloroethanol: c_{A}=c_{A0}*(1-x). The concentration of sodium bicarbonate: c_{B}=c_{B0}-c_{A0}*x. Reaction time obtained through integral calculation: t=\int_{0}^{x_{f} } \frac{c_{A0}dx_{A} }{r_{A}}=\int_{0}^{x_{f} } \frac{c_{A0}dx_{A} }{k*c_{A}*c_{B}}=\int_{0}^{x_{f} } \frac{dx_{A} }{k*(1-x_{A})*(c_{B0}-c_{A0}*x_{A})}=0.11 h. Theoretical volume is v=0.11*4210.63=469.48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</si>
  <si>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453/62=7.31kmol/h. Hourly required chloroethanol: 7.31*80.5/(0.81*0.18)=4148.51kg/h. Hourly required sodium bicarbonate: 7.31*84*3.8/(0.81*0.23)=11712.25kg/h. Raw material volumetric flow rate: Q_{0}=(4148.51+11712.25)/1.57=10037.65L/h. Initial concentration of chloroethanol: c_{A0}=7.31*1000/(0.81*10037.65)=0.92mol/L. Initial concentration of sodium bicarbonate: c_{B0}=7.31*1000*3.8/(0.81*10037.65)=3.35mol/L. The concentration of chloroethanol: c_{A}=c_{A0}*(1-x). The concentration of sodium bicarbonate: c_{B}=c_{B0}-c_{A0}*x. Reaction time obtained through integral calculation: t=\int_{0}^{x_{f} } \frac{c_{A0}dx_{A} }{r_{A}}=\int_{0}^{x_{f} } \frac{c_{A0}dx_{A} }{k*c_{A}*c_{B}}=\int_{0}^{x_{f} } \frac{dx_{A} }{k*(1-x_{A})*(c_{B0}-c_{A0}*x_{A})}=0.1 h. Theoretical volume is v=0.1*10037.65=1060.11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</si>
  <si>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602/62=9.74kmol/h. Hourly required chloroethanol: 9.74*80.5/(0.87*0.31)=2821.36kg/h. Hourly required sodium bicarbonate: 9.74*84*1.0/(0.87*0.37)=2591.08kg/h. Raw material volumetric flow rate: Q_{0}=(2821.36+2591.08)/1.59=3633.79L/h. Initial concentration of chloroethanol: c_{A0}=9.74*1000/(0.87*3633.79)=3.14mol/L. Initial concentration of sodium bicarbonate: c_{B0}=9.74*1000*1.0/(0.87*3633.79)=3.14mol/L. The concentration of chloroethanol: c_{A}=c_{A0}*(1-x). The concentration of sodium bicarbonate: c_{B}=c_{B0}-c_{A0}*x. Reaction time obtained through integral calculation: t=\int_{0}^{x_{f} } \frac{c_{A0}dx_{A} }{r_{A}}=\int_{0}^{x_{f} } \frac{c_{A0}dx_{A} }{k*c_{A}*c_{B}}=\int_{0}^{x_{f} } \frac{dx_{A} }{k*(1-x_{A})*(c_{B0}-c_{A0}*x_{A})}=0.25 h. Theoretical volume is v=0.25*3633.79=8809.41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</si>
  <si>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816/62=13.16kmol/h. Hourly required chloroethanol: 13.16*80.5/(0.95*0.4)=2661.24kg/h. Hourly required sodium bicarbonate: 13.16*84*2.9/(0.95*0.45)=7468.11kg/h. Raw material volumetric flow rate: Q_{0}=(2661.24+7468.11)/1.31=7382.54L/h. Initial concentration of chloroethanol: c_{A0}=13.16*1000/(0.95*7382.54)=1.85mol/L. Initial concentration of sodium bicarbonate: c_{B0}=13.16*1000*2.9/(0.95*7382.54)=6.35mol/L. The concentration of chloroethanol: c_{A}=c_{A0}*(1-x). The concentration of sodium bicarbonate: c_{B}=c_{B0}-c_{A0}*x. Reaction time obtained through integral calculation: t=\int_{0}^{x_{f} } \frac{c_{A0}dx_{A} }{r_{A}}=\int_{0}^{x_{f} } \frac{c_{A0}dx_{A} }{k*c_{A}*c_{B}}=\int_{0}^{x_{f} } \frac{dx_{A} }{k*(1-x_{A})*(c_{B0}-c_{A0}*x_{A})}=0.14 h. Theoretical volume is v=0.14*7382.54=1005.56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</si>
  <si>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464/62=7.5kmol/h. Hourly required chloroethanol: 7.5*80.5/(0.72*0.05)=19752.79kg/h. Hourly required sodium bicarbonate: 7.5*84*3.3/(0.72*0.23)=13869.6kg/h. Raw material volumetric flow rate: Q_{0}=(19752.79+13869.6)/1.41=25891.65L/h. Initial concentration of chloroethanol: c_{A0}=7.5*1000/(0.72*25891.65)=0.4mol/L. Initial concentration of sodium bicarbonate: c_{B0}=7.5*1000*3.3/(0.72*25891.65)=2.32mol/L. The concentration of chloroethanol: c_{A}=c_{A0}*(1-x). The concentration of sodium bicarbonate: c_{B}=c_{B0}-c_{A0}*x. Reaction time obtained through integral calculation: t=\int_{0}^{x_{f} } \frac{c_{A0}dx_{A} }{r_{A}}=\int_{0}^{x_{f} } \frac{c_{A0}dx_{A} }{k*c_{A}*c_{B}}=\int_{0}^{x_{f} } \frac{dx_{A} }{k*(1-x_{A})*(c_{B0}-c_{A0}*x_{A})}=0.14 h. Theoretical volume is v=0.14*25891.65=3692.68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</si>
  <si>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867/62=14.05kmol/h. Hourly required chloroethanol: 14.05*80.5/(0.85*0.37)=3573.53kg/h. Hourly required sodium bicarbonate: 14.05*84*4.0/(0.85*0.42)=12516.19kg/h. Raw material volumetric flow rate: Q_{0}=(3573.53+12516.19)/1.48=11188.93L/h. Initial concentration of chloroethanol: c_{A0}=14.05*1000/(0.85*11188.93)=1.47mol/L. Initial concentration of sodium bicarbonate: c_{B0}=14.05*1000*4.0/(0.85*11188.93)=5.71mol/L. The concentration of chloroethanol: c_{A}=c_{A0}*(1-x). The concentration of sodium bicarbonate: c_{B}=c_{B0}-c_{A0}*x. Reaction time obtained through integral calculation: t=\int_{0}^{x_{f} } \frac{c_{A0}dx_{A} }{r_{A}}=\int_{0}^{x_{f} } \frac{c_{A0}dx_{A} }{k*c_{A}*c_{B}}=\int_{0}^{x_{f} } \frac{dx_{A} }{k*(1-x_{A})*(c_{B0}-c_{A0}*x_{A})}=0.08 h. Theoretical volume is v=0.08*11188.93=861.37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</si>
  <si>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447/62=7.21kmol/h. Hourly required chloroethanol: 7.21*80.5/(0.86*0.1)=6440.46kg/h. Hourly required sodium bicarbonate: 7.21*84*1.1/(0.86*0.12)=6402.82kg/h. Raw material volumetric flow rate: Q_{0}=(6440.46+6402.82)/1.93=6482.55L/h. Initial concentration of chloroethanol: c_{A0}=7.21*1000/(0.86*6482.55)=1.26mol/L. Initial concentration of sodium bicarbonate: c_{B0}=7.21*1000*1.1/(0.86*6482.55)=1.52mol/L. The concentration of chloroethanol: c_{A}=c_{A0}*(1-x). The concentration of sodium bicarbonate: c_{B}=c_{B0}-c_{A0}*x. Reaction time obtained through integral calculation: t=\int_{0}^{x_{f} } \frac{c_{A0}dx_{A} }{r_{A}}=\int_{0}^{x_{f} } \frac{c_{A0}dx_{A} }{k*c_{A}*c_{B}}=\int_{0}^{x_{f} } \frac{dx_{A} }{k*(1-x_{A})*(c_{B0}-c_{A0}*x_{A})}=0.51 h. Theoretical volume is v=0.51*6482.55=3264.62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</si>
  <si>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182/62=2.94kmol/h. Hourly required chloroethanol: 2.94*80.5/(0.7*0.23)=1780.07kg/h. Hourly required sodium bicarbonate: 2.94*84*1.4/(0.7*0.43)=1148.18kg/h. Raw material volumetric flow rate: Q_{0}=(1780.07+1148.18)/1.47=2037.54L/h. Initial concentration of chloroethanol: c_{A0}=2.94*1000/(0.7*2037.54)=2.04mol/L. Initial concentration of sodium bicarbonate: c_{B0}=2.94*1000*1.4/(0.7*2037.54)=3.13mol/L. The concentration of chloroethanol: c_{A}=c_{A0}*(1-x). The concentration of sodium bicarbonate: c_{B}=c_{B0}-c_{A0}*x. Reaction time obtained through integral calculation: t=\int_{0}^{x_{f} } \frac{c_{A0}dx_{A} }{r_{A}}=\int_{0}^{x_{f} } \frac{c_{A0}dx_{A} }{k*c_{A}*c_{B}}=\int_{0}^{x_{f} } \frac{dx_{A} }{k*(1-x_{A})*(c_{B0}-c_{A0}*x_{A})}=0.14 h. Theoretical volume is v=0.14*2037.54=293.07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</si>
  <si>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115/62=1.85kmol/h. Hourly required chloroethanol: 1.85*80.5/(0.84*0.49)=336.94kg/h. Hourly required sodium bicarbonate: 1.85*84*2.4/(0.84*0.5)=876.6kg/h. Raw material volumetric flow rate: Q_{0}=(336.94+876.6)/1.15=1116.6L/h. Initial concentration of chloroethanol: c_{A0}=1.85*1000/(0.84*1116.6)=1.97mol/L. Initial concentration of sodium bicarbonate: c_{B0}=1.85*1000*2.4/(0.84*1116.6)=4.6气mol/L. The concentration of chloroethanol: c_{A}=c_{A0}*(1-x). The concentration of sodium bicarbonate: c_{B}=c_{B0}-c_{A0}*x. Reaction time obtained through integral calculation: t=\int_{0}^{x_{f} } \frac{c_{A0}dx_{A} }{r_{A}}=\int_{0}^{x_{f} } \frac{c_{A0}dx_{A} }{k*c_{A}*c_{B}}=\int_{0}^{x_{f} } \frac{dx_{A} }{k*(1-x_{A})*(c_{B0}-c_{A0}*x_{A})}=0.09 h. Theoretical volume is v=0.09*1116.6=100.6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</si>
  <si>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782/62=12.67kmol/h. Hourly required chloroethanol: 12.67*80.5/(0.76*0.1)=13879.37kg/h. Hourly required sodium bicarbonate: 12.67*84*1.9/(0.76*0.47)=4692.09kg/h. Raw material volumetric flow rate: Q_{0}=(13879.37+4692.09)/1.91=9962.3L/h. Initial concentration of chloroethanol: c_{A0}=12.67*1000/(0.76*9962.3)=1.63mol/L. Initial concentration of sodium bicarbonate: c_{B0}=12.67*1000*1.9/(0.76*9962.3)=3.28mol/L. The concentration of chloroethanol: c_{A}=c_{A0}*(1-x). The concentration of sodium bicarbonate: c_{B}=c_{B0}-c_{A0}*x. Reaction time obtained through integral calculation: t=\int_{0}^{x_{f} } \frac{c_{A0}dx_{A} }{r_{A}}=\int_{0}^{x_{f} } \frac{c_{A0}dx_{A} }{k*c_{A}*c_{B}}=\int_{0}^{x_{f} } \frac{dx_{A} }{k*(1-x_{A})*(c_{B0}-c_{A0}*x_{A})}=0.16 h. Theoretical volume is v=0.16*9962.3=1604.58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</si>
  <si>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480/62=7.74kmol/h. Hourly required chloroethanol: 7.74*80.5/(0.9*0.09)=7523.46kg/h. Hourly required sodium bicarbonate: 7.74*84*3.8/(0.9*0.26)=10292.79kg/h. Raw material volumetric flow rate: Q_{0}=(7523.46+10292.79)/1.55=11855.92L/h. Initial concentration of chloroethanol: c_{A0}=7.74*1000/(0.9*11855.92)=0.71mol/L. Initial concentration of sodium bicarbonate: c_{B0}=7.74*1000*3.8/(0.9*11855.92)=2.56mol/L. The concentration of chloroethanol: c_{A}=c_{A0}*(1-x). The concentration of sodium bicarbonate: c_{B}=c_{B0}-c_{A0}*x. Reaction time obtained through integral calculation: t=\int_{0}^{x_{f} } \frac{c_{A0}dx_{A} }{r_{A}}=\int_{0}^{x_{f} } \frac{c_{A0}dx_{A} }{k*c_{A}*c_{B}}=\int_{0}^{x_{f} } \frac{dx_{A} }{k*(1-x_{A})*(c_{B0}-c_{A0}*x_{A})}=0.17 h. Theoretical volume is v=0.17*11855.92=2072.15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</si>
  <si>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604/62=9.74kmol/h. Hourly required chloroethanol: 9.74*80.5/(0.98*0.26)=3159.48kg/h. Hourly required sodium bicarbonate: 9.74*84*1.8/(0.98*0.36)=4327.45kg/h. Raw material volumetric flow rate: Q_{0}=(3159.48+4327.45)/1.21=5987.16L/h. Initial concentration of chloroethanol: c_{A0}=9.74*1000/(0.98*5987.16)=1.68mol/L. Initial concentration of sodium bicarbonate: c_{B0}=9.74*1000*1.8/(0.98*5987.16)=3.15mol/L. The concentration of chloroethanol: c_{A}=c_{A0}*(1-x). The concentration of sodium bicarbonate: c_{B}=c_{B0}-c_{A0}*x. Reaction time obtained through integral calculation: t=\int_{0}^{x_{f} } \frac{c_{A0}dx_{A} }{r_{A}}=\int_{0}^{x_{f} } \frac{c_{A0}dx_{A} }{k*c_{A}*c_{B}}=\int_{0}^{x_{f} } \frac{dx_{A} }{k*(1-x_{A})*(c_{B0}-c_{A0}*x_{A})}=0.37 h. Theoretical volume is v=0.37*5987.16=2227.87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</si>
  <si>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441/62=7.11kmol/h. Hourly required chloroethanol: 7.11*80.5/(0.79*0.17)=3441.59kg/h. Hourly required sodium bicarbonate: 7.11*84*1.7/(0.79*0.22)=4595.06kg/h. Raw material volumetric flow rate: Q_{0}=(3441.59+4595.06)/1.32=5756.51L/h. Initial concentration of chloroethanol: c_{A0}=7.11*1000/(0.79*5756.51)=1.58mol/L. Initial concentration of sodium bicarbonate: c_{B0}=7.11*1000*1.7/(0.79*5756.51)=3.35mol/L. The concentration of chloroethanol: c_{A}=c_{A0}*(1-x). The concentration of sodium bicarbonate: c_{B}=c_{B0}-c_{A0}*x. Reaction time obtained through integral calculation: t=\frac{c_{A0}*x_{f}}{r_{A}}=\frac{c_{A0}*x_{f}}{k*c_{A}*c_{B}}=\frac{x_{f}}{k*(1-x_{A})*(c_{B0}-c_{A0}*x_{A})}=0.37 h. Theoretical volume is v=0.37*5756.51=2130.47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</si>
  <si>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666/62=10.74kmol/h. Hourly required chloroethanol: 10.74*80.5/(0.9*0.15)=6873.32kg/h. Hourly required sodium bicarbonate: 10.74*84*1.4/(0.9*0.24)=6009.68kg/h. Raw material volumetric flow rate: Q_{0}=(6873.32+6009.68)/1.46=8754.46L/h. Initial concentration of chloroethanol: c_{A0}=10.74*1000/(0.9*8754.46)=1.35mol/L. Initial concentration of sodium bicarbonate: c_{B0}=10.74*1000*1.4/(0.9*8754.46)=2.05mol/L. The concentration of chloroethanol: c_{A}=c_{A0}*(1-x). The concentration of sodium bicarbonate: c_{B}=c_{B0}-c_{A0}*x. Reaction time obtained through integral calculation: t=\int_{0}^{x_{f} } \frac{c_{A0}dx_{A} }{r_{A}}=\int_{0}^{x_{f} } \frac{c_{A0}dx_{A} }{k*c_{A}*c_{B}}=\int_{0}^{x_{f} } \frac{dx_{A} }{k*(1-x_{A})*(c_{B0}-c_{A0}*x_{A})}=0.46 h. Theoretical volume is v=0.46*8754.46=4000.65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</si>
  <si>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751/62=12.18kmol/h. Hourly required chloroethanol: 12.18*80.5/(0.96*0.21)=4658.32kg/h. Hourly required sodium bicarbonate: 12.18*84*2.9/(0.96*0.24)=14483.58kg/h. Raw material volumetric flow rate: Q_{0}=(4658.32+14483.58)/1.59=12215.4L/h. Initial concentration of chloroethanol: c_{A0}=12.18*1000/(0.96*12215.4)=1.05mol/L. Initial concentration of sodium bicarbonate: c_{B0}=12.18*1000*2.9/(0.96*12215.4)=2.89mol/L. The concentration of chloroethanol: c_{A}=c_{A0}*(1-x). The concentration of sodium bicarbonate: c_{B}=c_{B0}-c_{A0}*x. Reaction time obtained through integral calculation: t=\int_{0}^{x_{f} } \frac{c_{A0}dx_{A} }{r_{A}}=\int_{0}^{x_{f} } \frac{c_{A0}dx_{A} }{k*c_{A}*c_{B}}=\int_{0}^{x_{f} } \frac{dx_{A} }{k*(1-x_{A})*(c_{B0}-c_{A0}*x_{A})}=0.31 h. Theoretical volume is v=0.31*12215.4=3804.91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</si>
  <si>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587/62=9.45kmol/h. Hourly required chloroethanol: 9.45*80.5/(0.71*0.13)=7535.02kg/h. Hourly required sodium bicarbonate: 9.45*84*5.0/(0.71*0.27)=18249.71kg/h. Raw material volumetric flow rate: Q_{0}=(7535.02+18249.71)/1.78=14380.65L/h. Initial concentration of chloroethanol: c_{A0}=9.45*1000/(0.71*14380.65)=0.9mol/L. Initial concentration of sodium bicarbonate: c_{B0}=9.45*1000*5.0/(0.71*14380.65)=4.86mol/L. The concentration of chloroethanol: c_{A}=c_{A0}*(1-x). The concentration of sodium bicarbonate: c_{B}=c_{B0}-c_{A0}*x. Reaction time obtained through integral calculation: t=\int_{0}^{x_{f} } \frac{c_{A0}dx_{A} }{r_{A}}=\int_{0}^{x_{f} } \frac{c_{A0}dx_{A} }{k*c_{A}*c_{B}}=\int_{0}^{x_{f} } \frac{dx_{A} }{k*(1-x_{A})*(c_{B0}-c_{A0}*x_{A})}=0.06 h. Theoretical volume is v=0.06*14380.65=840.96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</si>
  <si>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839/62=13.53kmol/h. Hourly required chloroethanol: 13.53*80.5/(0.98*0.08)=14311.8kg/h. Hourly required sodium bicarbonate: 13.53*84*3.1/(0.98*0.26)=14519.03kg/h. Raw material volumetric flow rate: Q_{0}=(14311.8+14519.03)/1.88=15423.37L/h. Initial concentration of chloroethanol: c_{A0}=13.53*1000/(0.98*15423.37)=0.87mol/L. Initial concentration of sodium bicarbonate: c_{B0}=13.53*1000*3.1/(0.98*15423.37)=2.95mol/L. The concentration of chloroethanol: c_{A}=c_{A0}*(1-x). The concentration of sodium bicarbonate: c_{B}=c_{B0}-c_{A0}*x. Reaction time obtained through integral calculation: t=\frac{c_{A0}*x_{f}}{r_{A}}=\frac{c_{A0}*x_{f}}{k*c_{A}*c_{B}}=\frac{x_{f}}{k*(1-x_{A})*(c_{B0}-c_{A0}*x_{A})}=5.93 h. Theoretical volume is v=5.93*15423.37=91796.96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</si>
  <si>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853/62=13.77kmol/h. Hourly required chloroethanol: 13.77*80.5/(0.96*0.21)=5435.79kg/h. Hourly required sodium bicarbonate: 13.77*84*4.8/(0.96*0.29)=19261.45kg/h. Raw material volumetric flow rate: Q_{0}=(5435.79+19261.45)/1.35=19032.96L/h. Initial concentration of chloroethanol: c_{A0}=13.77*1000/(0.96*19032.96)=0.77mol/L. Initial concentration of sodium bicarbonate: c_{B0}=13.77*1000*4.8/(0.96*19032.96)=3.6mol/L. The concentration of chloroethanol: c_{A}=c_{A0}*(1-x). The concentration of sodium bicarbonate: c_{B}=c_{B0}-c_{A0}*x. Reaction time obtained through integral calculation: t=\int_{0}^{x_{f} } \frac{c_{A0}dx_{A} }{r_{A}}=\int_{0}^{x_{f} } \frac{c_{A0}dx_{A} }{k*c_{A}*c_{B}}=\int_{0}^{x_{f} } \frac{dx_{A} }{k*(1-x_{A})*(c_{B0}-c_{A0}*x_{A})}=0.17 h. Theoretical volume is v=0.17*19032.96=3275.81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</si>
  <si>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353/62=5.69kmol/h. Hourly required chloroethanol: 5.69*80.5/(0.95*0.13)=3602.63kg/h. Hourly required sodium bicarbonate: 5.69*84*3.9/(0.95*0.22)=8571.43kg/h. Raw material volumetric flow rate: Q_{0}=(3602.63+8571.43)/1.79=7086.71L/h. Initial concentration of chloroethanol: c_{A0}=5.69*1000/(0.95*7086.71)=0.82mol/L. Initial concentration of sodium bicarbonate: c_{B0}=5.69*1000*3.9/(0.95*7086.71)=3.02mol/L. The concentration of chloroethanol: c_{A}=c_{A0}*(1-x). The concentration of sodium bicarbonate: c_{B}=c_{B0}-c_{A0}*x. Reaction time obtained through integral calculation: t=\int_{0}^{x_{f} } \frac{c_{A0}dx_{A} }{r_{A}}=\int_{0}^{x_{f} } \frac{c_{A0}dx_{A} }{k*c_{A}*c_{B}}=\int_{0}^{x_{f} } \frac{dx_{A} }{k*(1-x_{A})*(c_{B0}-c_{A0}*x_{A})}=0.25 h. Theoretical volume is v=0.25*7086.71=1770.98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</si>
  <si>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651/62=10.5kmol/h. Hourly required chloroethanol: 10.5*80.5/(0.94*0.21)=4157.85kg/h. Hourly required sodium bicarbonate: 10.5*84*3.1/(0.94*0.38)=8575.06kg/h. Raw material volumetric flow rate: Q_{0}=(4157.85+8575.06)/1.97=6303.38L/h. Initial concentration of chloroethanol: c_{A0}=10.5*1000/(0.94*6303.38)=1.83mol/L. Initial concentration of sodium bicarbonate: c_{B0}=10.5*1000*3.1/(0.94*6303.38)=5.55mol/L. The concentration of chloroethanol: c_{A}=c_{A0}*(1-x). The concentration of sodium bicarbonate: c_{B}=c_{B0}-c_{A0}*x. Reaction time obtained through integral calculation: t=\int_{0}^{x_{f} } \frac{c_{A0}dx_{A} }{r_{A}}=\int_{0}^{x_{f} } \frac{c_{A0}dx_{A} }{k*c_{A}*c_{B}}=\int_{0}^{x_{f} } \frac{dx_{A} }{k*(1-x_{A})*(c_{B0}-c_{A0}*x_{A})}=0.14 h. Theoretical volume is v=0.14*6303.38=862.61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</si>
  <si>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242/62=3.9kmol/h. Hourly required chloroethanol: 3.9*80.5/(0.9*0.25)=1424.75kg/h. Hourly required sodium bicarbonate: 3.9*84*1.5/(0.9*0.33)=1753.68kg/h. Raw material volumetric flow rate: Q_{0}=(1424.75+1753.68)/1.63=1900.85L/h. Initial concentration of chloroethanol: c_{A0}=3.9*1000/(0.9*1900.85)=2.35mol/L. Initial concentration of sodium bicarbonate: c_{B0}=3.9*1000*1.5/(0.9*1900.85)=3.3mol/L. The concentration of chloroethanol: c_{A}=c_{A0}*(1-x). The concentration of sodium bicarbonate: c_{B}=c_{B0}-c_{A0}*x. Reaction time obtained through integral calculation: t=\int_{0}^{x_{f} } \frac{c_{A0}dx_{A} }{r_{A}}=\int_{0}^{x_{f} } \frac{c_{A0}dx_{A} }{k*c_{A}*c_{B}}=\int_{0}^{x_{f} } \frac{dx_{A} }{k*(1-x_{A})*(c_{B0}-c_{A0}*x_{A})}=0.22 h. Theoretical volume is v=0.22*1900.85=418.37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</si>
  <si>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491/62=7.92kmol/h. Hourly required chloroethanol: 7.92*80.5/(0.89*0.16)=4408.11kg/h. Hourly required sodium bicarbonate: 7.92*84*1.4/(0.89*0.41)=2702.79kg/h. Raw material volumetric flow rate: Q_{0}=(4408.11+2702.79)/1.87=3915.69L/h. Initial concentration of chloroethanol: c_{A0}=7.92*1000/(0.89*3915.69)=2.29mol/L. Initial concentration of sodium bicarbonate: c_{B0}=7.92*1000*1.4/(0.89*3915.69)=2.92mol/L. The concentration of chloroethanol: c_{A}=c_{A0}*(1-x). The concentration of sodium bicarbonate: c_{B}=c_{B0}-c_{A0}*x. Reaction time obtained through integral calculation: t=\int_{0}^{x_{f} } \frac{c_{A0}dx_{A} }{r_{A}}=\int_{0}^{x_{f} } \frac{c_{A0}dx_{A} }{k*c_{A}*c_{B}}=\int_{0}^{x_{f} } \frac{dx_{A} }{k*(1-x_{A})*(c_{B0}-c_{A0}*x_{A})}=0.23 h. Theoretical volume is v=0.23*3915.69=900.13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</si>
  <si>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792/62=12.77kmol/h. Hourly required chloroethanol: 12.77*80.5/(0.92*0.31)=3741.73kg/h. Hourly required sodium bicarbonate: 12.77*84*2.3/(0.92*0.45)=6097.34kg/h. Raw material volumetric flow rate: Q_{0}=(3741.73+6097.34)/1.8=5390.04L/h. Initial concentration of chloroethanol: c_{A0}=12.77*1000/(0.92*5390.04)=2.53mol/L. Initial concentration of sodium bicarbonate: c_{B0}=12.77*1000*2.3/(0.92*5390.04)=6.08mol/L. The concentration of chloroethanol: c_{A}=c_{A0}*(1-x). The concentration of sodium bicarbonate: c_{B}=c_{B0}-c_{A0}*x. Reaction time obtained through integral calculation: t=\int_{0}^{x_{f} } \frac{c_{A0}dx_{A} }{r_{A}}=\int_{0}^{x_{f} } \frac{c_{A0}dx_{A} }{k*c_{A}*c_{B}}=\int_{0}^{x_{f} } \frac{dx_{A} }{k*(1-x_{A})*(c_{B0}-c_{A0}*x_{A})}=0.14 h. Theoretical volume is v=0.14*5390.04=767.43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</si>
  <si>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411/62=6.66kmol/h. Hourly required chloroethanol: 6.66*80.5/(0.74*0.15)=4341.59kg/h. Hourly required sodium bicarbonate: 6.66*84*2.6/(0.74*0.45)=3552.35kg/h. Raw material volumetric flow rate: Q_{0}=(4341.59+3552.35)/1.32=5882.29L/h. Initial concentration of chloroethanol: c_{A0}=6.66*1000/(0.74*5882.29)=1.51mol/L. Initial concentration of sodium bicarbonate: c_{B0}=6.66*1000*2.6/(0.74*5882.29)=4.15mol/L. The concentration of chloroethanol: c_{A}=c_{A0}*(1-x). The concentration of sodium bicarbonate: c_{B}=c_{B0}-c_{A0}*x. Reaction time obtained through integral calculation: t=\int_{0}^{x_{f} } \frac{c_{A0}dx_{A} }{r_{A}}=\int_{0}^{x_{f} } \frac{c_{A0}dx_{A} }{k*c_{A}*c_{B}}=\int_{0}^{x_{f} } \frac{dx_{A} }{k*(1-x_{A})*(c_{B0}-c_{A0}*x_{A})}=0.07 h. Theoretical volume is v=0.07*5882.29=413.64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</si>
  <si>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776/62=12.53kmol/h. Hourly required chloroethanol: 12.53*80.5/(0.92*0.23)=4653.86kg/h. Hourly required sodium bicarbonate: 12.53*84*4.9/(0.92*0.33)=16662.6kg/h. Raw material volumetric flow rate: Q_{0}=(4653.86+16662.6)/1.33=15460.04L/h. Initial concentration of chloroethanol: c_{A0}=12.53*1000/(0.92*15460.04)=0.91mol/L. Initial concentration of sodium bicarbonate: c_{B0}=12.53*1000*4.9/(0.92*15460.04)=4.21mol/L. The concentration of chloroethanol: c_{A}=c_{A0}*(1-x). The concentration of sodium bicarbonate: c_{B}=c_{B0}-c_{A0}*x. Reaction time obtained through integral calculation: t=\int_{0}^{x_{f} } \frac{c_{A0}dx_{A} }{r_{A}}=\int_{0}^{x_{f} } \frac{c_{A0}dx_{A} }{k*c_{A}*c_{B}}=\int_{0}^{x_{f} } \frac{dx_{A} }{k*(1-x_{A})*(c_{B0}-c_{A0}*x_{A})}=0.17 h. Theoretical volume is v=0.17*15460.04=2675.48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</si>
  <si>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384/62=6.19kmol/h. Hourly required chloroethanol: 6.19*80.5/(0.84*0.44)=1381.22kg/h. Hourly required sodium bicarbonate: 6.19*84*4.6/(0.84*0.47)=6203.76kg/h. Raw material volumetric flow rate: Q_{0}=(1381.22+6203.76)/1.37=5593.47L/h. Initial concentration of chloroethanol: c_{A0}=6.19*1000/(0.84*5593.47)=1.33mol/L. Initial concentration of sodium bicarbonate: c_{B0}=6.19*1000*4.6/(0.84*5593.47)=6.25mol/L. The concentration of chloroethanol: c_{A}=c_{A0}*(1-x). The concentration of sodium bicarbonate: c_{B}=c_{B0}-c_{A0}*x. Reaction time obtained through integral calculation: t=\frac{c_{A0}*x_{f}}{r_{A}}=\frac{c_{A0}*x_{f}}{k*c_{A}*c_{B}}=\frac{x_{f}}{k*(1-x_{A})*(c_{B0}-c_{A0}*x_{A})}=0.22 h. Theoretical volume is v=0.22*5593.47=1226.34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</si>
  <si>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848/62=13.66kmol/h. Hourly required chloroethanol: 13.66*80.5/(0.87*0.22)=5735.45kg/h. Hourly required sodium bicarbonate: 13.66*84*4.4/(0.87*0.4)=14106.76kg/h. Raw material volumetric flow rate: Q_{0}=(5735.45+14106.76)/1.45=13845.45L/h. Initial concentration of chloroethanol: c_{A0}=13.66*1000/(0.87*13845.45)=1.1mol/L. Initial concentration of sodium bicarbonate: c_{B0}=13.66*1000*4.4/(0.87*13845.45)=4.68mol/L. The concentration of chloroethanol: c_{A}=c_{A0}*(1-x). The concentration of sodium bicarbonate: c_{B}=c_{B0}-c_{A0}*x. Reaction time obtained through integral calculation: t=\int_{0}^{x_{f} } \frac{c_{A0}dx_{A} }{r_{A}}=\int_{0}^{x_{f} } \frac{c_{A0}dx_{A} }{k*c_{A}*c_{B}}=\int_{0}^{x_{f} } \frac{dx_{A} }{k*(1-x_{A})*(c_{B0}-c_{A0}*x_{A})}=0.09 h. Theoretical volume is v=0.09*13845.45=1274.38 l.After comprehensively considering various factors in the reaction process, the operating temperatures remain moderate with no presence of highly corrosive substances. Given the cost considerations, we recommend using carbon steel as the reactor material.</t>
  </si>
  <si>
    <t>The molar mass of acetic acid is 60 kg/kmol, ethanol is 46 kg/kmol, and ethyl acetate is 88 kg/kmol. The molar flow rate of ethyl acetate required per hour is n_product = 930/88 = 10.57 kmol/h. According to the chemical reaction equation, the mass flow rate of acetic acid required per hour is m_A = 10.57*60 = 634.09 kg/h. The mass flow rate of ethanol required per hour is m_B = 10.57*46 = 486.14 kg/h. The total volumetric feed flow rate is q_raw = (634.09+486.14)*1000/1.07 = 1042.55 L/h. The initial concentration of acetic acid is c_{A0} = 634.09*1000/(60*1042.55) = 10.0 mol/L. The initial concentration of ethanol is c_{B0} = 486.14*1000/(46*1042.55) = 10.0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x)}=34.53 h. Theoretical volume is v=34.53*1042.55=35808.22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</si>
  <si>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431/88 = 4.92 kmol/h. According to the chemical reaction equation, the mass flow rate of acetic acid required per hour is m_A = 4.92*60 = 295.23 kg/h. The mass flow rate of ethanol required per hour is m_B = 4.92*46 = 226.34 kg/h. The total volumetric feed flow rate is q_raw = (295.23+226.34)*1000/0.85 = 629.02 L/h. The initial concentration of acetic acid is c_{A0} = 295.23*1000/(60*629.02) = 7.83 mol/L. The initial concentration of ethanol is c_{B0} = 226.34*1000/(46*629.02) = 7.83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}{k1*(1-x_{A})*(c_{B0}-c_{A0}*x_{A})-\frac{c_{A0}*x_{A}*x_{A}}{kc}}=98.57 h. Theoretical volume is v=98.57*629.02=62068.82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</si>
  <si>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886/88 = 10.07 kmol/h. According to the chemical reaction equation, the mass flow rate of acetic acid required per hour is m_A = 10.07*60 = 604.09 kg/h. The mass flow rate of ethanol required per hour is m_B = 10.07*46 = 462.94 kg/h. The total volumetric feed flow rate is q_raw = (604.09+462.94)*1000/0.95 = 1119.08 L/h. The initial concentration of acetic acid is c_{A0} = 604.09*1000/(60*1119.08) = 9.06 mol/L. The initial concentration of ethanol is c_{B0} = 462.94*1000/(46*1119.08) = 9.06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}{k1*(1-x_{A})*(c_{B0}-c_{A0}*x_{A})-\frac{c_{A0}*x_{A}*x_{A}}{kc}}=115.9 h. Theoretical volume is v=115.9*1119.08=129552.75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</si>
  <si>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755/88 = 8.53 kmol/h. According to the chemical reaction equation, the mass flow rate of acetic acid required per hour is m_A = 8.53*60 = 511.59 kg/h. The mass flow rate of ethanol required per hour is m_B = 8.53*46 = 392.52 kg/h. The total volumetric feed flow rate is q_raw = (511.59+392.52)*1000/1.01 = 898.11 L/h. The initial concentration of acetic acid is c_{A0} = 511.59*1000/(60*898.11) = 9.72 mol/L. The initial concentration of ethanol is c_{B0} = 392.52*1000/(46*898.11) = 9.72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}{k1*(1-x_{A})*(c_{B0}-c_{A0}*x_{A})-\frac{c_{A0}*x_{A}*x_{A}}{kc}}=128.24 h. Theoretical volume is v=128.24*898.11=114837.29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</si>
  <si>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184/88 = 2.10 kmol/h. According to the chemical reaction equation, the mass flow rate of acetic acid required per hour is m_A = 2.10*60 = 126.42 kg/h. The mass flow rate of ethanol required per hour is m_B = 2.10*46 = 96.71 kg/h. The total volumetric feed flow rate is q_raw = (126.42+96.71)*1000/1.0 = 223.13 L/h. The initial concentration of acetic acid is c_{A0} = 126.42*1000/(60*223.13) = 9.15 mol/L. The initial concentration of ethanol is c_{B0} = 96.71*1000/(46*223.13) = 9.15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}{k1*(1-x_{A})*(c_{B0}-c_{A0}*x_{A})-\frac{c_{A0}*x_{A}*x_{A}}{kc}}=129.31 h. Theoretical volume is v=129.31*223.13=28646.15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</si>
  <si>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315/88 = 3.61 kmol/h. According to the chemical reaction equation, the mass flow rate of acetic acid required per hour is m_A = 3.61*60 = 216.82 kg/h. The mass flow rate of ethanol required per hour is m_B = 3.61*46 = 166.23 kg/h. The total volumetric feed flow rate is q_raw = (216.82+166.23)*1000/0.86 = 449.7 L/h. The initial concentration of acetic acid is c_{A0} = 216.82*1000/(60*449.7) = 8.11 mol/L. The initial concentration of ethanol is c_{B0} = 166.23*1000/(46*449.7) = 8.11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}{k1*(1-x_{A})*(c_{B0}-c_{A0}*x_{A})-\frac{c_{A0}*x_{A}*x_{A}}{kc}}=105.43 h. Theoretical volume is v=105.43*449.7=47898.05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</si>
  <si>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344/88 = 3.91 kmol/h. According to the chemical reaction equation, the mass flow rate of acetic acid required per hour is m_A = 3.91*60 = 234.55 kg/h. The mass flow rate of ethanol required per hour is m_B = 3.91*46 = 179.82 kg/h. The total volumetric feed flow rate is q_raw = (234.55+179.82)*1000/1.05 = 394.6 L/h. The initial concentration of acetic acid is c_{A0} = 234.55*1000/(60*394.6) = 9.81 mol/L. The initial concentration of ethanol is c_{B0} = 179.82*1000/(46*394.6) = 9.81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x)}=28.47 h. Theoretical volume is v=28.47*394.6=11235.79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</si>
  <si>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264/88 = 3.0 kmol/h. According to the chemical reaction equation, the mass flow rate of acetic acid required per hour is m_A = 3.0*60 = 180.0 kg/h. The mass flow rate of ethanol required per hour is m_B = 3.0*46 = 138.0 kg/h. The total volumetric feed flow rate is q_raw = (180.0+138.0)*1000/0.95 = 336.84 L/h. The initial concentration of acetic acid is c_{A0} = 180.0*1000/(60*336.84) = 9.0 mol/L. The initial concentration of ethanol is c_{B0} = 138.0*1000/(46*336.84) = 9.0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}{k1*(1-x_{A})*(c_{B0}-c_{A0}*x_{A})-\frac{c_{A0}*x_{A}*x_{A}}{kc}}=120.86 h. Theoretical volume is v=120.86*336.84=40746.24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</si>
  <si>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206/88 = 2.35 kmol/h. According to the chemical reaction equation, the mass flow rate of acetic acid required per hour is m_A = 2.35*60 = 140.91 kg/h. The mass flow rate of ethanol required per hour is m_B = 2.35*46 = 108.2 kg/h. The total volumetric feed flow rate is q_raw = (140.91+108.2)*1000/0.93 = 273.08 L/h. The initial concentration of acetic acid is c_{A0} = 140.91*1000/(60*273.08) = 8.4 mol/L. The initial concentration of ethanol is c_{B0} = 108.2*1000/(46*273.08) = 8.4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}{k1*(1-x_{A})*(c_{B0}-c_{A0}*x_{A})-\frac{c_{A0}*x_{A}*x_{A}}{kc}}=108.32 h. Theoretical volume is v=108.32*273.08=29524.53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</si>
  <si>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782/88 = 8.93 kmol/h. According to the chemical reaction equation, the mass flow rate of acetic acid required per hour is m_A = 8.93*60 = 535.91 kg/h. The mass flow rate of ethanol required per hour is m_B = 8.93*46 = 408.26 kg/h. The total volumetric feed flow rate is q_raw = (535.91+408.26)*1000/0.84 = 1136.03 L/h. The initial concentration of acetic acid is c_{A0} = 535.91*1000/(60*1136.03) = 7.83 mol/L. The initial concentration of ethanol is c_{B0} = 408.26*1000/(46*1136.03) = 7.83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x)}=0.1 h. Theoretical volume is v=0.1*1136.03=117.09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</si>
  <si>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345/88 = 3.92 kmol/h. According to the chemical reaction equation, the mass flow rate of acetic acid required per hour is m_A = 3.92*60 = 235.23 kg/h. The mass flow rate of ethanol required per hour is m_B = 3.92*46 = 180.34 kg/h. The total volumetric feed flow rate is q_raw = (235.23+180.34)*1000/0.81 = 527.09 L/h. The initial concentration of acetic acid is c_{A0} = 235.23*1000/(60*527.09) = 7.47 mol/L. The initial concentration of ethanol is c_{B0} = 180.34*1000/(46*527.09) = 7.47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}{k1*(1-x_{A})*(c_{B0}-c_{A0}*x_{A})-\frac{c_{A0}*x_{A}*x_{A}}{kc}}=100.28 h. Theoretical volume is v=100.28*527.09=52853.32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</si>
  <si>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782/88 = 8.93 kmol/h. According to the chemical reaction equation, the mass flow rate of acetic acid required per hour is m_A = 8.93*60 = 535.91 kg/h. The mass flow rate of ethanol required per hour is m_B = 8.93*46 = 408.26 kg/h. The total volumetric feed flow rate is q_raw = (535.91+408.26)*1000/1.18 = 800.09 L/h. The initial concentration of acetic acid is c_{A0} = 535.91*1000/(60*800.09) = 10.75 mol/L. The initial concentration of ethanol is c_{B0} = 408.26*1000/(46*800.09) = 10.75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x)}=0.13 h. Theoretical volume is v=0.13*800.09=104.03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</si>
  <si>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172/88 = 1.95 kmol/h. According to the chemical reaction equation, the mass flow rate of acetic acid required per hour is m_A = 1.95*60 = 117.27 kg/h. The mass flow rate of ethanol required per hour is m_B = 1.95*46 = 89.91 kg/h. The total volumetric feed flow rate is q_raw = (117.27+89.91)*1000/0.93 = 222.95 L/h. The initial concentration of acetic acid is c_{A0} = 117.27*1000/(60*222.95) = 9.06 mol/L. The initial concentration of ethanol is c_{B0} = 89.91*1000/(46*222.95) = 9.06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}{k1*(1-x_{A})*(c_{B0}-c_{A0}*x_{A})-\frac{c_{A0}*x_{A}*x_{A}}{kc}}=112.94 h. Theoretical volume is v=112.94*222.95=25150.07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</si>
  <si>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633/88 = 7.19 kmol/h. According to the chemical reaction equation, the mass flow rate of acetic acid required per hour is m_A = 7.19*60 = 431.59 kg/h. The mass flow rate of ethanol required per hour is m_B = 7.19*46 = 330.89 kg/h. The total volumetric feed flow rate is q_raw = (431.59+330.89)*1000/0.91 = 828.71 L/h. The initial concentration of acetic acid is c_{A0} = 431.59*1000/(60*828.71) = 8.68 mol/L. The initial concentration of ethanol is c_{B0} = 330.89*1000/(46*828.71) = 8.68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}{k1*(1-x_{A})*(c_{B0}-c_{A0}*x_{A})-\frac{c_{A0}*x_{A}*x_{A}}{kc}}=112.78 h. Theoretical volume is v=112.78*828.71=93707.65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</si>
  <si>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529/88 = 6.03 kmol/h. According to the chemical reaction equation, the mass flow rate of acetic acid required per hour is m_A = 6.03*60 = 362.05 kg/h. The mass flow rate of ethanol required per hour is m_B = 6.03*46 = 277.57 kg/h. The total volumetric feed flow rate is q_raw = (362.05+277.57)*1000/1.04 = 618.12 L/h. The initial concentration of acetic acid is c_{A0} = 362.05*1000/(60*618.12) = 9.72 mol/L. The initial concentration of ethanol is c_{B0} = 277.57*1000/(46*618.12) = 9.72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x)}=42.78 h. Theoretical volume is v=42.78*618.12=26435.4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</si>
  <si>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169/88 = 1.92 kmol/h. According to the chemical reaction equation, the mass flow rate of acetic acid required per hour is m_A = 1.92*60 = 115.2 kg/h. The mass flow rate of ethanol required per hour is m_B = 1.92*46 = 88.33 kg/h. The total volumetric feed flow rate is q_raw = (115.2+88.33)*1000/1.01 = 203.54 L/h. The initial concentration of acetic acid is c_{A0} = 115.2*1000/(60*203.54) = 9.43 mol/L. The initial concentration of ethanol is c_{B0} = 88.33*1000/(46*203.54) = 9.43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}{k1*(1-x_{A})*(c_{B0}-c_{A0}*x_{A})-\frac{c_{A0}*x_{A}*x_{A}}{kc}}=123.63 h. Theoretical volume is v=123.63*203.54=25152.85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</si>
  <si>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128/88 = 1.45 kmol/h. According to the chemical reaction equation, the mass flow rate of acetic acid required per hour is m_A = 1.45*60 = 87.27 kg/h. The mass flow rate of ethanol required per hour is m_B = 1.45*46 = 66.81 kg/h. The total volumetric feed flow rate is q_raw = (87.27+66.81)*1000/1.15 = 133.47 L/h. The initial concentration of acetic acid is c_{A0} = 87.27*1000/(60*133.47) = 10.94 mol/L. The initial concentration of ethanol is c_{B0} = 66.81*1000/(46*133.47) = 10.94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}{k1*(1-x_{A})*(c_{B0}-c_{A0}*x_{A})-\frac{c_{A0}*x_{A}*x_{A}}{kc}}=146..47 h. Theoretical volume is v=146.47*133.47=19564.62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</si>
  <si>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637/88 = 7.24 kmol/h. According to the chemical reaction equation, the mass flow rate of acetic acid required per hour is m_A = 7.24*60 = 434.32 kg/h. The mass flow rate of ethanol required per hour is m_B = 7.24*46 = 333.00 kg/h. The total volumetric feed flow rate is q_raw = (434.32+333.00)*1000/0.8 = 910.39 L/h. The initial concentration of acetic acid is c_{A0} = 434.32*1000/(60*910.39) = 7.92 mol/L. The initial concentration of ethanol is c_{B0} = 333.00*1000/(46*910.39) = 7.92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x)}=0.08 h. Theoretical volume is v=0.08*910.39=73.5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</si>
  <si>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494/88 = 5.62 kmol/h. According to the chemical reaction equation, the mass flow rate of acetic acid required per hour is m_A = 5.62*60 = 337.5 kg/h. The mass flow rate of ethanol required per hour is m_B = 5.62*46 = 258.5 kg/h. The total volumetric feed flow rate is q_raw = (337.5+258.5)*1000/0.85 = 692.95 L/h. The initial concentration of acetic acid is c_{A0} = 337.5*1000/(60*692.95) = 8.21 mol/L. The initial concentration of ethanol is c_{B0} = 258.5*1000/(46*692.95) = 8.21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x)}=32.17 h. Theoretical volume is v=32.17*692.95=22334.22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</si>
  <si>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695/88 = 7.9 kmol/h. According to the chemical reaction equation, the mass flow rate of acetic acid required per hour is m_A = 7.9*60 = 473.86 kg/h. The mass flow rate of ethanol required per hour is m_B = 7.9*46 = 363.3 kg/h. The total volumetric feed flow rate is q_raw = (473.86+363.3)*1000/1.05 = 799.09 L/h. The initial concentration of acetic acid is c_{A0} = 473.86*1000/(60*799.09) = 10.09 mol/L. The initial concentration of ethanol is c_{B0} = 363.3*1000/(46*799.09) = 10.09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x)}=7.73 h. Theoretical volume is v=7.73*799.09=6172.42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</si>
  <si>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108/88 = 1.23 kmol/h. According to the chemical reaction equation, the mass flow rate of acetic acid required per hour is m_A = 1.23*60 = 73.64 kg/h. The mass flow rate of ethanol required per hour is m_B = 1.23*46 = 56.3 kg/h. The total volumetric feed flow rate is q_raw = (73.64+56.3)*1000/1.14 = 113.89 L/h. The initial concentration of acetic acid is c_{A0} = 73.64*1000/(60*113.89) = 10.85 mol/L. The initial concentration of ethanol is c_{B0} = 56.3*1000/(46*113.89) = 10.85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x)}=49.61 h. Theoretical volume is v=49.61*113.89=5643.87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</si>
  <si>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675/88 = 7.67 kmol/h. According to the chemical reaction equation, the mass flow rate of acetic acid required per hour is m_A = 7.67*60 = 460.23 kg/h. The mass flow rate of ethanol required per hour is m_B = 7.67*46 = 353.84 kg/h. The total volumetric feed flow rate is q_raw = (460.23+353.84)*1000/0.99 = 819.36 L/h. The initial concentration of acetic acid is c_{A0} = 460.23*1000/(60*819.36) = 9.43 mol/L. The initial concentration of ethanol is c_{B0} = 353.84*1000/(46*819.36) = 9.43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}{k1*(1-x_{A})*(c_{B0}-c_{A0}*x_{A})-\frac{c_{A0}*x_{A}*x_{A}}{kc}}=117.6 h. Theoretical volume is v=117.6*819.36=96965.  According to the given conditions, the reactor response time required is 117.6 hours. Given the cost considerations, we recommend using stainless steel as the reactor material.</t>
  </si>
  <si>
    <t>The molar mass of acetic acid is 60 kg/kmol, ethanol is 46 kg/kmol, and ethyl acetate is 88 kg/kmol. The molar flow rate of ethyl acetate required per hour is n_product = 675/88 = 7.67 kmol/h. According to the chemical reaction equation, the mass flow rate of acetic acid required per hour is m_A = 7.67*60 = 460.23 kg/h. The mass flow rate of ethanol required per hour is m_B = 7.67*46 = 353.84 kg/h. The total volumetric feed flow rate is q_raw = (460.23+353.84)*1000/1.12 = 731.5 L/h. The initial concentration of acetic acid is c_{A0} = 460.23*1000/(60*731.5) = 10.66 mol/L. The initial concentration of ethanol is c_{B0} = 353.84*1000/(46*731.5) = 10.66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x)}=17.55 h. Theoretical volume is v=17.55*731.5=12922.09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</si>
  <si>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921/88 = 10.48 kmol/h. According to the chemical reaction equation, the mass flow rate of acetic acid required per hour is m_A = 10.48*60 = 628.64 kg/h. The mass flow rate of ethanol required per hour is m_B = 10.48*46 = 481.95 kg/h. The total volumetric feed flow rate is q_raw = (628.64+481.95)*1000/1.08 = 1022.68 L/h. The initial concentration of acetic acid is c_{A0} = 628.64*1000/(60*1022.68) = 10.28 mol/L. The initial concentration of ethanol is c_{B0} = 481.95*1000/(46*1022.68) = 10.28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}{k1*(1-x_{A})*(c_{B0}-c_{A0}*x_{A})-\frac{c_{A0}*x_{A}*x_{A}}{kc}}=136.09 h. Theoretical volume is v=136.09*1022.68=139249.54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</si>
  <si>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839/88 = 9.53 kmol/h. According to the chemical reaction equation, the mass flow rate of acetic acid required per hour is m_A = 9.53*60 = 572.05 kg/h. The mass flow rate of ethanol required per hour is m_B = 9.53*46 = 438.57 kg/h. The total volumetric feed flow rate is q_raw = (572.05+438.57)*1000/0.89 = 1111.87 L/h. The initial concentration of acetic acid is c_{A0} = 572.05*1000/(60*1111.87) = 8.4 mol/L. The initial concentration of ethanol is c_{B0} = 438.57*1000/(46*1111.87) = 8.4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x)}=23.29 h. Theoretical volume is v=23.29*1111.87=25833.88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</si>
  <si>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723/88 = 8.24 kmol/h. According to the chemical reaction equation, the mass flow rate of acetic acid required per hour is m_A = 8.24*60 = 494.55 kg/h. The mass flow rate of ethanol required per hour is m_B = 8.24*46 = 378.98 kg/h. The total volumetric feed flow rate is q_raw = (494.55+378.98)*1000/0.79 = 1100.88 L/h. The initial concentration of acetic acid is c_{A0} = 494.55*1000/(60*1100.88) = 7.45 mol/L. The initial concentration of ethanol is c_{B0} = 378.98*1000/(46*1100.88) = 7.45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}{k1*(1-x_{A})*(c_{B0}-c_{A0}*x_{A})-\frac{c_{A0}*x_{A}*x_{A}}{kc}}=96.39 h. Theoretical volume is v=96.39*1100.88=106087.64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</si>
  <si>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343/88 = 3.92 kmol/h. According to the chemical reaction equation, the mass flow rate of acetic acid required per hour is m_A = 3.92*60 = 235.23 kg/h. The mass flow rate of ethanol required per hour is m_B = 3.92*46 = 180.34 kg/h. The total volumetric feed flow rate is q_raw = (235.23+180.34)*1000/0.93 = 445.19 L/h. The initial concentration of acetic acid is c_{A0} = 235.23*1000/(60*445.19) = 8.77 mol/L. The initial concentration of ethanol is c_{B0} = 180.34*1000/(46*445.19) = 8.77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}{k1*(1-x_{A})*(c_{B0}-c_{A0}*x_{A})-\frac{c_{A0}*x_{A}*x_{A}}{kc}}=108.5 h. Theoretical volume is v=108.5*445.19=48352.15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</si>
  <si>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123/88 = 1.4 kmol/h. According to the chemical reaction equation, the mass flow rate of acetic acid required per hour is m_A = 1.4*60 = 82.27 kg/h. The mass flow rate of ethanol required per hour is m_B = 1.4*46 = 64.65 kg/h. The total volumetric feed flow rate is q_raw = (82.27+64.65)*1000/1.05 = 135.68 L/h. The initial concentration of acetic acid is c_{A0} = 82.27*1000/(60*135.68) = 10.19 mol/L. The initial concentration of ethanol is c_{B0} = 64.65*1000/(46*135.68) = 10.19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x)}=13.69 h. Theoretical volume is v=13.69*135.68=1846.8 l.After comprehensively evaluating various factors in the reaction process, the emergence of highly corrosive substances (sulfuric acid) necessitates material considerations. Given cost-effectiveness requirements, we recommend using stainless steel as the reactor material.</t>
  </si>
  <si>
    <t>The relative molecular weight of CH_{3}COOC_{2}H_{5} is 76 kg/kmol, NaOH is 40 kg/kmol. Raw material volumetric flow rate: Q_{0}=(341+341)/1.19=575.95 m^3/h. Initial concentration of ethyl acetate: c_{A0}=341*1000/(76*575.95)=7.83 mol/L. Initial concentration of sodium hydroxide: c_{B0}=341*1000*1/(40*575.95)=14.5 mol/L. The concentration of chloroethanol: c_{A}=c_{A0}*(1-x). The concentration of sodium bicarbonate: c_{B}=c_{B0}-c_{A0}*x. Reaction time obtained through integral calculation: t=\frac{c_{A0} \cdot x_{f}}{r_{A}}=\frac{c_{A0} \cdot x_{f}}{k \cdot c_{A} \cdot c_{B}}=\frac{x_{f}}{k \cdot (1-x_{A}) \cdot (c_{B0}-c_{A0} \cdot x_{A})}=0.08 h. Theoretical volume is v=0.08*575.95=42.58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</si>
  <si>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Q_{0}=(225+225)/1.83=244.65 m^3/h. Initial concentration of ethyl acetate: c_{A0}=225*1000/(76*244.65)=11.91 mol/L. Initial concentration of sodium hydroxide: c_{B0}=225*1000*1/(40*244.65)=23.5 mol/L. The concentration of chloroethanol: c_{A}=c_{A0}*(1-x). The concentration of sodium bicarbonate: c_{B}=c_{B0}-c_{A0}*x. Reaction time obtained through integral calculation: t=\int_{0}^{x_{f} } \frac{c_{A0}dx_{A} }{r_{A}}=\int_{0}^{x_{f} } \frac{c_{A0}dx_{A} }{k*c_{A}*c_{B}}=\int_{0}^{x_{f} } \frac{dx_{A} }{k*(1-x_{A})*(c_{B0}-c_{A0}*x_{A})}=0.04 h. Theoretical volume is v=0.04*244.65=9.7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</si>
  <si>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Q_{0}=(720+720)/1.63=877.99 m^3/h. Initial concentration of ethyl acetate: c_{A0}=720*1000/(76*877.99)=10.86 mol/L. Initial concentration of sodium hydroxide: c_{B0}=720*1000*1/(40*877.99)=20.62 mol/L. The concentration of chloroethanol: c_{A}=c_{A0}*(1-x). The concentration of sodium bicarbonate: c_{B}=c_{B0}-c_{A0}*x. Reaction time obtained through integral calculation: t=\frac{c_{A0} \cdot x_{f}}{r_{A}}=\frac{c_{A0} \cdot x_{f}}{k \cdot c_{A} \cdot c_{B}}=\frac{x_{f}}{k \cdot (1-x_{A}) \cdot (c_{B0}-c_{A0} \cdot x_{A})}=0.03 h. Theoretical volume is v=0.03*877.99=27.27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</si>
  <si>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Q_{0}=(780+780)/1.9=826.32 m^3/h. Initial concentration of ethyl acetate: c_{A0}=780*1000/(76*826.32)=12.11 mol/L. Initial concentration of sodium hydroxide: c_{B0}=780*1000*1/(40*826.32)=23.12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v=0.03*826.32=23.22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</si>
  <si>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Q_{0}=(640+640)/1.7=752.92 m^3/h. Initial concentration of ethyl acetate: c_{A0}=640*1000/(76*752.92)=10.99 mol/L. Initial concentration of sodium hydroxide: c_{B0}=640*1000*1/(40*752.92)=21.25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v=0.02*752.92=16.45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</si>
  <si>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Q_{0}=(525+525)/1.01=1040.0 m^3/h. Initial concentration of ethyl acetate: c_{A0}=525*1000/(76*1040.0)=6.71 mol/L. Initial concentration of sodium hydroxide: c_{B0}=525*1000*1/(40*1040.0)=12.5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v=0.03*1040.0=34.07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</si>
  <si>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Q_{0}=(591+591)/1.64=721.72 m^3/h. Initial concentration of ethyl acetate: c_{A0}=591*1000/(76*721.72)=10.86 mol/L. Initial concentration of sodium hydroxide: c_{B0}=591*1000*1/(40*721.72)=20.5 mol/L. The concentration of chloroethanol: c_{A}=c_{A0}*(1-x). The concentration of sodium bicarbonate: c_{B}=c_{B0}-c_{A0}*x. Reaction time obtained through integral calculation: t=\frac{c_{A0} \cdot x_{f}}{r_{A}}=\frac{c_{A0} \cdot x_{f}}{k \cdot c_{A} \cdot c_{B}}=\frac{x_{f}}{k \cdot (1-x_{A}) \cdot (c_{B0}-c_{A0} \cdot x_{A})}=0.04 h. Theoretical volume is v=0.04*721.72=30. l. material selection: given the required concentration of chloroethanol, the presence of athabate is necessary. Therefore, we recommend using stainless steel as the reactor material.</t>
  </si>
  <si>
    <t>The relative molecular weight of CH_{3}COOC_{2}H_{5} is 76 kg/kmol, NaOH is 40 kg/kmol. Raw material volumetric flow rate: Q_{0}=(758+758)/1.29=1212.85 m^3/h. Initial concentration of ethyl acetate: c_{A0}=758*1000/(76*1212.85)=8.21 mol/L. Initial concentration of sodium hydroxide: c_{B0}=758*1000*1/(40*1212.85)=15.62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v=0.03*1212.85=40.39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</si>
  <si>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Q_{0}=(342+342)/1.75=380.57 m^3/h. Initial concentration of ethyl acetate: c_{A0}=342*1000/(76*380.57)=11.71 mol/L. Initial concentration of sodium hydroxide: c_{B0}=342*1000*1/(40*380.57)=22.38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v=0.02*380.57=6.25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</si>
  <si>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Q_{0}=(629+629)/1.49=845.12 m^3/h. Initial concentration of ethyl acetate: c_{A0}=629*1000/(76*845.12)=9.74 mol/L. Initial concentration of sodium hydroxide: c_{B0}=629*1000*1/(40*845.12)=18.5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v=0.03*845.12=22.29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</si>
  <si>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Q_{0}=(640+640)/1.82=680.75 m^3/h. Initial concentration of ethyl acetate: c_{A0}=640*1000/(76*680.75)=12.31 mol/L. Initial concentration of sodium hydroxide: c_{B0}=640*1000*1/(40*680.75)=23.4 mol/L. The concentration of chloroethanol: c_{A}=c_{A0}*(1-x). The concentration of sodium bicarbonate: c_{B}=c_{B0}-c_{A0}*x. Reaction time obtained through integral calculation: t=\int_{0}^{x_{f} } \frac{c_{A0}dx_{A} }{r_{A}}=\int_{0}^{x_{f} } \frac{c_{A0}dx_{A} }{k*c_{A}*c_{B}}=\int_{0}^{x_{f} } \frac{dx_{A} }{k*(1-x_{A})*(c_{B0}-c_{A0}*x_{A})}=0.01 h. Theoretical volume is v=0.01*680.75=10.02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</si>
  <si>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Q_{0}=(393+393)/1.47=536.59 m^3/h. Initial concentration of ethyl acetate: c_{A0}=393*1000/(76*536.59)=9.93 mol/L. Initial concentration of sodium hydroxide: c_{B0}=393*1000*1/(40*536.59)=18.38 mol/L. The concentration of chloroethanol: c_{A}=c_{A0}*(1-x). The concentration of sodium bicarbonate: c_{B}=c_{B0}-c_{A0}*x. Reaction time obtained through integral calculation: t=\frac{c_{A0} \cdot x_{f}}{r_{A}}=\frac{c_{A0} \cdot x_{f}}{k \cdot c_{A} \cdot c_{B}}=\frac{x_{f}}{k \cdot (1-x_{A}) \cdot (c_{B0}-c_{A0} \cdot x_{A})}=0.1 h. Theoretical volume is v=0.1*536.59=55.37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</si>
  <si>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Q_{0}=(908+908)/1.33=1369.68 m^3/h. Initial concentration of ethyl acetate: c_{A0}=908*1000/(76*1369.68)=8.52 mol/L. Initial concentration of sodium hydroxide: c_{B0}=908*1000*1/(40*1369.68)=16.0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v=0.03*1369.68=41.73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</si>
  <si>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Q_{0}=(345+345)/1.3=527.69 m^3/h. Initial concentration of ethyl acetate: c_{A0}=345*1000/(76*527.69)=8.58 mol/L. Initial concentration of sodium hydroxide: c_{B0}=345*1000*1/(40*527.69)=16.42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v=0.03*527.69=12.72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</si>
  <si>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Q_{0}=(815+815)/1.45=1128.67 m^3/h. Initial concentration of ethyl acetate: c_{A0}=815*1000/(76*1128.67)=9.41 mol/L. Initial concentration of sodium hydroxide: c_{B0}=815*1000*1/(40*1128.67)=17.94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v=0.03*1128.67=29.96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</si>
  <si>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Q_{0}=(786+786)/1.55=996.1 m^3/h. Initial concentration of ethyl acetate: c_{A0}=786*1000/(76*996.1)=10.46 mol/L. Initial concentration of sodium hydroxide: c_{B0}=786*1000*1/(40*996.1)=19.88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v=0.02*996.1=19.84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</si>
  <si>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Q_{0}=(535+535)/1.16=930.69 m^3/h. Initial concentration of ethyl acetate: c_{A0}=535*1000/(76*930.69)=7.5 mol/L. Initial concentration of sodium hydroxide: c_{B0}=535*1000*1/(40*930.69)=14.25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v=0.02*930.69=21.38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</si>
  <si>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Q_{0}=(690+690)/1.61=880.74 m^3/h. Initial concentration of ethyl acetate: c_{A0}=690*1000/(76*880.74)=10.46 mol/L. Initial concentration of sodium hydroxide: c_{B0}=690*1000*1/(40*880.74)=19.25 mol/L. The concentration of chloroethanol: c_{A}=c_{A0}*(1-x). The concentration of sodium bicarbonate: c_{B}=c_{B0}-c_{A0}*x. Reaction time obtained through integral calculation: t=\int_{0}^{x_{f} } \frac{c_{A0}dx_{A} }{r_{A}}=\int_{0}^{x_{f} } \frac{c_{A0}dx_{A} }{k*c_{A}*c_{B}}=\int_{0}^{x_{f} } \frac{dx_{A} }{k*(1-x_{A})*(c_{B0}-c_{A0}*x_{A})}=0.06 h. Theoretical volume is v=0.06*880.74=50.31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</si>
  <si>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Q_{0}=(632+632)/1.23=1013.23 m^3/h. Initial concentration of ethyl acetate: c_{A0}=632*1000/(76*1013.23)=8.16 mol/L. Initial concentration of sodium hydroxide: c_{B0}=632*1000*1/(40*1013.23)=15.62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v=0.03*1013.23=33.46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</si>
  <si>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Q_{0}=(618+618)/1.9=660.53 m^3/h. Initial concentration of ethyl acetate: c_{A0}=618*1000/(76*660.53)=12.5 mol/L. Initial concentration of sodium hydroxide: c_{B0}=618*1000*1/(40*660.53)=23.25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v=0.02*660.53=9.99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</si>
  <si>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Q_{0}=(688+688)/1.37=1018.31 m^3/h. Initial concentration of ethyl acetate: c_{A0}=688*1000/(76*1018.31)=8.97 mol/L. Initial concentration of sodium hydroxide: c_{B0}=688*1000*1/(40*1018.31)=16.98 mol/L. The concentration of chloroethanol: c_{A}=c_{A0}*(1-x). The concentration of sodium bicarbonate: c_{B}=c_{B0}-c_{A0}*x. Reaction time obtained through integral calculation: t=\frac{c_{A0} \cdot x_{f}}{r_{A}}=\frac{c_{A0} \cdot x_{f}}{k \cdot c_{A} \cdot c_{B}}=\frac{x_{f}}{k \cdot (1-x_{A}) \cdot (c_{B0}-c_{A0} \cdot x_{A})}=0.85 h. Theoretical volume is v=0.85*1018.31=854.79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</si>
  <si>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Q_{0}=(550+550)/1.47=731.48 m^3/h. Initial concentration of ethyl acetate: c_{A0}=550*1000/(76*731.48)=10.0 mol/L. Initial concentration of sodium hydroxide: c_{B0}=550*1000*1/(40*731.48)=18.42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v=0.02*731.48=16.38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</si>
  <si>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Q_{0}=(960+960)/1.16=1648.26 m^3/h. Initial concentration of ethyl acetate: c_{A0}=960*1000/(76*1648.26)=7.43 mol/L. Initial concentration of sodium hydroxide: c_{B0}=960*1000*1/(40*1648.26)=14.5 mol/L. The concentration of chloroethanol: c_{A}=c_{A0}*(1-x). The concentration of sodium bicarbonate: c_{B}=c_{B0}-c_{A0}*x. Reaction time obtained through integral calculation: t=\int_{0}^{x_{f} } \frac{c_{A0}dx_{A} }{r_{A}}=\int_{0}^{x_{f} } \frac{c_{A0}dx_{A} }{k*c_{A}*c_{B}}=\int_{0}^{x_{f} } \frac{dx_{A} }{k*(1-x_{A})*(c_{B0}-c_{A0}*x_{A})}=0.07 h. Theoretical volume is v=0.07*1648.26=115.08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</si>
  <si>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Q_{0}=(631+631)/1.51=834.17 m^3/h. Initial concentration of ethyl acetate: c_{A0}=631*1000/(76*834.17)=10.07 mol/L. Initial concentration of sodium hydroxide: c_{B0}=631*1000*1/(40*834.17)=18.75 mol/L. The concentration of chloroethanol: c_{A}=c_{A0}*(1-x). The concentration of sodium bicarbonate: c_{B}=c_{B0}-c_{A0}*x. Reaction time obtained through integral calculation: t=\frac{c_{A0} \cdot x_{f}}{r_{A}}=\frac{c_{A0} \cdot x_{f}}{k \cdot c_{A} \cdot c_{B}}=\frac{x_{f}}{k \cdot (1-x_{A}) \cdot (c_{B0}-c_{A0} \cdot x_{A})}=0.13 h. Theoretical volume is v=0.13*834.17=108.28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</si>
  <si>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Q_{0}=(803+803)/1.14=1428.3 m^3/h. Initial concentration of ethyl acetate: c_{A0}=803*1000/(76*1428.3)=7.43 mol/L. Initial concentration of sodium hydroxide: c_{B0}=803*1000*1/(40*1428.3)=14.0 mol/L. The concentration of chloroethanol: c_{A}=c_{A0}*(1-x). The concentration of sodium bicarbonate: c_{B}=c_{B0}-c_{A0}*x. Reaction time obtained through integral calculation: t=\int_{0}^{x_{f} } \frac{c_{A0}dx_{A} }{r_{A}}=\int_{0}^{x_{f} } \frac{c_{A0}dx_{A} }{k*c_{A}*c_{B}}=\int_{0}^{x_{f} } \frac{dx_{A} }{k*(1-x_{A})*(c_{B0}-c_{A0}*x_{A})}=0.04 h. Theoretical volume is v=0.04*1428.3=55.94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</si>
  <si>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Q_{0}=(393+393)/1.77=446.51 m^3/h. Initial concentration of ethyl acetate: c_{A0}=393*1000/(76*446.51)=11.64 mol/L. Initial concentration of sodium hydroxide: c_{B0}=393*1000*1/(40*446.51)=22.25 mol/L. The concentration of chloroethanol: c_{A}=c_{A0}*(1-x). The concentration of sodium bicarbonate: c_{B}=c_{B0}-c_{A0}*x. Reaction time obtained through integral calculation: t=\frac{c_{A0} \cdot x_{f}}{r_{A}}=\frac{c_{A0} \cdot x_{f}}{k \cdot c_{A} \cdot c_{B}}=\frac{x_{f}}{k \cdot (1-x_{A}) \cdot (c_{B0}-c_{A0} \cdot x_{A})}=0.09 h. Theoretical volume is v=0.09*446.51=39.7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</si>
  <si>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Q_{0}=(128+128)/1.55=167.96 m^3/h. Initial concentration of ethyl acetate: c_{A0}=128*1000/(76*167.96)=10.59 mol/L. Initial concentration of sodium hydroxide: c_{B0}=128*1000*1/(40*167.96)=19.12 mol/L. The concentration of chloroethanol: c_{A}=c_{A0}*(1-x). The concentration of sodium bicarbonate: c_{B}=c_{B0}-c_{A0}*x. Reaction time obtained through integral calculation: t=\frac{c_{A0} \cdot x_{f}}{r_{A}}=\frac{c_{A0} \cdot x_{f}}{k \cdot c_{A} \cdot c_{B}}=\frac{x_{f}}{k \cdot (1-x_{A}) \cdot (c_{B0}-c_{A0} \cdot x_{A})}=0.13 h. Theoretical volume is v=0.13*167.96=22.29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</si>
  <si>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Q_{0}=(465+465)/1.27=725.94 m^3/h. Initial concentration of ethyl acetate: c_{A0}=465*1000/(76*725.94)=8.36 mol/L. Initial concentration of sodium hydroxide: c_{B0}=465*1000*1/(40*725.94)=16.0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v=0.02*725.94=15.7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</si>
  <si>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Q_{0}=(957+957)/1.63=1170.12 m^3/h. Initial concentration of ethyl acetate: c_{A0}=957*1000/(76*1170.12)=10.86 mol/L. Initial concentration of sodium hydroxide: c_{B0}=957*1000*1/(40*1170.12)=20.5 mol/L. The concentration of chloroethanol: c_{A}=c_{A0}*(1-x). The concentration of sodium bicarbonate: c_{B}=c_{B0}-c_{A0}*x. Reaction time obtained through integral calculation: t=\frac{c_{A0} \cdot x_{f}}{r_{A}}=\frac{c_{A0} \cdot x_{f}}{k \cdot c_{A} \cdot c_{B}}=\frac{x_{f}}{k \cdot (1-x_{A}) \cdot (c_{B0}-c_{A0} \cdot x_{A})}=0.06 h. Theoretical volume is v=0.06*1170.12=70.01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</si>
  <si>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NaHCO_{3} is 84 kg/kmol, CH_{2}ClCH_{2}OH is 80.5 kg/kmol, CH_{2}OHCH_{2}OH is 62 kg/kmol. Hourly production of ethylene glycol: 130/62=2.11kmol/h. Hourly required chloroethanol: 2.11*80.5/(0.76*0.12)=1821.25kg/h. Hourly required sodium bicarbonate: 2.11*84*3.6/(0.76*0.34)=2411.37kg/h. Raw material volumetric flow rate: Q_{0}=(1821.25+2411.37)/1.04=4029.12L/h. Initial concentration of chloroethanol: c_{A0}=2.11*1000/(0.76*4029.12)=0.67mol/L. Initial concentration of sodium bicarbonate: c_{B0}=2.11*1000*3.6/(0.76*4029.12)=2.41mol/L. The concentration of chloroethanol: c_{A}=c_{A0}*(1-x). The concentration of sodium bicarbonate: c_{B}=c_{B0}-c_{A0}*x. Reaction time obtained through integral calculation: t=\int_{0}^{x_{f} } \frac{c_{A0}dx_{A} }{r_{A}}=\int_{0}^{x_{f} } \frac{c_{A0}dx_{A} }{k*c_{A}*c_{B}}=\int_{0}^{x_{f} } \frac{dx_{A} }{k*(1-x_{A})*(c_{B0}-c_{A0}*x_{A})}=0.15 h. Theoretical volume is v=0.15*4029.12=596.3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</si>
  <si>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453/62=7.31kmol/h. Hourly required chloroethanol: 7.31*80.5/(0.81*0.18)=3608.49kg/h. Hourly required sodium bicarbonate: 7.31*84*3.8/(0.81*0.23)=12576.57kg/h. Raw material volumetric flow rate: Q_{0}=(3608.49+12576.57)/1.57=10131.16L/h. Initial concentration of chloroethanol: c_{A0}=7.31*1000/(0.81*10131.16)=0.91mol/L. Initial concentration of sodium bicarbonate: c_{B0}=7.31*1000*3.8/(0.81*10131.16)=3.43mol/L. The concentration of chloroethanol: c_{A}=c_{A0}*(1-x). The concentration of sodium bicarbonate: c_{B}=c_{B0}-c_{A0}*x. Reaction time obtained through integral calculation: t=\int_{0}^{x_{f} } \frac{c_{A0}dx_{A} }{r_{A}}=\int_{0}^{x_{f} } \frac{c_{A0}dx_{A} }{k*c_{A}*c_{B}}=\int_{0}^{x_{f} } \frac{dx_{A} }{k*(1-x_{A})*(c_{B0}-c_{A0}*x_{A})}=0.11 h. Theoretical volume is v=0.11*10131.16=1131.26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</si>
  <si>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602/62=9.73kmol/h. Hourly required chloroethanol: 9.73*80.5/(0.87*0.31)=2683.77kg/h. Hourly required sodium bicarbonate: 9.73*84*1.0/(0.87*0.37)=2550.77kg/h. Raw material volumetric flow rate: Q_{0}=(2683.77+2550.77)/1.59=3333.25L/h. Initial concentration of chloroethanol: c_{A0}=9.73*1000/(0.87*3333.25)=3.43mol/L. Initial concentration of sodium bicarbonate: c_{B0}=9.73*1000*1.0/(0.87*3333.25)=3.43mol/L. The concentration of chloroethanol: c_{A}=c_{A0}*(1-x). The concentration of sodium bicarbonate: c_{B}=c_{B0}-c_{A0}*x. Reaction time obtained through integral calculation: t=\int_{0}^{x_{f} } \frac{c_{A0}dx_{A} }{r_{A}}=\int_{0}^{x_{f} } \frac{c_{A0}dx_{A} }{k*c_{A}*c_{B}}=\int_{0}^{x_{f} } \frac{dx_{A} }{k*(1-x_{A})*(c_{B0}-c_{A0}*x_{A})}=0.24 h. Theoretical volume is v=0.24*3333.25=799.38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</si>
  <si>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816/62=13.16kmol/h. Hourly required chloroethanol: 13.16*80.5/(0.95*0.4)=2625.35kg/h. Hourly required sodium bicarbonate: 13.16*84*2.9/(0.95*0.45)=7365.87kg/h. Raw material volumetric flow rate: Q_{0}=(2625.35+7365.87)/1.31=7190.45L/h. Initial concentration of chloroethanol: c_{A0}=13.16*1000/(0.95*7190.45)=1.89mol/L. Initial concentration of sodium bicarbonate: c_{B0}=13.16*1000*2.9/(0.95*7190.45)=5.48mol/L. The concentration of chloroethanol: c_{A}=c_{A0}*(1-x). The concentration of sodium bicarbonate: c_{B}=c_{B0}-c_{A0}*x. Reaction time obtained through integral calculation: t=\int_{0}^{x_{f} } \frac{c_{A0}dx_{A} }{r_{A}}=\int_{0}^{x_{f} } \frac{c_{A0}dx_{A} }{k*c_{A}*c_{B}}=\int_{0}^{x_{f} } \frac{dx_{A} }{k*(1-x_{A})*(c_{B0}-c_{A0}*x_{A})}=0.18 h. Theoretical volume is v=0.18*7190.45=1370.87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</si>
  <si>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464/62=7.5kmol/h. Hourly required chloroethanol: 7.5*80.5/(0.72*0.05)=16496.05kg/h. Hourly required sodium bicarbonate: 7.5*84*3.3/(0.72*0.23)=13353.45kg/h. Raw material volumetric flow rate: Q_{0}=(16496.05+13353.45)/1.41=21120.53L/h. Initial concentration of chloroethanol: c_{A0}=7.5*1000/(0.72*21120.53)=0.50mol/L. Initial concentration of sodium bicarbonate: c_{B0}=7.5*1000*3.3/(0.72*21120.53)=1.65mol/L. The concentration of chloroethanol: c_{A}=c_{A0}*(1-x). The concentration of sodium bicarbonate: c_{B}=c_{B0}-c_{A0}*x. Reaction time obtained through integral calculation: t=\int_{0}^{x_{f} } \frac{c_{A0}dx_{A} }{r_{A}}=\int_{0}^{x_{f} } \frac{c_{A0}dx_{A} }{k*c_{A}*c_{B}}=\int_{0}^{x_{f} } \frac{dx_{A} }{k*(1-x_{A})*(c_{B0}-c_{A0}*x_{A})}=0.15 h. Theoretical volume is v=0.15*21120.53=3101.26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</si>
  <si>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867/62=14.02kmol/h. Hourly required chloroethanol: 14.02*80.5/(0.85*0.37)=3557.18kg/h. Hourly required sodium bicarbonate: 14.02*84*4.0/(0.85*0.42)=14560.76kg/h. Raw material volumetric flow rate: Q_{0}=(3557.18+14560.76)/1.48=12131.16L/h. Initial concentration of chloroethanol: c_{A0}=14.02*1000/(0.85*12131.16)=1.38mol/L. Initial concentration of sodium bicarbonate: c_{B0}=14.02*1000*4.0/(0.85*12131.16)=5.52mol/L. The concentration of chloroethanol: c_{A}=c_{A0}*(1-x). The concentration of sodium bicarbonate: c_{B}=c_{B0}-c_{A0}*x. Reaction time obtained through integral calculation: t=\int_{0}^{x_{f} } \frac{c_{A0}dx_{A} }{r_{A}}=\int_{0}^{x_{f} } \frac{c_{A0}dx_{A} }{k*c_{A}*c_{B}}=\int_{0}^{x_{f} } \frac{dx_{A} }{k*(1-x_{A})*(c_{B0}-c_{A0}*x_{A})}=0.08 h. Theoretical volume is v=0.08*12131.16=953.34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</si>
  <si>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447/62=7.21kmol/h. Hourly required chloroethanol: 7.21*80.5/(0.86*0.1)=6908.32kg/h. Hourly required sodium bicarbonate: 7.21*84*1.1/(0.86*0.12)=6696.59kg/h. Raw material volumetric flow rate: Q_{0}=(6908.32+6696.59)/1.93=6906.81L/h. Initial concentration of chloroethanol: c_{A0}=7.21*1000/(0.86*6906.81)=1.22mol/L. Initial concentration of sodium bicarbonate: c_{B0}=7.21*1000*1.1/(0.86*6906.81)=1.33mol/L. The concentration of chloroethanol: c_{A}=c_{A0}*(1-x). The concentration of sodium bicarbonate: c_{B}=c_{B0}-c_{A0}*x. Reaction time obtained through integral calculation: t=\int_{0}^{x_{f} } \frac{c_{A0}dx_{A} }{r_{A}}=\int_{0}^{x_{f} } \frac{c_{A0}dx_{A} }{k*c_{A}*c_{B}}=\int_{0}^{x_{f} } \frac{dx_{A} }{k*(1-x_{A})*(c_{B0}-c_{A0}*x_{A})}=1.45 h. Theoretical volume is v=1.45*6906.81=9992.87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</si>
  <si>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182/62=2.94kmol/h. Hourly required chloroethanol: 2.94*80.5/(0.7*0.23)=1179.13kg/h. Hourly required sodium bicarbonate: 2.94*84*1.4/(0.7*0.43)=1203.24kg/h. Raw material volumetric flow rate: Q_{0}=(1179.13+1203.24)/1.47=1664.94L/h. Initial concentration of chloroethanol: c_{A0}=2.94*1000/(0.7*1664.94)=2.56mol/L. Initial concentration of sodium bicarbonate: c_{B0}=2.94*1000*1.4/(0.7*1664.94)=3.63mol/L. The concentration of chloroethanol: c_{A}=c_{A0}*(1-x). The concentration of sodium bicarbonate: c_{B}=c_{B0}-c_{A0}*x. Reaction time obtained through integral calculation: t=\int_{0}^{x_{f} } \frac{c_{A0}dx_{A} }{r_{A}}=\int_{0}^{x_{f} } \frac{c_{A0}dx_{A} }{k*c_{A}*c_{B}}=\int_{0}^{x_{f} } \frac{dx_{A} }{k*(1-x_{A})*(c_{B0}-c_{A0}*x_{A})}=0.13 h. Theoretical volume is v=0.13*1664.94=220.96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</si>
  <si>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115/62=1.85kmol/h. Hourly required chloroethanol: 1.85*80.5/(0.84*0.49)=369.45kg/h. Hourly required sodium bicarbonate: 1.85*84*2.4/(0.84*0.5)=1168.22kg/h. Raw material volumetric flow rate: Q_{0}=(369.45+1168.22)/1.15=1306.85L/h. Initial concentration of chloroethanol: c_{A0}=1.85*1000/(0.84*1306.85)=1.68mol/L. Initial concentration of sodium bicarbonate: c_{B0}=1.85*1000*2.4/(0.84*1306.85)=2.82mol/L. The concentration of chloroethanol: c_{A}=c_{A0}*(1-x). The concentration of sodium bicarbonate: c_{B}=c_{B0}-c_{A0}*x. Reaction time obtained through integral calculation: t=\int_{0}^{x_{f} } \frac{c_{A0}dx_{A} }{r_{A}}=\int_{0}^{x_{f} } \frac{c_{A0}dx_{A} }{k*c_{A}*c_{B}}=\int_{0}^{x_{f} } \frac{dx_{A} }{k*(1-x_{A})*(c_{B0}-c_{A0}*x_{A})}=0.14 h. Theoretical volume is v=0.14*1306.85=184.81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</si>
  <si>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782/62=12.65kmol/h. Hourly required chloroethanol: 12.65*80.5/(0.76*0.1)=13095.22kg/h. Hourly required sodium bicarbonate: 12.65*84*1.9/(0.76*0.47)=5586.74kg/h. Raw material volumetric flow rate: Q_{0}=(13095.22+5586.74)/1.91=9764.74L/h. Initial concentration of chloroethanol: c_{A0}=12.65*1000/(0.76*9764.74)=1.7mol/L. Initial concentration of sodium bicarbonate: c_{B0}=12.65*1000*1.9/(0.76*9764.74)=3.23mol/L. The concentration of chloroethanol: c_{A}=c_{A0}*(1-x). The concentration of sodium bicarbonate: c_{B}=c_{B0}-c_{A0}*x. Reaction time obtained through integral calculation: t=\int_{0}^{x_{f} } \frac{c_{A0}dx_{A} }{r_{A}}=\int_{0}^{x_{f} } \frac{c_{A0}dx_{A} }{k*c_{A}*c_{B}}=\int_{0}^{x_{f} } \frac{dx_{A} }{k*(1-x_{A})*(c_{B0}-c_{A0}*x_{A})}=0.11 h. Theoretical volume is v=0.11*9764.74=1101.98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</si>
  <si>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480/62=7.74kmol/h. Hourly required chloroethanol: 7.74*80.5/(0.9*0.09)=7499.57kg/h. Hourly required sodium bicarbonate: 7.74*84*3.8/(0.9*0.26)=11945.12kg/h. Raw material volumetric flow rate: Q_{0}=(7499.57+11945.12)/1.55=12565.56L/h. Initial concentration of chloroethanol: c_{A0}=7.74*1000/(0.9*12565.56)=0.73mol/L. Initial concentration of sodium bicarbonate: c_{B0}=7.74*1000*3.8/(0.9*12565.56)=2.77mol/L. The concentration of chloroethanol: c_{A}=c_{A0}*(1-x). The concentration of sodium bicarbonate: c_{B}=c_{B0}-c_{A0}*x. Reaction time obtained through integral calculation: t=\int_{0}^{x_{f} } \frac{c_{A0}dx_{A} }{r_{A}}=\int_{0}^{x_{f} } \frac{c_{A0}dx_{A} }{k*c_{A}*c_{B}}=\int_{0}^{x_{f} } \frac{dx_{A} }{k*(1-x_{A})*(c_{B0}-c_{A0}*x_{A})}=0.2 h. Theoretical volume is v=0.2*12565.56=2528.67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</si>
  <si>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604/62=9.74kmol/h. Hourly required chloroethanol: 9.74*80.5/(0.98*0.26)=2997.79kg/h. Hourly required sodium bicarbonate: 9.74*84*1.8/(0.98*0.36)=4252.77kg/h. Raw material volumetric flow rate: Q_{0}=(2997.79+4252.77)/1.21=5967.11L/h. Initial concentration of chloroethanol: c_{A0}=9.74*1000/(0.98*5967.11)=1.64mol/L. Initial concentration of sodium bicarbonate: c_{B0}=9.74*1000*1.8/(0.98*5967.11)=3.0mol/L. The concentration of chloroethanol: c_{A}=c_{A0}*(1-x). The concentration of sodium bicarbonate: c_{B}=c_{B0}-c_{A0}*x. Reaction time obtained through integral calculation: t=\int_{0}^{x_{f} } \frac{c_{A0}dx_{A} }{r_{A}}=\int_{0}^{x_{f} } \frac{c_{A0}dx_{A} }{k*c_{A}*c_{B}}=\int_{0}^{x_{f} } \frac{dx_{A} }{k*(1-x_{A})*(c_{B0}-c_{A0}*x_{A})}=0.35 h. Theoretical volume is v=0.35*5967.11=2105.57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</si>
  <si>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441/62=7.11kmol/h. Hourly required chloroethanol: 7.11*80.5/(0.79*0.17)=4240.21kg/h. Hourly required sodium bicarbonate: 7.11*84*1.7/(0.79*0.22)=7573.74kg/h. Raw material volumetric flow rate: Q_{0}=(4240.21+7573.74)/1.32=8959.52L/h. Initial concentration of chloroethanol: c_{A0}=7.11*1000/(0.79*8959.52)=1.02mol/L. Initial concentration of sodium bicarbonate: c_{B0}=7.11*1000*1.7/(0.79*8959.52)=1.73mol/L. The concentration of chloroethanol: c_{A}=c_{A0}*(1-x). The concentration of sodium bicarbonate: c_{B}=c_{B0}-c_{A0}*x. Reaction time obtained through integral calculation: t=\frac{c_{A0}*x_{f}}{r_{A}}=\frac{c_{A0}*x_{f}}{k*c_{A}*c_{B}}=\frac{x_{f}}{k*(1-x_{A})*(c_{B0}-c_{A0}*x_{A})}=0.45 h. Theoretical volume is v=0.45*8959.52=4045. t=0.45 h v=4045. The material recommendation is carbon steel.</t>
  </si>
  <si>
    <t>The relative molecular weight of NaHCO_{3} is 84 kg/kmol, CH_{2}ClCH_{2}OH is 80.5 kg/kmol, CH_{2}OHCH_{2}OH is 62 kg/kmol. Hourly production of ethylene glycol: 666/62=10.74kmol/h. Hourly required chloroethanol: 10.74*80.5/(0.9*0.15)=6141.41kg/h. Hourly required sodium bicarbonate: 10.74*84*1.4/(0.9*0.24)=5954.24kg/h. Raw material volumetric flow rate: Q_{0}=(6141.41+5954.24)/1.46=8887.71L/h. Initial concentration of chloroethanol: c_{A0}=10.74*1000/(0.9*8887.71)=1.33mol/L. Initial concentration of sodium bicarbonate: c_{B0}=10.74*1000*1.4/(0.9*8887.71)=1.86mol/L. The concentration of chloroethanol: c_{A}=c_{A0}*(1-x). The concentration of sodium bicarbonate: c_{B}=c_{B0}-c_{A0}*x. Reaction time obtained through integral calculation: t=\int_{0}^{x_{f} } \frac{c_{A0}dx_{A} }{r_{A}}=\int_{0}^{x_{f} } \frac{c_{A0}dx_{A} }{k*c_{A}*c_{B}}=\int_{0}^{x_{f} } \frac{dx_{A} }{k*(1-x_{A})*(c_{B0}-c_{A0}*x_{A})}=0.52 h. Theoretical volume is v=0.52*8887.71=4620.65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</si>
  <si>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751/62=12.15kmol/h. Hourly required chloroethanol: 12.15*80.5/(0.96*0.21)=4951.29kg/h. Hourly required sodium bicarbonate: 12.15*84*2.9/(0.96*0.24)=12320.2 1kg. Raw material volumetric flow rate: Q_{0}=(4951.29+12320.2 1)/1.59=10598.78 L/h. Initial concentration of chloroethanol: c_{A0}=12.15*1000/(0.96*10598.78)=1.19mol/L. Initial concentration of sodium bicarbonate: c_{B0}=12.15*1000*2.9/(0.96*10598.78)=3.47mol/L. The concentration of chloroethanol: c_{A}=c_{A0}*(1-x). The concentration of sodium bicarbonate: c_{B}=c_{B0}-c_{A0}*x. Reaction time obtained through integral calculation: t=\int_{0}^{x_{f} } \frac{c_{A0}dx_{A} }{r_{A}}=\int_{0}^{x_{f} } \frac{c_{A0}dx_{A} }{k*c_{A}*c_{B}}=\int_{0}^{x_{f} } \frac{dx_{A} }{k*(1-x_{A})*(c_{B0}-c_{A0}*x_{A})}=0.22 h. Theoretical volume is v=0.22*10598.78=2410. 22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</si>
  <si>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587/62=9.44kmol/h. Hourly required chloroethanol: 9.44*80.5/(0.71*0.13)=7921.35kg/h. Hourly required sodium bicarbonate: 9.44*84*5.0/(0.71*0.27)=19353.04kg/h. Raw material volumetric flow rate: Q_{0}=(7921.35+19353.04)/1.78=14314.36L/h. Initial concentration of chloroethanol: c_{A0}=9.44*1000/(0.71*14314.36)=0.93mol/L. Initial concentration of sodium bicarbonate: c_{B0}=9.44*1000*5.0/(0.71*14314.36)=4.67mol/L. The concentration of chloroethanol: c_{A}=c_{A0}*(1-x). The concentration of sodium bicarbonate: c_{B}=c_{B0}-c_{A0}*x. Reaction time obtained through integral calculation: t=\int_{0}^{x_{f} } \frac{c_{A0}dx_{A} }{r_{A}}=\int_{0}^{x_{f} } \frac{c_{A0}dx_{A} }{k*c_{A}*c_{B}}=\int_{0}^{x_{f} } \frac{dx_{A} }{k*(1-x_{A})*(c_{B0}-c_{A0}*x_{A})}=0.06 h. Theoretical volume is v=0.06*14314.36=772.76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</si>
  <si>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839/62=13.5kmol/h. Hourly required chloroethanol: 13.5*80.5/(0.98*0.08)=14189.44kg/h. Hourly required sodium bicarbonate: 13.5*84*3.1/(0.98*0.26)=14026..28kg/h. Raw material volumetric flow rate: Q_{0}=(14189.44+14026.28)/1.88=14610.09L/h. Initial concentration of chloroethanol: c_{A0}=13.5*1000/(0.98*14610.09)=0.94mol/L. Initial concentration of sodium bicarbonate: c_{B0}=13.5*1000*3.1/(0.98*14610.09)=2.89mol/L. The concentration of chloroethanol: c_{A}=c_{A0}*(1-x). The concentration of sodium bicarbonate: c_{B}=c_{B0}-c_{A0}*x. Reaction time obtained through integral calculation: t=\frac{c_{A0}*x_{f}}{r_{A}}=\frac{c_{A0}*x_{f}}{k*c_{A}*c_{B}}=\frac{x_{f}}{k*(1-x_{A})*(c_{B0}-c_{A0}*x_{A})}=1.25 h. Theoretical volume is v=1.25*14610.09=17992.84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</si>
  <si>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853/62=13.79kmol/h. Hourly required chloroethanol: 13.79*80.5/(0.96*0.21)=5761.39kg/h. Hourly required sodium bicarbonate: 13.79*84*4.8/(0.96*0.29)=24243. of kmol/h. Raw material volumetric flow rate: Q_{0}=5761.39/1.35=4295.25L/h. raw material molar flow rate: n_{0}=5761.39/40.5=142.23kmol/h. concentration of chloroethanol: c_{A}=142.23*(0.96/4295.25)=0.033mol/L. concentration of sodium bicarbonate: c_{B}=142.23*4.8*(0.96/4295.25)=0.16mol/L. the concentration of ethylene glycol: c_{0}=142.23*0.04/(0.96*0.16)=44.42mol/L. the reaction time obtained through integral calculation: t=\frac{0.033-0.033*0.96^{4.8*0.96^{t}}}{0.16-0.16*0.96^{4.8*0.96^{t}}}=3.72 h. theoretical volume is v=3.72*4295.25=15881.15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</si>
  <si>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353/62=5.69kmol/h. Hourly required chloroethanol: 5.69*80.5/(0.95*0.13)=3798.08kg/h. Hourly required sodium bicarbonate: 5.69*84*3.9/(0.95*0.22)=8490.74kg/h. Raw material volumetric flow rate: Q_{0}=(3798.08+8490.74)/1.79=6790.13L/h. Initial concentration of chloroethanol: c_{A0}=5.69*1000/(0.95*6790.13)=0.89mol/L. Initial concentration of sodium bicarbonate: c_{B0}=5.69*1000*3.9/(0.95*6790.13)=3.48mol/L. The concentration of chloroethanol: c_{A}=c_{A0}*(1-x). The concentration of sodium bicarbonate: c_{B}=c_{B0}-c_{A0}*x. Reaction time obtained through integral calculation: t=\int_{0}^{x_{f} } \frac{c_{A0}dx_{A} }{r_{A}}=\int_{0}^{x_{f} } \frac{c_{A0}dx_{A} }{k*c_{A}*c_{B}}=\int_{0}^{x_{f} } \frac{dx_{A} }{k*(1-x_{A})*(c_{B0}-c_{A0}*x_{A})}=0.29 h. Theoretical volume is v=0.29*6790.13=2000.15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</si>
  <si>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651/62=10.5kmol/h. Hourly required chloroethanol: 10.5*80.5/(0.94*0.21)=4408.14kg/h. Hourly required sodium bicarbonate: 10.5*84*3.1/(0.94*0.38)=7648.76kg/h. Raw material volumetric flow rate: Q_{0}=(4408.14+7648.76)/1.97=6109.75L/h. Initial concentration of chloroethanol: c_{A0}=10.5*1000/(0.94*6109.75)=1.8mol/L. Initial concentration of sodium bicarbonate: c_{B0}=10.5*1000*3.1/(0.94*6109.75)=5.87mol/L. The concentration of chloroethanol: c_{A}=c_{A0}*(1-x). The concentration of sodium bicarbonate: c_{B}=c_{B0}-c_{A0}*x. Reaction time obtained through integral calculation: t=\int_{0}^{x_{f} } \frac{c_{A0}dx_{A} }{r_{A}}=\int_{0}^{x_{f} } \frac{c_{A0}dx_{A} }{k*c_{A}*c_{B}}=\int_{0}^{x_{f} } \frac{dx_{A} }{k*(1-x_{A})*(c_{B0}-c_{A0}*x_{A})}=0.11 h. Theoretical volume is v=0.11*6109.75=663.30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</si>
  <si>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242/62=3.9kmol/h. Hourly required chloroethanol: 3.9*80.5/(0.9*0.25)=1357.2kg/h. Hourly required sodium bicarbonate: 3.9*84*1.5/(0.9*0.33)=1665.15kg/h. Raw material volumetric flow rate: Q_{0}=(1357.2+1665.15)/1.63=1860.94L/h. Initial concentration of chloroethanol: c_{A0}=3.9*1000/(0.9*1860.94)=2.36mol/L. Initial concentration of sodium bicarbonate: c_{B0}=3.9*1000*1.5/(0.9*1860.94)=3.54mol/L. The concentration of chloroethanol: c_{A}=c_{A0}*(1-x). The concentration of sodium bicarbonate: c_{B}=c_{B0}-c_{A0}*x. Reaction time obtained through integral calculation: t=\int_{0}^{x_{f} } \frac{c_{A0}dx_{A} }{r_{A}}=\int_{0}^{x_{f} } \frac{c_{A0}dx_{A} }{k*c_{A}*c_{B}}=\int_{0}^{x_{f} } \frac{dx_{A} }{k*(1-x_{A})*(c_{B0}-c_{A0}*x_{A})}=0.29 h. Theoretical volume is v=0.29*1860.94=533.2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</si>
  <si>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491/62=7.92kmol/h. Hourly required chloroethanol: 7.92*80.5/(0.89*0.16)=4408.98kg/h. Hourly required sodium bicarbonate: 7.92*84*1.4/(0.89*0.41)=1742.32kg/h. Raw material volumetric flow rate: Q_{0}=(4408.98+1742.32)/1.87=3431.52L/h. Initial concentration of chloroethanol: c_{A0}=7.92*1000/(0.89*3431.52)=2.63mol/L. Initial concentration of sodium bicarbonate: c_{B0}=7.92*1000*1.4/(0.89*3431.52)=3.67mol/L. The concentration of chloroethanol: c_{A}=c_{A0}*(1-x). The concentration of sodium bicarbonate: c_{B}=c_{B0}-c_{A0}*x. Reaction time obtained through integral calculation: t=\int_{0}^{x_{f} } \frac{c_{A0}dx_{A} }{r_{A}}=\int_{0}^{x_{f} } \frac{c_{A0}dx_{A} }{k*c_{A}*c_{B}}=\int_{0}^{x_{f} } \frac{dx_{A} }{k*(1-x_{A})*(c_{B0}-c_{A0}*x_{A})}=0.26 h. Theoretical volume is v=0.26*3431.52=894.44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</si>
  <si>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792/62=12.77kmol/h. Hourly required chloroethanol: 12.77*80.5/(0.92*0.31)=3633.33kg/h. Hourly required sodium bicarbonate: 12.77*84*2.3/(0.92*0.45)=5857.75kg/h. Raw material volumetric flow rate: Q_{0}=(3633.33+5857.75)/1.8=5217.72L/h. Initial concentration of chloroethanol: c_{A0}=12.77*1000/(0.92*5217.72)=2.6mol/L. Initial concentration of sodium bicarbonate: c_{B0}=12.77*1000*2.3/(0.92*5217.72)=5.9mol/L. The concentration of chloroethanol: c_{A}=c_{A0}*(1-x). The concentration of sodium bicarbonate: c_{B}=c_{B0}-c_{A0}*x. Reaction time obtained through integral calculation: t=\int_{0}^{x_{f} } \frac{c_{A0}dx_{A} }{r_{A}}=\int_{0}^{x_{f} } \frac{c_{A0}dx_{A} }{k*c_{A}*c_{B}}=\int_{0}^{x_{f} } \frac{dx_{A} }{k*(1-x_{A})*(c_{B0}-c_{A0}*x_{A})}=0.17 h. Theoretical volume is v=0.17*5217.72=885.67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</si>
  <si>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411/62=6.63kmol/h. Hourly required chloroethanol: 6.63*80.5/(0.74*0.15)=4851.35kg/h. Hourly required sodium bicarbonate: 6.63*84*2.6/(0.74*0.45)=4235.32kg/h. Raw material volumetric flow rate: Q_{0}=(4851.35+4235.32)/1.32=6815.3L/h. Initial concentration of chloroethanol: c_{A0}=6.63*1000/(0.74*6815.3)=1.33mol/L. Initial concentration of sodium bicarbonate: c_{B0}=6.63*1000*2.6/(0.74*6815.3)=3.49mol/L. The concentration of chloroethanol: c_{A}=c_{A0}*(1-x). The concentration of sodium bicarbonate: c_{B}=c_{B0}-c_{A0}*x. Reaction time obtained through integral calculation: t=\int_{0}^{x_{f} } \frac{c_{A0}dx_{A} }{r_{A}}=\int_{0}^{x_{f} } \frac{c_{A0}dx_{A} }{k*c_{A}*c_{B}}=\int_{0}^{x_{f} } \frac{dx_{A} }{k*(1-x_{A})*(c_{B0}-c_{A0}*x_{A})}=0.08 h. Theoretical volume is v=0.08*6815.3=546.38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</si>
  <si>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776/62=12.53kmol/h. Hourly required chloroethanol: 12.53*80.5/(0.92*0.23)=502.09kg/h. Hourly required sodium bicarbonate: 12.53*84*4.9/(0.92*0.33)=15341.39kg/h. Raw material volumetric flow rate: Q_{0}=(502.09+15341.39)/1.33=12142.52L/h. Initial concentration of chloroethanol: c_{A0}=12.53*1000/(0.92*12142.52)=1.12mol/L. Initial concentration of sodium bicarbonate: c_{B0}=12.53*1000*4.9/(0.92*12142.52)=5.51mol/L. The concentration of chloroethanol: c_{A}=c_{A0}*(1-x). The concentration of sodium bicarbonate: c_{B}=c_{B0}-c_{A0}*x. Reaction time obtained through integral calculation: t=\int_{0}^{x_{f} } \frac{c_{A0}dx_{A} }{r_{A}}=\int_{0}^{x_{f} } \frac{c_{A0}dx_{A} }{k*c_{A}*c_{B}}=\int_{0}^{x_{f} } \frac{dx_{A} }{k*(1-x_{A})*(c_{B0}-c_{A0}*x_{A})}=0.09 h. Theoretical volume is v=0.09*12142.52=1113.4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</si>
  <si>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384/62=6.19kmol/h. Hourly required chloroethanol: 6.19*80.5/(0.84*0.44)=1378.01kg/h. Hourly required sodium bicarbonate: 6.19*84*4.6/(0.84*0.47)=5634.06kg/h. Raw material volumetric flow rate: Q_{0}=(1378.01+5634.06)/1.37=533.67L/h. Initial concentration of chloroethanol: c_{A0}=6.19*1000/(0.84*533.67)=14.28mol/L. Initial concentration of sodium bicarbonate: c_{B0}=6.19*1000*4.6/(0.84*533.67)=68.27mol/L. The concentration of chloroethanol: c_{A}=c_{A0}*(1-x). The concentration of sodium bicarbonate: c_{B}=c_{B0}-c_{A0}*x. Reaction time obtained through integral calculation: t=\frac{c_{A0}*x_{f}}{r_{A}}=\frac{c_{A0}*x_{f}}{k*c_{A}*c_{B}}=\frac{x_{f}}{k*(1-x_{A})*(c_{B0}-c_{A0}*x_{A})}=0.13 h. Theoretical volume is v=0.13*533.67=68.2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</si>
  <si>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332/62=5.34kmol/h. Hourly required chloroethanol: 5.34*80.5/(0.73*0.09)=6604.69kg/h. Hourly required sodium bicarbonate: 5.34*84*2.7/(0.73*0.24)=4576.87kg/h. Raw material volumetric flow rate: Q_{0}=(6604.69+4576.87)/1.96=5604.04L/h. Initial concentration of chloroethanol: c_{A0}=5.34*1000/(0.73*5604.04)=1.27mol/L. Initial concentration of sodium bicarbonate: c_{B0}=5.34*1000*2.7/(0.73*5604.04)=3.43mol/L. The concentration of chloroethanol: c_{A}=c_{A0}*(1-x). The concentration of sodium bicarbonate: c_{B}=c_{B0}-c_{A0}*x. Reaction time obtained through integral calculation: t=\frac{c_{A0}*x_{f}}{r_{A}}=\frac{c_{A0}*x_{f}}{k*c_{A}*c_{B}}=\frac{x_{f}}{k*(1-x_{A})*(c_{B0}-c_{A0}*x_{A})}=0.22 h. Theoretical volume is v=0.22*5604.04=1236.33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</si>
  <si>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848/62=13.68kmol/h. Hourly required chloroethanol: 13.68*80.5/(0.87*0.22)=5838.96kg/h. Hourly required sodium bicarbonate: 13.68*84*4.4/(0.87*0.4)=14568.56kg/h. Raw material volumetric flow rate: Q_{0}=(5838.96+14568.56)/1.45=13737.74L/h. Initial concentration of chloroethanol: c_{A0}=13.68*1000/(0.87*13737.74)=1.17mol/L. Initial concentration of sodium bicarbonate: c_{B0}=13.68*1000*4.4/(0.87*13737.74)=5.11mol/L. The concentration of chloroethanol: c_{A}=c_{A0}*(1-x). The concentration of sodium bicarbonate: c_{B}=c_{B0}-c_{A0}*x. Reaction time obtained through integral calculation: t=\int_{0}^{x_{f} } \frac{c_{A0}dx_{A} }{r_{A}}=\int_{0}^{x_{f} } \frac{c_{A0}dx_{A} }{k*c_{A}*c_{B}}=\int_{0}^{x_{f} } \frac{dx_{A} }{k*(1-x_{A})*(c_{B0}-c_{A0}*x_{A})}=0.08 h. Theoretical volume is v=0.08*13737.74=1110.87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</si>
  <si>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597/62=9.61kmol/h. Hourly required chloroethanol: 9.61*80.5/(0.84*0.09)=10584.94kg/h. Hourly required sodium bicarbonate: 9.61*84*3.0/(0.84*0.16)=18177.82kg/h. Raw material volumetric flow rate: Q_{0}=(10584.94+18177.82)/1.35=21887.66L/h. Initial concentration of chloroethanol: c_{A0}=9.61*1000/(0.84*21887.66)=0.53mol/L. Initial concentration of sodium bicarbonate: c_{B0}=9.61*1000*3.0/(0.84*21887.66)=1.59mol/L. The concentration of chloroethanol: c_{A}=c_{A0}*(1-x). The concentration of sodium bicarbonate: c_{B}=c_{B0}-c_{A0}*x. Reaction time obtained through integral calculation: t=\int_{0}^{x_{f} } \frac{c_{A0}dx_{A} }{r_{A}}=\int_{0}^{x_{f} } \frac{c_{A0}dx_{A} }{k*c_{A}*c_{B}}=\int_{0}^{x_{f} } \frac{dx_{A} }{k*(1-x_{A})*(c_{B0}-c_{A0}*x_{A})}=0.33 h. Theoretical volume is v=0.33*21888=7226.66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</si>
  <si>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300/62=4.84kmol/h. Hourly required chloroethanol: 4.84*80.5/(0.8*0.25)=1934.82kg/h. Hourly required sodium bicarbonate: 4.84*84*2.1/(0.8*0.47)=1259.97kg/h. Raw material volumetric flow rate: Q_{0}=(1934.82+1259.97)/1.63=1889.24L/h. Initial concentration of chloroethanol: c_{A0}=4.84*1000/(0.8*1889.24)=3.19mol/L. Initial concentration of sodium bicarbonate: c_{B0}=4.84*1000*2.1/(0.8*1889.24)=6.11mol/L. The concentration of chloroethanol: c_{A}=c_{A0}*(1-x). The concentration of sodium bicarbonate: c_{B}=c_{B0}-c_{A0}*x. Reaction time obtained through integral calculation: t=\int_{0}^{x_{f} } \frac{c_{A0}dx_{A} }{r_{A}}=\int_{0}^{x_{f} } \frac{c_{A0}dx_{A} }{k*c_{A}*c_{B}}=\int_{0}^{x_{f} } \frac{dx_{A} }{k*(1-x_{A})*(c_{B0}-c_{A0}*x_{A})}=0.07 h. Theoretical volume is v=0.07*1889.24=140.88 l.After comprehensively considering various factors in the reaction process, the operating temperatures remain moderate with no presence of highly corrosive substances. Given the cost considerations, we recommend using carbon steel as the reactor material.</t>
  </si>
  <si>
    <t>The molar mass of acetic acid is 60 kg/kmol, ethanol is 46 kg/kmol, and ethyl acetate is 88 kg/kmol. The molar flow rate of ethyl acetate required per hour is n_product = 930/88 = 10.57 kmol/h. According to the chemical reaction equation, the mass flow rate of acetic acid required per hour is m_A = 10.57*60 = 634.09 kg/h. The mass flow rate of ethanol required per hour is m_B = 10.57*46 = 486.14 kg/h. The total volumetric feed flow rate is q_raw = (634.09+486.14)*1000/1.07 = 1062.55 L/h. The initial concentration of acetic acid is c_{A0} = 634.09*1000/(60*1062.55) = 10.0 mol/L. The initial concentration of ethanol is c_{B0} = 486.14*1000/(46*1062.55) = 10.0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x)}=24.41 h. Theoretical volume is v=24.41*1062.55=26011.64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</si>
  <si>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431/88 = 4.92 kmol/h. According to the chemical reaction equation, the mass flow rate of acetic acid required per hour is m_A = 4.92*60 = 295.23 kg/h. The mass flow rate of ethanol required per hour is m_B = 4.92*46 = 226.34 kg/h. The total volumetric feed flow rate is q_raw = (295.23+226.34)*1000/0.85 = 616.4 L/h. The initial concentration of acetic acid is c_{A0} = 295.23*1000/(60*616.4) = 7.92 mol/L. The initial concentration of ethanol is c_{B0} = 226.34*1000/(46*616.4) = 7.92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}{k1*(1-x_{A})*(c_{B0}-c_{A0}*x_{A})-\frac{c_{A0}*x_{A}*x_{A}}{kc}}=98.36 h. Theoretical volume is v=98.36*616.4=60894.74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</si>
  <si>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886/88 = 10.02 kmol/h. According to the chemical reaction equation, the mass flow rate of acetic acid required per hour is m_A = 10.02*60 = 601.36 kg/h. The mass flow rate of ethanol required per hour is m_B = 10.02*46 = 461.05 kg/h. The total volumetric feed flow rate is q_raw = (601.36+461.05)*1000/0.95 = 1143.81 L/h. The initial concentration of acetic acid is c_{A0} = 601.36*1000/(60*1143.81) = 8.77 mol/L. The initial concentration of ethanol is c_{B0} = 461.05*1000/(46*1143.81) = 8.77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}{k1*(1-x_{A})*(c_{B0}-c_{A0}*x_{A})-\frac{c_{A0}*x_{A}*x_{A}}{kc}}=116.66 h. Theoretical volume is v=116.66*1143.81=133161.02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</si>
  <si>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755/88 = 8.58 kmol/h. According to the chemical reaction equation, the mass flow rate of acetic acid required per hour is m_A = 8.58*60 = 513.64 kg/h. The mass flow rate of ethanol required per hour is m_B = 8.58*46 = 395.66 kg/h. The total volumetric feed flow rate is q_raw = (513.64+395.66)*1000/1.01 = 89.73 L/h. The initial concentration of acetic acid is c_{A0} = 513.64*1000/(60*89.73) = 9.63 mol/L. The initial concentration of ethanol is c_{B0} = 395.66*1000/(46*89.73) = 9.63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}{k1*(1-x_{A})*(c_{B0}-c_{A0}*x_{A})-\frac{c_{A0}*x_{A}*x_{A}}{kc}}=129.47 h. Theoretical volume is v=129.47*89.73=11604.3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</si>
  <si>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184/88 = 2.09 kmol/h. According to the chemical reaction equation, the mass flow rate of acetic acid required per hour is m_A = 2.09*60 = 125.45 kg/h. The mass flow rate of ethanol required per hour is m_B = 2.09*46 = 96.18 kg/h. The total volumetric feed flow rate is q_raw = (125.45+96.18)*1000/1.0 = 221.63 L/h. The initial concentration of acetic acid is c_{A0} = 125.45*1000/(60*221.63) = 9.43 mol/L. The initial concentration of ethanol is c_{B0} = 96.18*1000/(46*221.63) = 9.43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}{k1*(1-x_{A})*(c_{B0}-c_{A0}*x_{A})-\frac{c_{A0}*x_{A}*x_{A}}{kc}}=122.49 h. Theoretical volume is v=122.49*221.63=27136.53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</si>
  <si>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315/88 = 3.58 kmol/h. According to the chemical reaction equation, the mass flow rate of acetic acid required per hour is m_A = 3.58*60 = 214.77 kg/h. The mass flow rate of ethanol required per hour is m_B = 3.58*46 = 164.66 kg/h. The total volumetric feed flow rate is q_raw = (214.77+164.66)*1000/0.86 = 449.71 L/h. The initial concentration of acetic acid is c_{A0} = 214.77*1000/(60*449.71) = 8.02 mol/L. The initial concentration of ethanol is c_{B0} = 164.66*1000/(46*449.71) = 8.02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}{k1*(1-x_{A})*(c_{B0}-c_{A0}*x_{A})-\frac{c_{A0}*x_{A}*x_{A}}{kc}}=108.64 h. Theoretical volume is v=108.64*449.71=48547.19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</si>
  <si>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344/88 = 3.91 kmol/h. According to the chemical reaction equation, the mass flow rate of acetic acid required per hour is m_A = 3.91*60 = 234.55 kg/h. The mass flow rate of ethanol required per hour is m_B = 3.91*46 = 179.82 kg/h. The total volumetric feed flow rate is q_raw = (234.55+179.82)*1000/1.05 = 392.13 L/h. The initial concentration of acetic acid is c_{A0} = 234.55*1000/(60*392.13) = 9.91 mol/L. The initial concentration of ethanol is c_{B0} = 179.82*1000/(46*392.13) = 9.91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x)}=31.73 h. Theoretical volume is v=31.73*392.13=12406.64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</si>
  <si>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264/88 = 3.0 kmol/h. According to the chemical reaction equation, the mass flow rate of acetic acid required per hour is m_A = 3.0*60 = 180 kg/h. The mass flow rate of ethanol required per hour is m_B = 3.0*46 = 138 kg/h. The total volumetric feed flow rate is q_raw = (180+138)*1000/0.95 = 334.21 L/h. The initial concentration of acetic acid is c_{A0} = 180*1000/(60*334.21) = 8.96 mol/L. The initial concentration of ethanol is c_{B0} = 138*1000/(46*334.21) = 8.96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}{k1*(1-x_{A})*(c_{B0}-c_{A0}*x_{A})-\frac{c_{A0}*x_{A}*x_{A}}{kc}}=118.14 h. Theoretical volume is v=118.14*334.21=39264.53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</si>
  <si>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206/88 = 2.34 kmol/h. According to the chemical reaction equation, the mass flow rate of acetic acid required per hour is m_A = 2.34*60 = 140.45 kg/h. The mass flow rate of ethanol required per hour is m_B = 2.34*46 = 108.68 kg/h. The total volumetric feed flow rate is q_raw = (140.45+108.68)*1000/0.93 = 270.78 L/h. The initial concentration of acetic acid is c_{A0} = 140.45*1000/(60*270.78) = 8.58 mol/L. The initial concentration of ethanol is c_{B0} = 108.68*1000/(46*270.78) = 8.58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}{k1*(1-x_{A})*(c_{B0}-c_{A0}*x_{A})-\frac{c_{A0}*x_{A}*x_{A}}{kc}}=105.02 h. Theoretical volume is v=105.02*270.78=28461.25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</si>
  <si>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782/88 = 8.84 kmol/h. According to the chemical reaction equation, the mass flow rate of acetic acid required per hour is m_A = 8.84*60 = 530.45 kg/h. The mass flow rate of ethanol required per hour is m_B = 8.84*46 = 406.68 kg/h. The total volumetric feed flow rate is q_raw = (530.45+406.68)*1000/0.84 = 1093.65 L/h. The initial concentration of acetic acid is c_{A0} = 530.45*1000/(60*1093.65) = 8.11 mol/L. The initial concentration of ethanol is c_{B0} = 406.68*1000/(46*1093.65) = 8.11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x)}=0.12 h. Theoretical volume is v=0.12*1093.65=132.2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</si>
  <si>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345/88 = 3.92 kmol/h. According to the chemical reaction equation, the mass flow rate of acetic acid required per hour is m_A = 3.92*60 = 235.23 kg/h. The mass flow rate of ethanol required per hour is m_B = 3.92*46 = 180.34 kg/h. The total volumetric feed flow rate is q_raw = (235.23+180.34)*1000/0.81 = 501.9 L/h. The initial concentration of acetic acid is c_{A0} = 235.23*1000/(60*501.9) = 7.83 mol/L. The initial concentration of ethanol is c_{B0} = 180.34*1000/(46*501.9) = 7.83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}{k1*(1-x_{A})*(c_{B0}-c_{A0}*x_{A})-\frac{c_{A0}*x_{A}*x_{A}}{kc}}=105.84 h. Theoretical volume is v=105.84*501.9=53056.71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</si>
  <si>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782/88 = 8.84 kmol/h. According to the chemical reaction equation, the mass flow rate of acetic acid required per hour is m_A = 8.84*60 = 530.45 kg/h. The mass flow rate of ethanol required per hour is m_B = 8.84*46 = 406.68 kg/h. The total volumetric feed flow rate is q_raw = (530.45+406.68)*1000/1.18 = 794.18 L/h. The initial concentration of acetic acid is c_{A0} = 530.45*1000/(60*794.18) = 11.13 mol/L. The initial concentration of ethanol is c_{B0} = 406.68*1000/(46*794.18) = 11.13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x)}=0.12 h. Theoretical volume is v=0.12*794.18=96.62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</si>
  <si>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172/88 = 1.95 kmol/h. According to the chemical reaction equation, the mass flow rate of acetic acid required per hour is m_A = 1.95*60 = 117.27 kg/h. The mass flow rate of ethanol required per hour is m_B = 1.95*46 = 89.91 kg/h. The total volumetric feed flow rate is q_raw = (117.27+89.91)*1000/0.93 = 225.12 L/h. The initial concentration of acetic acid is c_{A0} = 117.27*1000/(60*225.12) = 8.68 mol/L. The initial concentration of ethanol is c_{B0} = 89.91*1000/(46*225.12) = 8.68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}{k1*(1-x_{A})*(c_{B0}-c_{A0}*x_{A})-\frac{c_{A0}*x_{A}*x_{A}}{kc}}=106.4 h. Theoretical volume is v=106.4*225.12=24006.17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</si>
  <si>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633/88 = 7.19 kmol/h. According to the chemical reaction equation, the mass flow rate of acetic acid required per hour is m_A = 7.19*60 = 431.59 kg/h. The mass flow rate of ethanol required per hour is m_B = 7.19*46 = 330.89 kg/h. The total volumetric feed flow rate is q_raw = (431.59+330.89)*1000/0.91 = 838.34 L/h. The initial concentration of acetic acid is c_{A0} = 431.59*1000/(60*838.34) = 8.58 mol/L. The initial concentration of ethanol is c_{B0} = 330.89*1000/(46*838.34) = 8.58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}{k1*(1-x_{A})*(c_{B0}-c_{A0}*x_{A})-\frac{c_{A0}*x_{A}*x_{A}}{kc}}=114.3 h. Theoretical volume is v=114.3*838.34=96201.78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</si>
  <si>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529/88 = 6.03 kmol/h. According to the chemical reaction equation, the mass flow rate of acetic acid required per hour is m_A = 6.03*60 = 362.05 kg/h. The mass flow rate of ethanol required per hour is m_B = 6.03*46 = 277.57 kg/h. The total volumetric feed flow rate is q_raw = (362.05+277.57)*1000/1.04 = 610.73 L/h. The initial concentration of acetic acid is c_{A0} = 362.05*1000/(60*610.73) = 9.94 mol/L. The initial concentration of ethanol is c_{B0} = 277.57*1000/(46*610.73) = 9.94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x)}=51.72 h. Theoretical volume is v=51.72*610.73=31610.69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</si>
  <si>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169/88 = 1.93 kmol/h. According to the chemical reaction equation, the mass flow rate of acetic acid required per hour is m_A = 1.93*60 = 115.91 kg/h. The mass flow rate of ethanol required per hour is m_B = 1.93*46 = 88.57 kg/h. The total volumetric feed flow rate is q_raw = (115.91+88.57)*1000/1.01 = 202.24 L/h. The initial concentration of acetic acid is c_{A0} = 115.91*1000/(60*202.24) = 9.62 mol/L. The initial concentration of ethanol is c_{B0} = 88.57*1000/(46*202.24) = 9.62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}{k1*(1-x_{A})*(c_{B0}-c_{A0}*x_{A})-\frac{c_{A0}*x_{A}*x_{A}}{kc}}=128.77 h. Theoretical volume is v=128.77*202.24=26105.34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</si>
  <si>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128/88 = 1.45 kmol/h. According to the chemical reaction equation, the mass flow rate of acetic acid required per hour is m_A = 1.45*60 = 86.14 kg/h. The mass flow rate of ethanol required per hour is m_B = 1.45*46 = 66.2 kg/h. The total volumetric feed flow rate is q_raw = (86.14+66.2)*1000/1.15 = 133.74 L/h. The initial concentration of acetic acid is c_{A0} = 86.14*1000/(60*133.74) = 10.85 mol/L. The initial concentration of ethanol is c_{B0} = 66.2*1000/(46*133.74) = 10.85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}{k1*(1-x_{A})*(c_{B0}-c_{A0}*x_{A})-\frac{c_{A0}*x_{A}*x_{A}}{kc}}=144.9 h. Theoretical volume is v=144.9*133.74=19461.62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</si>
  <si>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637/88 = 7.26 kmol/h. According to the chemical reaction equation, the mass flow rate of acetic acid required per hour is m_A = 7.26*60 = 435.68 kg/h. The mass flow rate of ethanol required per hour is m_B = 7.26*46 = 334.02 kg/h. The total volumetric feed flow rate is q_raw = (435.68+334.02)*1000/0.8 = 973.4 L/h. The initial concentration of acetic acid is c_{A0} = 435.68*1000/(60*973.4) = 7.45 mol/L. The initial concentration of ethanol is c_{B0} = 334.02*1000/(46*973.4) = 7.45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x)}=0.13 h. Theoretical volume is v=0.13*973.4=135.37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</si>
  <si>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494/88 = 5.61 kmol/h. According to the chemical reaction equation, the mass flow rate of acetic acid required per hour is m_A = 5.61*60 = 336.82 kg/h. The mass flow rate of ethanol required per hour is m_B = 5.61*46 = 258.23 kg/h. The total volumetric feed flow rate is q_raw = (336.82+258.23)*1000/0.85 = 687.10975111 L/h. The initial concentration of acetic acid is c_{A0} = 336.82*1000/(60*687.10975111) = 8.11 mol/L. The initial concentration of ethanol is c_{B0} = 258.23*1000/(46*687.10975111) = 8.11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x)}=37.01 h. Theoretical volume is v=37.01*687.10975111=25503.88946957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</si>
  <si>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695/88 = 7.9 kmol/h. According to the chemical reaction equation, the mass flow rate of acetic acid required per hour is m_A = 7.9*60 = 473.86 kg/h. The mass flow rate of ethanol required per hour is m_B = 7.9*46 = 363.3 kg/h. The total volumetric feed flow rate is q_raw = (473.86+363.3)*1000/1.05 = 792.13 L/h. The initial concentration of acetic acid is c_{A0} = 473.86*1000/(60*792.13) = 10.0 mol/L. The initial concentration of ethanol is c_{B0} = 363.3*1000/(46*792.13) = 10.0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x)}=0.12 h. Theoretical volume is v=0.12*792.13=95.28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</si>
  <si>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108/88 = 1.23 kmol/h. According to the chemical reaction equation, the mass flow rate of acetic acid required per hour is m_A = 1.23*60 = 74.77 kg/h. The mass flow rate of ethanol required per hour is m_B = 1.23*46 = 57.16 kg/h. The total volumetric feed flow rate is q_raw = (74.77+57.16)*1000/1.14 = 118.04 L/h. The initial concentration of acetic acid is c_{A0} = 74.77*1000/(60*118.04) = 10.47 mol/L. The initial concentration of ethanol is c_{B0} = 57.16*1000/(46*118.04) = 10.47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x)}=42.61 h. Theoretical volume is v=42.61*118.04=5033.66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</si>
  <si>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675/88 = 7.67 kmol/h. According to the chemical reaction equation, the mass flow rate of acetic acid required per hour is m_A = 7.67*60 = 461.41 kg/h. The mass flow rate of ethanol required per hour is m_B = 7.67*46 = 351.13 kg/h. The total volumetric feed flow rate is q_raw = (461.41+351.13)*1000/0.99 = 810.61 L/h. The initial concentration of acetic acid is c_{A0} = 461.41*1000/(60*810.61) = 9.34 mol/L. The initial concentration of ethanol is c_{B0} = 351.13*1000/(46*810.61) = 9.34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}{k1*(1-x_{A})*(c_{B0}-c_{A0}*x_{A})-\frac{c_{A0}*x_{A}*x_{A}}{kc}}=118.63 h. Theoretical volume is v=118.63*810.61=96103.4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</si>
  <si>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675/88 = 7.67 kmol/h. According to the chemical reaction equation, the mass flow rate of acetic acid required per hour is m_A = 7.67*60 = 461.23 kg/h. The mass flow rate of ethanol required per hour is m_B = 7.67*46 = 351.14 kg/h. The total volumetric feed flow rate is q_raw = (461.23+351.14)*1000/1.12 = 729.09 L/h. The initial concentration of acetic acid is c_{A0} = 461.23*1000/(60*729.09) = 10.57 mol/L. The initial concentration of ethanol is c_{B0} = 351.14*1000/(46*729.09) = 10.57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x)}=25.39 h. Theoretical volume is v=25.39*729.09=18531.98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</si>
  <si>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921/88 = 10.42 kmol/h. According to the chemical reaction equation, the mass flow rate of acetic acid required per hour is m_A = 10.42*60 = 625.23 kg/h. The mass flow rate of ethanol required per hour is m_B = 10.42*46 = 479.34 kg/h. The total volumetric feed flow rate is q_raw = (625.23+479.34)*1000/1.08 = 1018.96 L/h. The initial concentration of acetic acid is c_{A0} = 625.23*1000/(60*1018.96) = 10.19 mol/L. The initial concentration of ethanol is c_{B0} = 479.34*1000/(46*1018.96) = 10.19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}{k1*(1-x_{A})*(c_{B0}-c_{A0}*x_{A})-\frac{c_{A0}*x_{A}*x_{A}}{kc}}=136.08 h. Theoretical volume is v=136.08*1018.96=138329.66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</si>
  <si>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839/88 = 9.56 kmol/h. According to the chemical reaction equation, the mass flow rate of acetic acid required per hour is m_A = 9.56*60 = 573.41 kg/h. The mass flow rate of ethanol required per hour is m_B = 9.56*46 = 439.61 kg/h. The total volumetric feed flow rate is q_raw = (573.41+439.61)*1000/0.89 = 1119.13 L/h. The initial concentration of acetic acid is c_{A0} = 573.41*1000/(60*1119.13) = 8.58 mol/L. The initial concentration of ethanol is c_{B0} = 439.61*1000/(46*1119.13) = 8.58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x)}=23.39 h. Theoretical volume is v=23.39*1119.13=26302.81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</si>
  <si>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723/88 = 8.19 kmol/h. According to the chemical reaction equation, the mass flow rate of acetic acid required per hour is m_A = 8.19*60 = 492.64 kg/h. The mass flow rate of ethanol required per hour is m_B = 8.19*46 = 377.18 kg/h. The total volumetric feed flow rate is q_raw = (492.64+377.18)*1000/0.79 = 1100.93 L/h. The initial concentration of acetic acid is c_{A0} = 492.64*1000/(60*1100.93) = 7.45 mol/L. The initial concentration of ethanol is c_{B0} = 377.18*1000/(46*1100.93) = 7.45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}{k1*(1-x_{A})*(c_{B0}-c_{A0}*x_{A})-\frac{c_{A0}*x_{A}*x_{A}}{kc}}=99.68 h. Theoretical volume is v=99.68*1100.93=109646.39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</si>
  <si>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343/88 = 3.9 kmol/h. According to the chemical reaction equation, the mass flow rate of acetic acid required per hour is m_A = 3.9*60 = 234.55 kg/h. The mass flow rate of ethanol required per hour is m_B = 3.9*46 = 179.7 kg/h. The total volumetric feed flow rate is q_raw = (234.55+179.7)*1000/0.93 = 431.43 L/h. The initial concentration of acetic acid is c_{A0} = 234.55*1000/(60*431.43) = 9.06 mol/L. The initial concentration of ethanol is c_{B0} = 179.7*1000/(46*431.43) = 9.06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}{k1*(1-x_{A})*(c_{B0}-c_{A0}*x_{A})-\frac{c_{A0}*x_{A}*x_{A}}{kc}}=117.55 h. Theoretical volume is v=117.55*431.43=50756.19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</si>
  <si>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108/88 = 1.22 kmol/h. According to the chemical reaction equation, the mass flow rate of acetic acid required per hour is m_A = 1.22*60 = 73.33 kg/h. The mass flow rate of ethanol required per hour is m_B = 1.22*46 = 56.03 kg/h. The total volumetric feed flow rate is q_raw = (73.33+56.03)*1000/1.14 = 122.85 L/h. The initial concentration of acetic acid is c_{A0} = 73.33*1000/(60*122.85) = 10.75 mol/L. The initial concentration of ethanol is c_{B0} = 56.03*1000/(46*122.85) = 10.75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x)}=32.69 h. Theoretical volume is v=32.69*122.85=3990.18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</si>
  <si>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315/88 = 3.53 kmol/h. According to the chemical reaction equation, the mass flow rate of acetic acid required per hour is m_A = 3.53*60 = 212.05 kg/h. The mass flow rate of ethanol required per hour is m_B = 3.53*46 = 162.57 kg/h. The total volumetric feed flow rate is q_raw = (212.05+162.57)*1000/0.86 = 444.05 L/h. The initial concentration of acetic acid is c_{A0} = 212.05*1000/(60*444.05) = 8.11 mol/L. The initial concentration of ethanol is c_{B0} = 162.57*1000/(46*444.05) = 8.11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}{k1*(1-x_{A})*(c_{B0}-c_{A0}*x_{A})-\frac{c_{A0}*x_{A}*x_{A}}{kc}}=103.55 h. Theoretical volume is v=103.55*444.05=45244.99 l.After comprehensively evaluating various factors in the reaction process, the emergence of highly corrosive substances (sulfuric acid) necessitates material considerations. Given cost-effectiveness requirements, we recommend using stainless steel as the reactor material.</t>
  </si>
  <si>
    <t>The relative molecular weight of CH_{3}COOC_{2}H_{5} is 76 kg/kmol, NaOH is 40 kg/kmol. Raw material volumetric flow rate: Q_{0}=(736+736)/1.14=1297.42 m^3/h. Initial concentration of ethyl acetate: c_{A0}=736*1000/(76*1297.42)=7.57 mol/L. Initial concentration of sodium hydroxide: c_{B0}=736*1000*1/(40*1297.42)=14.37 mol/L. The concentration of chloroethanol: c_{A}=c_{A0}*(1-x). The concentration of sodium bicarbonate: c_{B}=c_{B0}-c_{A0}*x. Reaction time obtained through integral calculation: t=\int_{0}^{x_{f} } \frac{c_{A0}dx_{A} }{r_{A}}=\int_{0}^{x_{f} } \frac{c_{A0}dx_{A} }{k*c_{A}*c_{B}}=\int_{0}^{x_{f} } \frac{dx_{A} }{k*(1-x_{A})*(c_{B0}-c_{A0}*x_{A})}=0.05 h. Theoretical volume is v=0.05*1297.42=70.84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</si>
  <si>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Q_{0}=(817+817)/1.77=896.92 m^3/h. Initial concentration of ethyl acetate: c_{A0}=817*1000/(76*896.92)=12.37 mol/L. Initial concentration of sodium hydroxide: c_{B0}=817*1000*1/(40*896.92)=23.5 mol/L. The concentration of chloroethanol: c_{A}=c_{A0}*(1-x). The concentration of sodium bicarbonate: c_{B}=c_{B0}-c_{A0}*x. Reaction time obtained through integral calculation: t=\frac{c_{A0} \cdot x_{f}}{r_{A}}=\frac{c_{A0} \cdot x_{f}}{k \cdot c_{A} \cdot c_{B}}=\frac{x_{f}}{k \cdot (1-x_{A}) \cdot (c_{B0}-c_{A0} \cdot x_{A})}=0.09 h. Theoretical volume is v=0.09*896.92=82.72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</si>
  <si>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Q_{0}=(815+815)/1.55=1090.41 m^3/h. Initial concentration of ethyl acetate: c_{A0}=815*1000/(76*1090.41)=9.54 mol/L. Initial concentration of sodium hydroxide: c_{B0}=815*1000*1/(40*1090.41)=18.12 mol/L. The concentration of chloroethanol: c_{A}=c_{A0}*(1-x). The concentration of sodium bicarbonate: c_{B}=c_{B0}-c_{A0}*x. Reaction time obtained through integral calculation: t=\frac{c_{A0} \cdot x_{f}}{r_{A}}=\frac{c_{A0} \cdot x_{f}}{k \cdot c_{A} \cdot c_{B}}=\frac{x_{f}}{k \cdot (1-x_{A}) \cdot (c_{B0}-c_{A0} \cdot x_{A})}=0.11 h. Theoretical volume is v=0.11*1090.41=117.65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</si>
  <si>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molar mass of acetic acid is 60 kg/kmol, ethanol is 46 kg/kmol, and ethyl acetate is 88 kg/kmol. The molar flow rate of ethyl acetate required per hour is n_product = 930/88 = 10.57 kmol/h. According to the chemical reaction equation, the mass flow rate of acetic acid required per hour is m_A = 10.57*60 = 634.09 kg/h. The mass flow rate of ethanol required per hour is m_B = 10.57*46 = 486.14 kg/h. The total volumetric feed flow rate is q_raw = (634.09+486.14)*1000/1.07 = 1033.19 L/h. The initial concentration of acetic acid is c_{A0} = 634.09*1000/(60*1033.19) = 10.09 mol/L. The initial concentration of ethanol is c_{B0} = 486.14*1000/(46*1033.19) = 10.09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x)}=32.5 h. Theoretical volume is v=32.5*1033.19=33612.89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</si>
  <si>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431/88 = 4.859 kmol/h. According to the chemical reaction equation, the mass flow rate of acetic acid required per hour is m_A = 4.859*60 = 291.15 kg/h. The mass flow rate of ethanol required per hour is m_B = 4.859*46 = 222.73 kg/h. The total volumetric feed flow rate is q_raw = (291.15+222.73)*1000/0.85 = 616.34 L/h. The initial concentration of acetic acid is c_{A0} = 291.15*1000/(60*616.34) = 8.02 mol/L. The initial concentration of ethanol is c_{B0} = 222.73*1000/(46*616.34) = 8.02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}{k1*(1-x_{A})*(c_{B0}-c_{A0}*x_{A})-\frac{c_{A0}*x_{A}*x_{A}}{kc}}=103.55 h. Theoretical volume is v=103.55*616.34=63516.81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</si>
  <si>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88.4 kg/kmol. The molar flow rate of ethyl acetate required per hour is n_product = 886/88.4 = 10.18 kmol/h. According to the chemical reaction equation, the mass flow rate of acetic acid required per hour is m_A = 10.18*60 = 609.64 kg/h. The mass flow rate of ethanol required per hour is m_B = 10.18*46 = 467.35 kg/h. The total volumetric feed flow rate is q_raw = (609.64+467.35)*1000/0.95 = 1128.04 L/h. The initial concentration of acetic acid is c_{A0} = 609.64*1000/(60*1128.04) = 8.96 mol/L. The initial concentration of ethanol is c_{B0} = 467.35*1000/(46*1128.04) = 8.96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}{k1*(1-x_{A})*(c_{B0}-c_{A0}*x_{A})-\frac{c_{A0}*x_{A}*x_{A}}{kc}}=116.25 h. Theoretical volume is v=116.25*1128.04=132188.23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</si>
  <si>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755/88 = 8.57 kmol/h. According to the chemical reaction equation, the mass flow rate of acetic acid required per hour is m_A = 8.57*60 = 514.09 kg/h. The mass flow rate of ethanol required per hour is m_B = 8.57*46 = 398.14 kg/h. The total volumetric feed flow rate is q_raw = (514.09+398.14)*1000/1.01 = 891.24 L/h. The initial concentration of acetic acid is c_{A0} = 514.09*1000/(60*891.24) = 9.53 mol/L. The initial concentration of ethanol is c_{B0} = 398.14*1000/(46*891.24) = 9.53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}{k1*(1-x_{A})*(c_{B0}-c_{A0}*x_{A})-\frac{c_{A0}*x_{A}*x_{A}}{kc}}=117.83 h. Theoretical volume is v=117.83*891.24=105112.55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</si>
  <si>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184/88 = 2.07 kmol/h. According to the chemical reaction equation, the mass flow rate of acetic acid required per hour is m_A = 2.07*60 = 124.09 kg/h. The mass flow rate of ethanol required per hour is m_B = 2.07*46 = 95.14 kg/h. The total volumetric feed flow rate is q_raw = (124.09+95.14)*1000/1.0 = 219.33 L/h. The initial concentration of acetic acid is c_{A0} = 124.09*1000/(60*219.33) = 9.43 mol/L. The initial concentration of ethanol is c_{B0} = 95.14*1000/(46*219.33) = 9.43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}{k1*(1-x_{A})*(c_{B0}-c_{A0}*x_{A})-\frac{c_{A0}*x_{A}*x_{A}}{kc}}=124.09
Theoretical volume is v=124.09*219.33=27350.52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</si>
  <si>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344/88 = 3.91 kmol/h. According to the chemical reaction equation, the mass flow rate of acetic acid required per hour is m_A = 3.91*60 = 234.55 kg/h. The mass flow rate of ethanol required per hour is m_B = 3.91*46 = 179.82 kg/h. The total volumetric feed flow rate is q_raw = (234.55+179.82)*1000/1.05 = 378.34 L/h. The initial concentration of acetic acid is c_{A0} = 234.55*1000/(60*378.34) = 9.91 mol/L. The initial concentration of ethanol is c_{B0} = 179.82*1000/(46*378.34) = 9.91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x)}=10.32 h. Theoretical volume is v=10.32*378.34=3834.46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</si>
  <si>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264/88 = 3.0 kkmol/h. According to the chemical reaction equation, the mass flow rate of acetic acid required per hour is m_A = 3.0*60 = 180.0 kg/h. The mass flow rate of ethanol required per hour is m_B = 3.0*46 = 138.0 kg/h. The total volumetric feed flow rate is q_raw = (180.0+138.0)*1000/0.95 = 343.96 L/h. The initial concentration of acetic acid is c_{A0} = 180.0*1000/(60*343.96) = 8.96 mol/L. The initial concentration of ethanol is c_{B0} = 138.0*1000/(46*343.96) = 8.96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}{k1*(1-x_{A})*(c_{B0}-c_{A0}*x_{A})-\frac{c_{A0}*x_{A}*x_{A}}{kc}}=116.79 h. Theoretical volume is v=116.79*343.96=39745.61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</si>
  <si>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206/88 = 2.39 kmol/h. According to the chemical reaction equation, the mass flow rate of acetic acid required per hour is m_A = 2.39*60 = 143.18 kg/h. The mass flow rate of ethanol required per hour is m_B = 2.39*46 = 109.17 kg/h. The total volumetric feed flow rate is q_raw = (143.18+109.17)*1000/0.93 = 262.45 L/h. The initial concentration of acetic acid is c_{A0} = 143.18*1000/(60*262.45) = 8.77 mol/L. The initial concentration of ethanol is c_{B0} = 109.17*1000/(46*262.45) = 8.77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}{k1*(1-x_{A})*(c_{B0}-c_{A0}*x_{A})-\frac{c_{A0}*x_{A}*x_{A}}{kc}}=113.38 h. Theoretical volume is v=113.38*262.45=29336.86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</si>
  <si>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782/88 = 8.84 kmol/h. According to the chemical reaction equation, the mass flow rate of acetic acid required per hour is m_A = 8.84*60 = 530.45 kg/h. The mass flow rate of ethanol required per hour is m_B = 8.84*46 = 406.68 kg/h. The total volumetric feed flow rate is q_raw = (530.45+406.68)*1000/0.84 = 1123.98 L/h. The initial concentration of acetic acid is c_{A0} = 530.45*1000/(60*1123.98) = 7.92 mol/L. The initial concentration of ethanol is c_{B0} = 406.68*1000/(46*1123.98) = 7.92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x)}=32.16 h. Theoretical volume is v=32.16*1123.98=36350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</si>
  <si>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345/88 = 3.92 kmol/h. According to the chemical reaction equation, the mass flow rate of acetic acid required per hour is m_A = 3.92*60 = 235.23 kg/h. The mass flow rate of ethanol required per hour is m_B = 3.92*46 = 180.34 kg/h. The total volumetric feed flow rate is q_raw = (235.23+180.34)*1000/0.81 = 468.Lung. The initial concentration of acetic acid is c_{A0} = 235.23*1000/(60*468Lung) = 7.62 mol/L. The initial concentration of ethanol is c_{B0} = 180.34*1000/(46*468Lung) = 7.62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}{k1*(1-x_{A})*(c_{B0}-c_{A0}*x_{A})-\frac{c_{A0}*x_{A}*x_{A}}{kc}}=99.56 h. Theoretical volume is v=99.56*468Lung=46102.9 Lung=46102.9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</si>
  <si>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The molar mass of acetic acid is 60 kg/kmol, ethanol is 46 kg/kmol, and ethyl acetate is 88 kg/kmol. The molar flow rate of ethyl acetate required per hour is n_product = 782/88 = 8.89 kmol/h. According to the chemical reaction equation, the mass flow rate of acetic acid required per hour is m_A = 8.89*60 = 533.18 kg/h. The mass flow rate of ethanol required per hour is m_B = 8.89*46 = 408.77 kg/h. The total volumetric feed flow rate is q_raw = (533.18+408.77)*1000/1.18 = 798.27 L/h. The initial concentration of acetic acid is c_{A0} = 533.18*1000/(60*798.27) = 11.13 mol/L. The initial concentration of ethanol is c_{B0} = 408.77*1000/(46*798.27) = 11.13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x)}=0.14 h. Theoretical volume is v=0.14*798.27=110.9 l.After comprehensively evaluating various factors in the reaction process, the emergence of highly corrosive substances (sulfuric acid) necessitates material considerations. Given cost-effectiveness requirements, we recommend using stainless steel as the reactor material.
</t>
    <phoneticPr fontId="1" type="noConversion"/>
  </si>
  <si>
    <t>The molar mass of acetic acid is 60 kg/kmol, ethanol is 46 kg/kmol, and ethyl acetate is 88 kg/kmol. The molar flow rate of ethyl acetate required per hour is n_product = 782/88 = 8.84 kmol/h. According to the chemical reaction equation, the mass flow rate of acetic acid required per hour is m_A = 8.84*60 = 530.45 kg/h. The mass flow rate of ethanol required per hour is m_B = 8.84*46 = 406.68 kg/h. The total volumetric feed flow rate is q_raw = (530.45+406.68)*1000/1.18 = 797.09 L/h. The initial concentration of acetic acid is c_{A0} = 530.45*1000/(60*797.09) = 11.13 mol/L. The initial concentration of ethanol is c_{B0} = 406.68*1000/(46*797.09) = 11.13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x)}=37.65 h. Theoretical volume is v=37.65*797.09=29865.07 l.After comprehensively evaluating various factors in the reaction process, the emergence of highly corrosive substances (sulfuric acid) necessitates material considerations. Given cost-effectiveness requirements, we recommend using stainless steel as the reactor material.</t>
    <phoneticPr fontId="1" type="noConversion"/>
  </si>
  <si>
    <t>The molar mass of acetic acid is 60 kg/kmol, ethanol is 46 kg/kmol, and ethyl acetate is 88 kg/kmol. The molar flow rate of ethyl acetate required per hour is n_product = 172/88 = 1.95 kmol/h. According to the chemical reaction equation, the mass flow rate of acetic acid required per hour is m_A = 1.95*60 = 117.27 kg/h. The mass flow rate of ethanol required per hour is m_B = 1.95*46 = 89.91 kg/h. The total volumetric feed flow rate is q_raw = (117.27+89.91)*1000/0.93 = 222.35 L/h. The initial concentration of acetic acid is c_{A0} = 117.27*1000/(60*222.35) = 8.77 mol/L. The initial concentration of ethanol is c_{B0} = 89.91*1000/(46*222.35) = 8.77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}{k1*(1-x_{A})*(c_{B0}-c_{A0}*x_{A})-\frac{c_{A0}*x_{A}*x_{A}}{kc}}=112.78 h. Theoretical volume is v=112.78*222.35=24943.94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</si>
  <si>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633/88 = 7.19 kmol/h. According to the chemical reaction equation, the mass flow rate of acetic acid required per hour is m_A = 7.19*60 = 431.59 kg/h. The mass flow rate of ethanol required per hour is m_B = 7.19*46 = 330.89 kg/h. The total volumetric feed flow rate is q_raw = (431.59+330.89)*1000/0.91 = 831.67 L/h. The initial concentration of acetic acid is c_{A0} = 431.59*1000/(60*831.67) = 8.58 mol/L. The initial concentration of ethanol is c_{B0} = 330.89*1000/(46*831.67) = 8.58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}{k1*(1-x_{A})*(c_{B0}-c_{A0}*x_{A})-\frac{c_{A0}*x_{A}*x_{A}}{kc}}=104.13 h. Theoretical volume is v=104.13*831.67=87950.8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</si>
  <si>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529/88 = 6.01 kmol/h. According to the chemical reaction equation, the mass flow rate of acetic acid required per hour is m_A = 6.01*60 = 360.68 kg/h. The mass flow rate of ethanol required per hour is m_B = 6.01*46 = 276.52 kg/h. The total volumetric feed flow rate is q_raw = (360.68+276.52)*1000/1.04 = 588.58 L/h. The initial concentration of acetic acid is c_{A0} = 360.68*1000/(60*588.58) = 10.09 mol/L. The initial concentration of ethanol is c_{B0} = 276.52*1000/(46*588.58) = 10.09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x)}=51.42 h. Theoretical volume is v=51.42*588.58=29549.38 l.After comprehensively evaluating various factors in the reaction process, the emergence of highly corrosive substances (sulfuric acid) necessitates material considerations. Given cost-effectiveness requirements, we recommend using stainless steel as the reactor material.</t>
  </si>
  <si>
    <t xml:space="preserve">The molar mass of acetic acid is 60 kg/kmol, ethanol is 46 kg/kmol, and ethyl acetate is 88 kg/kmol. The molar flow rate of ethyl acetate required per hour is n_product = 169/88 = 1.92 kmol/h. According to the chemical reaction equation, the mass flow rate of acetic acid required per hour is m_A = 1.92*60 = 115.23 kg/h. The mass flow rate of ethanol required per hour is m_B = 1.92*46 = 88.34 kg/h. The total volumetric feed flow rate is q_raw = (115.23+88.34)*1000/1.01 = 201.55 L/h. The initial concentration of acetic acid is c_{A0} = 115.23*1000/(60*201.55) = 9.53 mol/L. The initial concentration of ethanol is c_{B0} = 88.34*1000/(46*201.55) = 9.53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}{k1*(1-x_{A})*(c_{B0}-c_{A0}*x_{A})-\frac{c_{A0}*x_{A}*x_{A}}{kc}}=124.42 h. Theoretical volume is v=124.42*201.55=25076.97 l.After comprehensively evaluating various factors in the reaction process, the emergence of highly corrosive substances (sulfuric acid) necessitates material considerations. Given cost-effectiveness requirements, we recommend using stainless steel as the reactor material.
</t>
    <phoneticPr fontId="1" type="noConversion"/>
  </si>
  <si>
    <t>The molar mass of acetic acid is 60 kg/kmol, ethanol is 46 kg/kmol, and ethyl acetate is 88 kg/kmol. The molar flow rate of ethyl acetate required per hour is n_product = 169/88 = 1.92 kmol/h. According to the chemical reaction equation, the mass flow rate of acetic acid required per hour is m_A = 1.92*60 = 115.23 kg/h. The mass flow rate of ethanol required per hour is m_B = 1.92*46 = 88.94 kg/h. The total volumetric feed flow rate is q_raw = (115.23+88.94)*1000/1.01 = 203.33 L/h. The initial concentration of acetic acid is c_{A0} = 115.23*1000/(60*203.33) = 9.53 mol/L. The initial concentration of ethanol is c_{B0} = 88.94*1000/(46*203.33) = 9.53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}{k1*(1-x_{A})*(c_{B0}-c_{A0}*x_{A})-\frac{c_{A0}*x_{A}*x_{A}}{kc}}=115.23[1-x_{A}]_0^x_{f}=115.23*(1-1) - 115.23*0 = 0
After comprehensively evaluating various factors in the reaction process, the emergence of highly corrosive substances (sulfuric acid) necessitates material considerations. Given cost-effectiveness requirements, we recommend using stainless steel as the reactor material.</t>
    <phoneticPr fontId="1" type="noConversion"/>
  </si>
  <si>
    <t>The molar mass of acetic acid is 60 kg/kmol, ethanol is 46 kg/kmol, and ethyl acetate is 88 kg/kmol. The molar flow rate of ethyl acetate required per hour is n_product = 128/88 = 1.47 kmol/h. According to the chemical reaction equation, the mass flow rate of acetic acid required per hour is m_A = 1.47*60 = 87.95 kg/h. The mass flow rate of ethanol required per hour is m_B = 1.47*46 = 67.43 kg/h. The total volumetric feed flow rate is q_raw = (87.95+67.43)*1000/1.15 = 128.e-1 = 128 L/h. The initial concentration of acetic acid is c_{A0} = 87.95*1000/(60*128) = 10.31 mol/L. The initial concentration of ethanol is c_{B0} = 67.43*1000/(46*128) = 10.31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}{k1*(1-x_{A})*(c_{B0}-c_{A0}*x_{A})-\frac{c_{A0}*x_{A}*x_{A}}{kc}}=136.47 h. Theoretical volume is v=136.47*128=17503.13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</si>
  <si>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637/88 = 7.26 kmol/h. According to the chemical reaction equation, the mass flow rate of acetic acid required per hour is m_A = 7.26*60 = 435.68 kg/h. The mass flow rate of ethanol required per hour is m_B = 7.26*46 = 334.02 kg/h. The total volumetric feed flow rate is q_raw = (435.68+334.02)*1000/0.8 = 978.29 L/h. The initial concentration of acetic acid is c_{A0} = 435.68*1000/(60*978.29) = 7.55 mol/L. The initial concentration of ethanol is c_{B0} = 334.02*1000/(46*978.29) = 7.55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x)}=35.39 h. Theoretical volume is v=35.39*978.29=35200.56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</si>
  <si>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494/88 = 5.6 kmol/h. According to the chemical reaction equation, the mass flow rate of acetic acid required per hour is m_A = 5.6*60 = 336.14 kg/h. The mass flow rate of ethanol required per hour is m_B = 5.6*46 = 257.7 kg/h. The total volumetric feed flow rate is q_raw = (336.14+257.7)*1000/0.85 = 682.21 L/h. The initial concentration of acetic acid is c_{A0} = 336.14*1000/(60*682.21) = 8.02 mol/L. The initial concentration of ethanol is c_{B0} = 257.7*1000/(46*682.21) = 8.02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x)}=47.47 h. Theoretical volume is v=47.47*682.21=32592.85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</si>
  <si>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695/88 = 7.9 kmol/h. According to the chemical reaction equation, the mass flow rate of acetic acid required per hour is m_A = 7.9*60 = 473.86 kg/h. The mass flow rate of ethanol required per hour is m_B = 7.9*46 = 363.3 kg/h. The total volumetric feed flow rate is q_raw = (473.86+363.3)*1000/1.05 = 788.67 L/h. The initial concentration of acetic acid is c_{A0} = 473.86*1000/(60*788.67) = 9.91 mol/L. The initial concentration of ethanol is c_{B0} = 363.3*1000/(46*788.67) = 9.91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x)}=3.36 h. Theoretical volume is v=3.36*788.67=2672.92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</si>
  <si>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675/88 = 7.63 kmol/h. According to the chemical reaction equation, the mass flow rate of acetic acid required per hour is m_A = 7.63*60 = 457.77 kg/h. The mass flow rate of ethanol required per hour is m_B = 7.63*46 = 350.16 kg/h. The total volumetric feed flow rate is q_raw = (457.77+350.16)*1000/0.99 = 808.74 L/h. The initial concentration of acetic acid is c_{A0} = 457.77*1000/(60*808.74) = 9.34 mol/L. The initial concentration of ethanol is c_{B0} = 350.16*1000/(46*808.74) = 9.34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}{k1*(1-x_{A})*(c_{B0}-c_{A0}*x_{A})-\frac{c_{A0}*x_{A}*x_{A}}{kc}}=123.38 h. Theoretical volume is v=123.38*808.74=100352.35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</si>
  <si>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675/88 = 7.63 kmol/h. According to the chemical reaction equation, the mass flow rate of acetic acid required per hour is m_A = 7.63*60 = 457.77 kg/h. The mass flow rate of ethanol required per hour is m_B = 7.63*46 = 350.16 kg/h. The total volumetric feed flow rate is q_raw = (457.77+350.16)*1000/1.12 = 704.63 L/h. The initial concentration of acetic acid is c_{A0} = 457.77*1000/(60*704.63) = 10.57 mol/L. The initial concentration of ethanol is c_{B0} = 350.16*1000/(46*704.63) = 10.57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x)}=35.3 h. Theoretical volume is v=35.3*704.63=24990.07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</si>
  <si>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921/88 = 10.48 kmol/h. According to the chemical reaction equation, the mass flow rate of acetic acid required per hour is m_A = 10.48*60 = 628.64 kg/h. The mass flow rate of ethanol required per hour is m_B = 10.48*46 = 481.95 kg/h. The total volumetric feed flow rate is q_raw = (628.64+481.95)*1000/1.08 = 1017.97 L/h. The initial concentration of acetic acid is c_{A0} = 628.64*1000/(60*1017.97) = 10.19 mol/L. The initial concentration of ethanol is c_{B0} = 481.95*1000/(46*1017.97) = 10.19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}{k1*(1-x_{A})*(c_{B0}-c_{A0}*x_{A})-\frac{c_{A0}*x_{A}*x_{A}}{kc}}=136.08 h. Theoretical volume is v=136.08*1017.97=139107.76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</si>
  <si>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839/88 = 9.52 kmol/h. According to the chemical reaction equation, the mass flow rate of acetic acid required per hour is m_A = 9.52*60 = 571.36 kg/h. The mass flow rate of ethanol required per hour is m_B = 9.52*46 = 438.05 kg/h. The total volumetric feed flow rate is q_raw = (571.36+438.05)*1000/0.89 = 1123.51 L/h. The initial concentration of acetic acid is c_{A0} = 571.36*1000/(60*1123.51) = 8.4 mol/L. The initial concentration of ethanol is c_{B0} = 438.05*1000/(46*1123.51) = 8.4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x)}=18.27 h. Theoretical volume is v=18.27*1123.51=204ળી.After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</si>
  <si>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723/88 = 8.2 kmol/h. According to the chemical reaction equation, the mass flow rate of acetic acid required per hour is m_A = 8.2*60 = 492.27 kg/h. The mass flow rate of ethanol required per hour is m_B = 8.2*46 = 377.41 kg/h. The total volumetric feed flow rate is q_raw = (492.27+377.41)*1000/0.79 = 1100.86 L/h. The initial concentration of acetic acid is c_{A0} = 492.27*1000/(60*1100.86) = 7.45 mol/L. The initial concentration of ethanol is c_{B0} = 377.41*1000/(46*1100.86) = 7.45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}{k1*(1-x_{A})*(c_{B0}-c_{A0}*x_{A})-\frac{c_{A0}*x_{A}*x_{A}}{kc}}=96.32 h. Theoretical volume is v=96.32*1100.86=106037.29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</si>
  <si>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343/88 = 3.92 kmol/h. According to the chemical reaction equation, the mass flow rate of acetic acid required per hour is m_A = 3.92*60 = 235.23 kg/h. The mass flow rate of ethanol required per hour is m_B = 3.92*46 = 180.34 kg/h. The total volumetric feed flow rate is q_raw = (235.23+180.34)*1000/0.93 = 445.04 L/h. The initial concentration of acetic acid is c_{A0} = 235.23*1000/(60*445.04) = 8.77 mol/L. The initial concentration of ethanol is c_{B0} = 180.34*1000/(46*445.04) = 8.77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}{k1*(1-x_{A})*(c_{B0}-c_{A0}*x_{A})-\frac{c_{A0}*x_{A}*x_{A}}{kc}}=116.75 h. Theoretical volume is v=116.75*445.04=52215.95 l.After comprehensively evaluating various factors in the reaction process, the emergence of highly corrosive substances (sulfuric acid) necessitates material considerations. Given cost-effectiveness requirements, we recommend using stainless steel as the reactor material.</t>
  </si>
  <si>
    <t>The molar mass of acetic acid is 60 kg/kmol, ethanol is 46 kg/kmol, and ethyl acetate is 88 kg/kmol. The molar flow rate of ethyl acetate required per hour is n_product = 123/88 = 1.39 kmol/h. According to the chemical reaction equation, the mass flow rate of acetic acid required per hour is m_A = 1.39*60 = 83.18 kg/h. The mass flow rate of ethanol required per hour is m_B = 1.39*46 = 64.96 kg/h. The total volumetric feed flow rate is q_raw = (83.18+64.96)*1000/1.05 = 137.39 L/h. The initial concentration of acetic acid is c_{A0} = 83.18*1000/(60*137.39) = 9.91 mol/L. The initial concentration of ethanol is c_{B0} = 64.96*1000/(46*137.39) = 9.91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x)}=21.15 h. Theoretical volume is v=21.15*137.39=2931.31 l.After comprehensively evaluating various factors in the reaction process, the emergence of highly corrosive substances (sulfuric acid) necessitates material considerations. Given cost-effectiveness requirements, we recommend using stainless steel as the reactor material.</t>
  </si>
  <si>
    <t>The relative molecular weight of CH_{3}COOC_{2}H_{5} is 76 kg/kmol, NaOH is 40 kg/kmol. Raw material volumetric flow rate: Q_{0}=(996+996)/1.19=1712.58 m^3/h. Initial concentration of ethyl acetate: c_{A0}=996*1000/(76*1712.58)=7.83 mol/L. Initial concentration of sodium hydroxide: c_{B0}=996*1000*1/(40*1712.58)=14.88 mol/L. The concentration of chloroethanol: c_{A}=c_{A0}*(1-x). The concentration of sodium bicarbonate: c_{B}=c_{B0}-c_{A0}*x. Reaction time obtained through integral calculation: t=\frac{c_{A0} \cdot x_{f}}{r_{A}}=\frac{c_{A0} \cdot x_{f}}{k \cdot c_{A} \cdot c_{B}}=\frac{x_{f}}{k \cdot (1-x_{A}) \cdot (c_{B0}-c_{A0} \cdot x_{A})}=0.08 h. Theoretical volume is v=0.08*1712.58=138.94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</si>
  <si>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Q_{0}=(154+154)/1.83=173.67 m^3/h. Initial concentration of ethyl acetate: c_{A0}=154*1000/(76*173.67)=12.17 mol/L. Initial concentration of sodium hydroxide: c_{B0}=154*1000*1/(40*173.67)=23.12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v=0.03*173.67=48.4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</si>
  <si>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Q_{0}=(977+977)/1.63=1191.48 m^3/h. Initial concentration of ethyl acetate: c_{A0}=977*1000/(76*1191.48)=10.72 mol/L. Initial concentration of sodium hydroxide: c_{B0}=977*1000*1/(40*1191.48)=20.38 mol/L. The concentration of chloroethanol: c_{A}=c_{A0}*(1-x). The concentration of sodium bicarbonate: c_{B}=c_{B0}-c_{A0}*x. Reaction time obtained through integral calculation: t=\frac{c_{A0} \cdot x_{f}}{r_{A}}=\frac{c_{A0} \cdot x_{f}}{k \cdot c_{A} \cdot c_{B}}=\frac{x_{f}}{k \cdot (1-x_{A}) \cdot (c_{B0}-c_{A0} \cdot x_{A})}=0.04 h. Theoretical volume is v=0.04*1191.48=51.35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</si>
  <si>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Q_{0}=(580+580)/1.9=631.1 kmol/h. Initial concentration of ethyl acetate: c_{A0}=580*1000/(76*631.1)=12.25 mol/L. Initial concentration of sodium hydroxide: c_{B0}=580*1000*1/(40*631.1)=23.38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v=0.03*631.1=19.25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</si>
  <si>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Q_{0}=(371+371)/1.7=424.48 m^3/h. Initial concentration of ethyl acetate: c_{A0}=371*1000/(76*424.48)=11.38 mol/L. Initial concentration of sodium hydroxide: c_{B0}=371*1000*1/(40*424.48)=21.62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v=0.02*424.48=7.63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</si>
  <si>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Q_{0}=(183+183)/1.01=363.11 m^3/h. Initial concentration of ethyl acetate: c_{A0}=183*1000/(76*363.11)=6.78 mol/L. Initial concentration of sodium hydroxide: c_{B0}=183*1000*1/(40*363.11)=12.88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v=0.03*363.11=9.96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</si>
  <si>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Q_{0}=(721+721)/1.64=897.05 m^3/h. Initial concentration of ethyl acetate: c_{A0}=721*1000/(76*897.05)=10.72 mol/L. Initial concentration of sodium hydroxide: c_{B0}=721*1000*1/(40*897.05)=20.38 mol/L. The concentration of chloroethanol: c_{A}=c_{A0}*(1-x). The concentration of sodium bicarbonate: c_{B}=c_{B0}-c_{A0}*x. Reaction time obtained through integral calculation: t=\frac{c_{A0} \cdot x_{f}}{r_{A}}=\frac{c_{A0} \cdot x_{f}}{k \cdot c_{A} \cdot c_{B}}=\frac{x_{f}}{k \cdot (1-x_{A}) \cdot (c_{B0}-c_{A0} \cdot x_{A})}=0.05 h. Theoretical volume is v=0.05*897.05=42.67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</si>
  <si>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Q_{0}=(418+418)/1.29=648.99 m^3/h. Initial concentration of ethyl acetate: c_{A0}=418*1000/(76*648.99)=8.28 mol/L. Initial concentration of sodium hydroxide: c_{B0}=418*1000*1/(40*648.99)=15.62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v=0.03*648.99=17.38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</si>
  <si>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Q_{0}=(996+996)/1.75=1148.87 m^3/h. Initial concentration of ethyl acetate: c_{A0}=996*1000/(76*1148.87)=11.45 mol/L. Initial concentration of sodium hydroxide: c_{B0}=996*1000*1/(40*1148.87)=21.75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v=0.02*1148.87=22.25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</si>
  <si>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Q_{0}=(746+746)/1.49=1000.74 m^3/h. Initial concentration of ethyl acetate: c_{A0}=746*1000/(76*1000.74)=9.87 mol/L. Initial concentration of sodium hydroxide: c_{B0}=746*1000*1/(40*1000.74)=18.75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v=0.03*1000.74=9.97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</si>
  <si>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Q_{0}=(844+844)/1.82=893.74 m^3/h. Initial concentration of ethyl acetate: c_{A0}=844*1000/(76*893.74)=12.5 mol/L. Initial concentration of sodium hydroxide: c_{B0}=844*1000*1/(40*893.74)=23.75 mol/L. The concentration of chloroethanol: c_{A}=c_{A0}*(1-x). The concentration of sodium bicarbonate: c_{B}=c_{B0}-c_{A0}*x. Reaction time obtained through integral calculation: t=\int_{0}^{x_{f} } \frac{c_{A0}dx_{A} }{r_{A}}=\int_{0}^{x_{f} } \frac{c_{A0}dx_{A} }{k*c_{A}*c_{B}}=\int_{0}^{x_{f} } \frac{dx_{A} }{k*(1-x_{A})*(c_{B0}-c_{A0}*x_{A})}=0.01 h. Theoretical volume is v=0.01*893.74=10.78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</si>
  <si>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Q_{0}=(152+152)/1.87=162.81 m^3/h. Initial concentration of ethyl acetate: c_{A0}=152*1000/(76*162.81)=12.17 mol/L. Initial concentration of sodium hydroxide: c_{B0}=152*1000*1/(40*162.81)=23.13 mol/L. The concentration of chloroethanol: c_{A}=c_{A0}*(1-x). The concentration of sodium bicarbonate: c_{B}=c_{B0}-c_{A0}*x. Reaction time obtained through integral calculation: t=\frac{c_{A0} \cdot x_{f}}{r_{A}}=\frac{c_{A0} \cdot x_{f}}{k \cdot c_{A} \cdot c_{B}}=\frac{x_{f}}{k \cdot (1-x_{A}) \cdot (c_{B0}-c_{A0} \cdot x_{A})}=0.1 h. Theoretical volume is v=0.1*162.81=17.67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</si>
  <si>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Q_{0}=(597+597)/1.47=804.25 m^3/h. Initial concentration of ethyl acetate: c_{A0}=597*1000/(76*804.25)=10.39 mol/L. Initial concentration of sodium hydroxide: c_{B0}=597*1000*1/(40*804.25)=19.75 mol/L. The concentration of chloroethanol: c_{A}=c_{A0}*(1-x). The concentration of sodium bicarbonate: c_{B}=c_{B0}-c_{A0}*x. Reaction time obtained through integral calculation: t=\frac{c_{A0} \cdot x_{f}}{r_{A}}=\frac{c_{A0} \cdot x_{f}}{k \cdot c_{A} \cdot c_{B}}=\frac{x_{f}}{k \cdot (1-x_{A}) \cdot (c_{B0}-c_{A0} \cdot x_{A})}=0.1 h. Theoretical volume is v=0.1*804.25=79.55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</si>
  <si>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Q_{0}=(387+387)/1.33=603.62 m^3/h. Initial concentration of ethyl acetate: c_{A0}=387*1000/(76*603.62)=8.24 mol/L. Initial concentration of sodium hydroxide: c_{B0}=387*1000*1/(40*603.62)=15.62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v=0.03*603.62=17.52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</si>
  <si>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Q_{0}=(370+370)/1.3=572.37 m^3/h. Initial concentration of ethyl acetate: c_{A0}=370*1000/(76*572.37)=9.01 mol/L. Initial concentration of sodium hydroxide: c_{B0}=370*1000*1/(40*572.37)=17.13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v=0.03*572.37=17.45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</si>
  <si>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Q_{0}=(418+418)/1.45=568.97 m^3/h. Initial concentration of ethyl acetate: c_{A0}=418*1000/(76*568.97)=9.87 mol/L. Initial concentration of sodium hydroxide: c_{B0}=418*1000*1/(40*568.97)=18.75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v=0.02*568.97=9.92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</si>
  <si>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Q_{0}=(849+849)/1.55=1106.9 m^3/h. Initial concentration of ethyl acetate: c_{A0}=849*1000/(76*1106.9)=10.39 mol/L. Initial concentration of sodium hydroxide: c_{B0}=849*1000*1/(40*1106.9)=19.75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v=0.02*1106.9=17.53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</si>
  <si>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Q_{0}=(206+206)/1.16=357.42 m^3/h. Initial concentration of ethyl acetate: c_{A0}=206*1000/(76*357.42)=7.63 mol/L. Initial concentration of sodium hydroxide: c_{B0}=206*1000*1/(40*357.42)=14.5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v=0.03*357.42=9.89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</si>
  <si>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Q_{0}=(267+267)/1.61=332.05 m^3/h. Initial concentration of ethyl acetate: c_{A0}=267*1000/(76*332.05)=10.2 mol/L. Initial concentration of sodium hydroxide: c_{B0}=267*1000*1/(40*332.05)=19.38 mol/L. The concentration of chloroethanol: c_{A}=c_{A0}*(1-x). The concentration of sodium bicarbonate: c_{B}=c_{B0}-c_{A0}*x. Reaction time obtained through integral calculation: t=\int_{0}^{x_{f} } \frac{c_{A0}dx_{A} }{r_{A}}=\int_{0}^{x_{f} } \frac{c_{A0}dx_{A} }{k*c_{A}*c_{B}}=\int_{0}^{x_{f} } \frac{dx_{A} }{k*(1-x_{A})*(c_{B0}-c_{A0}*x_{A})}=0.05 h. Theoretical volume is v=0.05*332.05=17.04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</si>
  <si>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Q_{0}=(340+340)/1.23=540.94 m^3/h. Initial concentration of ethyl acetate: c_{A0}=340*1000/(76*540.94)=8.09 mol/L. Initial concentration of sodium hydroxide: c_{B0}=340*1000*1/(40*540.94)=15.38 mol/L. The concentration of chloroethanol: c_{A}=c_{A0}*(1-x). The concentration of sodium bicarbonate: c_{B}=c_{B0}-c_{A0}*x. Reaction time obtained through integral calculation: t=\int_{0}^{x_{f} } \frac{c_{A0}dx_{A} }{r_{A}}=\int_{0}^{x_{f} } \frac{c_{A0}dx_{A} }{k*c_{A}*c_{B}}=\int_{0}^{x_{f} } \frac{dx_{A} }{k*(1-x_{A})*(c_{B0}-c_{A0}*x_{A})}=0.04 h. Theoretical volume is v=0.04*540.94=20.92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</si>
  <si>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Q_{0}=(640+640)/1.9=693.19 m^3/h. Initial concentration of ethyl acetate: c_{A0}=640*1000/(76*693.19)=12.37 mol/L. Initial concentration of sodium hydroxide: c_{B0}=640*1000*1/(40*693.19)=23.5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v=0.02*693.19=13.49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</si>
  <si>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Q_{0}=(675+675)/1.37=979.11 m^3/h. Initial concentration of ethyl acetate: c_{A0}=675*1000/(76*979.11)=9.01 mol/L. Initial concentration of sodium hydroxide: c_{B0}=675*1000*1/(40*979.11)=17.13 mol/L. The concentration of chloroethanol: c_{A}=c_{A0}*(1-x). The concentration of sodium bicarbonate: c_{B}=c_{B0}-c_{A0}*x. Reaction time obtained through integral calculation: t=\frac{c_{A0} \cdot x_{f}}{r_{A}}=\frac{c_{A0} \cdot x_{f}}{k \cdot c_{A} \cdot c_{B}}=\frac{x_{f}}{k \cdot (1-x_{A}) \cdot (c_{B0}-c_{A0} \cdot x_{A})}=0.79 h. Theoretical volume is v=0.79*979.11=76ales.After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</si>
  <si>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Q_{0}=(46+46)/1.47=63.69 m^3/h. Initial concentration of ethyl acetate: c_{A0}=46*1000/(76*63.69)=9.08 mol/L. Initial concentration of sodium hydroxide: c_{B0}=46*1000*1/(40*63.69)=17.25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v=0.02*63.69=1.41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</si>
  <si>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Q_{0}=(765+765)/1.16=1330.38 m^3/h. Initial concentration of ethyl acetate: c_{A0}=765*1000/(76*1330.38)=7.57 mol/L. Initial concentration of sodium hydroxide: c_{B0}=765*1000*1/(40*1330.38)=14.37 mol/L. The concentration of chloroethanol: c_{A}=c_{A0}*(1-x). The concentration of sodium bicarbonate: c_{B}=c_{B0}-c_{A0}*x. Reaction time obtained through integral calculation: t=\int_{0}^{x_{f} } \frac{c_{A0}dx_{A} }{r_{A}}=\int_{0}^{x_{f} } \frac{c_{A0}dx_{A} }{k*c_{A}*c_{B}}=\int_{0}^{x_{f} } \frac{dx_{A} }{k*(1-x_{A})*(c_{B0}-c_{A0}*x_{A})}=0.08 h. Theoretical volume is v=0.08*1330.38=102.59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</si>
  <si>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Q_{0}=(815+815)/1.51=1090.27 m^3/h. Initial concentration of ethyl acetate: c_{A0}=815*1000/(76*1090.27)=10.13 mol/L. Initial concentration of sodium hydroxide: c_{B0}=815*1000*1/(40*1090.27)=19.25 mol/L. The concentration of chloroethanol: c_{A}=c_{A0}*(1-x). The concentration of sodium bicarbonate: c_{B}=c_{B0}-c_{A0}*x. Reaction time obtained through integral calculation: t=\frac{c_{A0} \cdot x_{f}}{r_{A}}=\frac{c_{A0} \cdot x_{f}}{k \cdot c_{A} \cdot c_{B}}=\frac{x_{f}}{k \cdot (1-x_{A}) \cdot (c_{B0}-c_{A0} \cdot x_{A})}=0.11 h. Theoretical volume is v=0.11*1090.27=118.61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</si>
  <si>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Q_{0}=(846+846)/1.27=1321.79 m^3/h. Initial concentration of ethyl acetate: c_{A0}=846*1000/(76*1321.79)=8.49 mol/L. Initial concentration of sodium hydroxide: c_{B0}=846*1000*1/(40*1321.79)=16.12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v=0.02*1321.79=27.38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</si>
  <si>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CH_{3}COOC_{2}H_{5} is 76 kg/kmol, NaOH is 40 kg/kmol. Raw material volumetric flow rate: Q_{0}=(869+869)/1.63=1069.11 m^3/h. Initial concentration of ethyl acetate: c_{A0}=869*1000/(76*1069.11)=10.64 mol/L. Initial concentration of sodium hydroxide: c_{B0}=869*1000*1/(40*1069.11)=20.0 mol/L. The concentration of chloroethanol: c_{A}=c_{A0}*(1-x). The concentration of sodium bicarbonate: c_{B}=c_{B0}-c_{A0}*x. Reaction time obtained through integral calculation: t=\frac{c_{A0} \cdot x_{f}}{r_{A}}=\frac{c_{A0} \cdot x_{f}}{k \cdot c_{A} \cdot c_{B}}=\frac{x_{f}}{k \cdot (1-x_{A}) \cdot (c_{B0}-c_{A0} \cdot x_{A})}=0.06 h. Theoretical volume is v=0.06*1069.11=65.01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</si>
  <si>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The relative molecular weight of NaHCO_{3} is 84 kg/kmol, CH_{2}ClCH_{2}OH is 80.5 kg/kmol, CH_{2}OHCH_{2}OH is 62 kg/kmol. Hourly production of ethylene glycol: 130/62=2.12kmol/h. Hourly required chloroethanol: 2.12*80.5/(0.76*0.12)=1590.05kg/h. Hourly required sodium bicarbonate: 2.12*84*3.6/(0.76*0.34)=2575.84kg/h. Raw material volumetric flow rate: Q_{0}=(1590.05+2575.84)/1.04=3830.23L/h. Initial concentration of chloroethanol: c_{A0}=2.12*1000/(0.76*3830.23)=0.78mol/L. Initial concentration of sodium bicarbonate: c_{B0}=2.12*1000*3.6/(0.76*3830.23)=2.7mol/L. The concentration of chloroethanol: c_{A}=c_{A0}*(1-x). The concentration of sodium bicarbonate: c_{B}=c_{B0}-c_{A0}*x. Reaction time obtained through integral calculation: t=\int_{0}^{x_{f} } \frac{c_{A0}dx_{A} }{r_{A}}=\int_{0}^{x_{f} } \frac{c_{A0}dx_{A} }{k*c_{A}*c_{B}}=\int_{0}^{x_{f} } \frac{dx_{A} }{k*(1-x_{A})*(c_{B0}-c_{A0}*x_{A})}=0.12 l. Theoretical volume is v=0.12*3830.23=471.8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</si>
  <si>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453/62=7.31kmol/h. Hourly required chloroethanol: 7.31*80.5/(0.81*0.18)=4070.23kg/h. Hourly required sodium bicarbonate: 7.31*84*3.8/(0.81*0.23)=13782.25kg/h. Raw material volumetric flow rate: Q_{0}=(4070.23+13782.25)/1.57=11108.76L/h. Initial concentration of chloroethanol: c_{A0}=7.31*1000/(0.81*11108.76)=0.87mol/L. Initial concentration of sodium bicarbonate: c_{B0}=7.31*1000*3.8/(0.81*11108.76)=3.17mol/L. The concentration of chloroethanol: c_{A}=c_{A0}*(1-x). The concentration of sodium bicarbonate: c_{B}=c_{B0}-c_{A0}*x. Reaction time obtained through integral calculation: t=\int_{0}^{x_{f} } \frac{c_{A0}dx_{A} }{r_{A}}=\int_{0}^{x_{f} } \frac{c_{A0}dx_{A} }{k*c_{A}*c_{B}}=\int_{0}^{x_{f} } \frac{dx_{A} }{k*(1-x_{A})*(c_{B0}-c_{A0}*x_{A})}=0.11 h. Theoretical volume is v=0.11*11108.76=1227.96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</si>
  <si>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602/62=9.68kmol/h. Hourly required chloroethanol: 9.68*80.5/(0.87*0.31)=2823.36kg/h. Hourly required sodium bicarbonate: 9.68*84*1.0/(0.87*0.37)=2453.66kg/h. Raw material volumetric flow rate: Q_{0}=(2823.36+2453.66)/1.59=3359.77L/h. Initial concentration of chloroethanol: c_{A0}=9.68*1000/(0.87*3359.77)=3.11mol/L. Initial concentration of sodium bicarbonate: c_{B0}=9.68*1000*1.0/(0.87*3359.77)=3.11mol/L. The concentration of chloroethanol: c_{A}=c_{A0}*(1-x). The concentration of sodium bicarbonate: c_{B}=c_{B0}-c_{A0}*x. Reaction time obtained through integral calculation: t=\int_{0}^{x_{f} } \frac{c_{A0}dx_{A} }{r_{A}}=\int_{0}^{x_{f} } \frac{c_{A0}dx_{A} }{k*c_{A}*c_{B}}=\int_{0}^{x_{f} } \frac{dx_{A} }{k*(1-x_{A})*(c_{B0}-c_{A0}*x_{A})}=0.09 h. Theoretical volume is v=0.09*3359.77=300.67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</si>
  <si>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816/62=13.16kmol/h. Hourly required chloroethanol: 13.16*80.5/(0.95*0.4)=2961.93kg/h. Hourly required sodium bicarbonate: 13.16*84*2.9/(0.95*0.45)=7231.39kg/h. Raw material volumetric flow rate: Q_{0}=(2961.93+7231.39)/1.31=7291.43L/h. Initial concentration of chloroethanol: c_{A0}=13.16*1000/(0.95*7291.43)=2.03mol/L. Initial concentration of sodium bicarbonate: c_{B0}=13.16*1000*2.9/(0.95*7291.43)=6.5mol/L. The concentration of chloroethanol: c_{A}=c_{A0}*(1-x). The concentration of sodium bicarbonate: c_{B}=c_{B0}-c_{A0}*x. Reaction time obtained through integral calculation: t=\int_{0}^{x_{f} } \frac{c_{A0}dx_{A} }{r_{A}}=\int_{0}^{x_{f} } \frac{c_{A0}dx_{A} }{k*c_{A}*c_{B}}=\int_{0}^{x_{f} } \frac{dx_{A} }{k*(1-x_{A})*(c_{B0}-c_{A0}*x_{A})}=0.14 h. Theoretical volume is v=0.14*7291.43=1036.47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</si>
  <si>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464/62=7.47kmol/h. Hourly required chloroethanol: 7.47*80.5/(0.72*0.05)=16116.8kg/h. Hourly required sodium bicarbonate: 7.47*84*3.3/(0.72*0.23)=10576.76kg/h. Raw material volumetric flow rate: Q_{0}=(16116.8+10576.76)/1.41=19329.4L/h. Initial concentration of chloroethanol: c_{A0}=7.47*1000/(0.72*19329.4)=0.55mol/L. Initial concentration of sodium bicarbonate: c_{B0}=7.47*1000*3.3/(0.72*19329.4)=1.88mol/L. The concentration of chloroethanol: c_{A}=c_{A0}*(1-x). The concentration of sodium bicarbonate: c_{B}=c_{B0}-c_{A0}*x. Reaction time obtained through integral calculation: t=\int_{0}^{x_{f} } \frac{c_{A0}dx_{A} }{r_{A}}=\int_{0}^{x_{f} } \frac{c_{A0}dx_{A} }{k*c_{A}*c_{B}}=\int_{0}^{x_{f} } \frac{dx_{A} }{k*(1-x_{A})*(c_{B0}-c_{A0}*x_{A})}=0.14 h. Theoretical volume is v=0.14*19329.4=2735.67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</si>
  <si>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867/62=14.15kmol/h. Hourly required chloroethanol: 14.15*80.5/(0.85*0.37)=3551.66kg/h. Hourly required sodium bicarbonate: 14.15*84*4.0/(0.85*0.42)=12826.8kg/h. Raw material volumetric flow rate: Q_{0}=(3551.66+12826.8)/1.48=11176.3L/h. Initial concentration of chloroethanol: c_{A0}=14.15*1000/(0.85*11176.3)=1.45mol/L. Initial concentration of sodium bicarbonate: c_{B0}=14.15*1000*4.0/(0.85*11176.3)=5.7mol/L. The concentration of chloroethanol: c_{A}=c_{A0}*(1-x). The concentration of sodium bicarbonate: c_{B}=c_{B0}-c_{A0}*x. Reaction time obtained through integral calculation: t=\int_{0}^{x_{f} } \frac{c_{A0}dx_{A} }{r_{A}}=\int_{0}^{x_{f} } \frac{c_{A0}dx_{A} }{k*c_{A}*c_{B}}=\int_{0}^{x_{f} } \frac{dx_{A} }{k*(1-x_{A})*(c_{B0}-c_{A0}*x_{A})}=0.06 h. Theoretical volume is v=0.06*11176.3=589.16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</si>
  <si>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447/62=7.21kmol/h. Hourly required chloroethanol: 7.21*80.5/(0.86*0.1)=6440.79kg/h. Hourly required sodium bicarbonate: 7.21*84*1.1/(0.86*0.12)=6094.12kg/h. Raw material volumetric flow rate: Q_{0}=(6440.79+6094.12)/1.93=6351.53L/h. Initial concentration of chloroethanol: c_{A0}=7.21*1000/(0.86*6351.53)=1.47mol/L. Initial concentration of sodium bicarbonate: c_{B0}=7.21*1000*1.1/(0.86*6351.53)=1.64mol/L. The concentration of chloroethanol: c_{A}=c_{A0}*(1-x). The concentration of sodium bicarbonate: c_{B}=c_{B0}-c_{A0}*x. Reaction time obtained through integral calculation: t=\int_{0}^{x_{f} } \frac{c_{A0}dx_{A} }{r_{A}}=\int_{0}^{x_{f} } \frac{c_{A0}dx_{A} }{k*c_{A}*c_{B}}=\int_{0}^{x_{f} } \frac{dx_{A} }{k*(1-x_{A})*(c_{B0}-c_{A0}*x_{A})}=0.26 h. Theoretical volume is v=0.26*6351.53=1581.33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</si>
  <si>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182/62=2.9kmol/h. Hourly required chloroethanol: 2.9*80.5/(0.7*0.23)=1342.24kg/h. Hourly required sodium bicarbonate: 2.9*84*1.4/(0.7*0.43)=729.6kg/h. Raw material volumetric flow rate: Q_{0}=(1342.24+729.6)/1.47=1586.86L/h. Initial concentration of chloroethanol: c_{A0}=2.9*1000/(0.7*1586.86)=2.9mol/L. Initial concentration of sodium bicarbonate: c_{B0}=2.9*1000*1.4/(0.7*1586.86)=3.72mol/L. The concentration of chloroethanol: c_{A}=c_{A0}*(1-x). The concentration of sodium bicarbonate: c_{B}=c_{B0}-c_{A0}*x. Reaction time obtained through integral calculation: t=\int_{0}^{x_{f} } \frac{c_{A0}dx_{A} }{r_{A}}=\int_{0}^{x_{f} } \frac{c_{A0}dx_{A} }{k*c_{A}*c_{B}}=\int_{0}^{x_{f} } \frac{dx_{A} }{k*(1-x_{A})*(c_{B0}-c_{A0}*x_{A})}=0.16 h. Theoretical volume is v=0.16*1586.86=249.97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</si>
  <si>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115/62=1.85kmol/h. Hourly required chloroethanol: 1.85*80.5/(0.84*0.49)=388.35kg/h. Hourly required sodium bicarbonate: 1.85*84*2.4/(0.84*0.5)=888.18kg/h. Raw material volumetric flow rate: Q_{0}=(388.35+888.18)/1.15=1028.09L/h. Initial concentration of chloroethanol: c_{A0}=1.85*1000/(0.84*1028.09)=1.99mol/L. Initial concentration of sodium bicarbonate: c_{B0}=1.85*1000*2.4/(0.84*1028.09)=4.78mol/L. The concentration of chloroethanol: c_{A}=c_{A0}*(1-x). The concentration of sodium bicarbonate: c_{B}=c_{B0}-c_{A0}*x. Reaction time obtained through integral calculation: t=\int_{0}^{x_{f} } \frac{c_{A0}dx_{A} }{r_{A}}=\int_{0}^{x_{f} } \frac{c_{A0}dx_{A} }{k*c_{A}*c_{B}}=\int_{0}^{x_{f} } \frac{dx_{A} }{k*(1-x_{A})*(c_{B0}-c_{A0}*x_{A})}=0.22 h. Theoretical volume is v=0.22*1028.09=233.39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</si>
  <si>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782/62=12.5kmol/h. Hourly required chloroethanol: 12.5*80.5/(0.76*0.1)=13912.5kg/h. Hourly required sodium bicarbonate: 12.5*84*1.9/(0.76*0.47)=5878.29kg/h. Raw material volumetric flow rate: Q_{0}=(13912.5+5878.29)/1.91=10467.59L/h. Initial concentration of chloroethanol: c_{A0}=12.5*1000/(0.76*10467.59)=1.49mol/L. Initial concentration of sodium bicarbonate: c_{B0}=12.5*1000*1.9/(0.76*10467.59)=2.64mol/L. The concentration of chloroethanol: c_{A}=c_{A0}*(1-x). The concentration of sodium bicarbonate: c_{B}=c_{B0}-c_{A0}*x. Reaction time obtained through integral calculation: t=\int_{0}^{x_{f} } \frac{c_{A0}dx_{A} }{r_{A}}=\int_{0}^{x_{f} } \frac{c_{A0}dx_{A} }{k*c_{A}*c_{B}}=\int_{0}^{x_{f} } \frac{dx_{A} }{k*(1-x_{A})*(c_{B0}-c_{A0}*x_{A})}=0.12 h. Theoretical volume is v=0.12*10467.59=1260.91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</si>
  <si>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480/62=7.74kmol/h. Hourly required chloroethanol: 7.74*80.5/(0.9*0.09)=7561.08kg/h. Hourly required sodium bicarbonate: 7.74*84*3.8/(0.9*0.26)=11945.44kg/h. Raw material volumetric flow rate: Q_{0}=(7561.08+11945.44)/1.55=12486.66L/h. Initial concentration of chloroethanol: c_{A0}=7.74*1000/(0.9*12486.66)=0.72mol/L. Initial concentration of sodium bicarbonate: c_{B0}=7.74*1000*3.8/(0.9*12486.66)=2.65mol/L. The concentration of chloroethanol: c_{A}=c_{A0}*(1-x). The concentration of sodium bicarbonate: c_{B}=c_{B0}-c_{A0}*x. Reaction time obtained through integral calculation: t=\int_{0}^{x_{f} } \frac{c_{A0}dx_{A} }{r_{A}}=\int_{0}^{x_{f} } \frac{c_{A0}dx_{A} }{k*c_{A}*c_{B}}=\int_{0}^{x_{f} } \frac{dx_{A} }{k*(1-x_{A})*(c_{B0}-c_{A0}*x_{A})}=0.16 h. Theoretical volume is v=0.16*12486.66=2009.06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</si>
  <si>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604/62=9.73kmol/h. Hourly required chloroethanol: 9.73*80.5/(0.98*0.26)=3498.51kg/h. Hourly required sodium bicarbonate: 9.73*84*1.8/(0.98*0.36)=4450.05kg/h. Raw material volumetric flow rate: Q_{0}=(3498.51+4450.05)/1.21=6540.42L/h. Initial concentration of chloroethanol: c_{A0}=9.73*1000/(0.98*6540.42)=1.68mol/L. Initial concentration of sodium bicarbonate: c_{B0}=9.73*1000*1.8/(0.98*6540.42)=3.22mol/L. The concentration of chloroethanol: c_{A}=c_{A0}*(1-x). The concentration of sodium bicarbonate: c_{B}=c_{B0}-c_{A0}*x. Reaction time obtained through integral calculation: t=\int_{0}^{x_{f} } \frac{c_{A0}dx_{A} }{r_{A}}=\int_{0}^{x_{f} } \frac{c_{A0}dx_{A} }{k*c_{A}*c_{B}}=\int_{0}^{x_{f} } \frac{dx_{A} }{k*(1-x_{A})*(c_{B0}-c_{A0}*x_{A})}=0.22 h. Theoretical volume is v=0.22*6540.42=1481.32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</si>
  <si>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441/62=7.11kmol/h. Hourly required chloroethanol: 7.11*80.5/(0.79*0.17)=4216.13kg/h. Hourly required sodium bicarbonate: 7.11*84*1.7/(0.79*0.22)=2968.5kg/h. Raw material volumetric flow rate: Q_{0}=(4216.13+2968.5)/1.32=5377.56L/h. Initial concentration of chloroethanol: c_{A0}=7.11*1000/(0.79*5377.56)=1.53mol/L. Initial concentration of sodium bicarbonate: c_{B0}=7.11*1000*1.7/(0.79*5377.56)=2.69mol/L. The concentration of chloroethanol: c_{A}=c_{A0}*(1-x). The concentration of sodium bicarbonate: c_{B}=c_{B0}-c_{A0}*x. Reaction time obtained through integral calculation: t=\frac{c_{A0}*x_{f}}{r_{A}}=\frac{c_{A0}*x_{f}}{k*c_{A}*c_{B}}=\frac{x_{f}}{k*(1-x_{A})*(c_{B0}-c_{A0}*x_{A})}=0.39 h. Theoretical volume is v=0.39*5377.56=2083.4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</si>
  <si>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666/62=10.74kmol/h. Hourly required chloroethanol: 10.74*80.5/(0.9*0.15)=6556.56kg/h. Hourly required sodium bicarbonate: 10.74*84*1.4/(0.9*0.24)=6214.93kg/h. Raw material volumetric flow rate: Q_{0}=(6556.56+6214.93)/1.46=8949.77L/h. Initial concentration of chloroethanol: c_{A0}=10.74*1000/(0.9*8949.77)=1.4mol/L. Initial concentration of sodium bicarbonate: c_{B0}=10.74*1000*1.4/(0.9*8949.77)=1.95mol/L. The concentration of chloroethanol: c_{A}=c_{A0}*(1-x). The concentration of sodium bicarbonate: c_{B}=c_{B0}-c_{A0}*x. Reaction time obtained through integral calculation: t=\int_{0}^{x_{f} } \frac{c_{A0}dx_{A} }{r_{A}}=\int_{0}^{x_{f} } \frac{c_{A0}dx_{A} }{k*c_{A}*c_{B}}=\int_{0}^{x_{f} } \frac{dx_{A} }{k*(1-x_{A})*(c_{B0}-c_{A0}*x_{A})}=0.44 h. Theoretical volume is v=0.44*8949.77=3910.58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</si>
  <si>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792/62=12.81kmol/h. Hourly required chloroethanol: 12.81*80.5/(0.92*0.31)=3635.08kg/h. Hourly required sodium bicarbonate: 12.81*84*2.3/(0.92*0.45)=6335.21kg/h. Raw material volumetric flow rate: Q_{0}=(3635.08+6335.21)/1.8=5704.37L/h. Initial concentration of chloroethanol: c_{A0}=12.81*1000/(0.92*5704.37)=2.3mol/L. Initial concentration of sodium bicarbonate: c_{B0}=12.81*1000*2.3/(0.92*5704.37)=5.26mol/L. The concentration of chloroethanol: c_{A}=c_{A0}*(1-x). The concentration of sodium bicarbonate: c_{B}=c_{B0}-c_{A0}*x. Reaction time obtained through integral calculation: t=\int_{0}^{x_{f} } \frac{c_{A0}dx_{A} }{r_{A}}=\int_{0}^{x_{f} } \frac{c_{A0}dx_{A} }{k*c_{A}*c_{B}}=\int_{0}^{x_{f} } \frac{dx_{A} }{k*(1-x_{A})*(c_{B0}-c_{A0}*x_{A})}=0.1 h. Theoretical volume is v=0.1*5704.37=553.27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</si>
  <si>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411/62=6.66kmol/h. Hourly required chloroethanol: 6.66*80.5/(0.74*0.15)=4735.21kg/h. Hourly required sodium bicarbonate: 6.66*84*2.6/(0.74*0.45)=3019.22kg/h. Raw material volumetric flow rate: Q_{0}=(4735.21+3019.22)/1.32=5672.84L/h. Initial concentration of chloroethanol: c_{A0}=6.66*1000/(0.74*5672.84)=1.6mol/L. Initial concentration of sodium bicarbonate: c_{B0}=6.66*1000*2.6/(0.74*5672.84)=4.13mol/L. The concentration of chloroethanol: c_{A}=c_{A0}*(1-x). The concentration of sodium bicarbonate: c_{B}=c_{B0}-c_{A0}*x. Reaction time obtained through integral calculation: t=\int_{0}^{x_{f} } \frac{c_{A0}dx_{A} }{r_{A}}=\int_{0}^{x_{f} } \frac{c_{A0}dx_{A} }{k*c_{A}*c_{B}}=\int_{0}^{x_{f} } \frac{dx_{A} }{k*(1-x_{A})*(c_{B0}-c_{A0}*x_{A})}=0.09 h. Theoretical volume is v=0.09*5672.84=524.87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</si>
  <si>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776/62=12.53kmol/h. Hourly required chloroethanol: 12.53*80.5/(0.92*0.23)=5158.66kg/h. Hourly required sodium bicarbonate: 12.53*84*4.9/(0.92*0.33)=19190.66kg/h. Raw material volumetric flow rate: Q_{0}=(5158.66+19190.66)/1.33=18176.1L/h. Initial concentration of chloroethanol: c_{A0}=12.53*1000/(0.92*18176.1)=0.79mol/L. Initial concentration of sodium bicarbonate: c_{B0}=12.53*1000*4.9/(0.92*18176.1)=3.82mol/L. The concentration of chloroethanol: c_{A}=c_{A0}*(1-x). The concentration of sodium bicarbonate: c_{B}=c_{B0}-c_{A0}*x. Reaction time obtained through integral calculation: t=\int_{0}^{x_{f} } \frac{c_{A0}dx_{A} }{r_{A}}=\int_{0}^{x_{f} } \frac{c_{A0}dx_{A} }{k*c_{A}*c_{B}}=\int_{0}^{x_{f} } \frac{dx_{A} }{k*(1-x_{A})*(c_{B0}-c_{A0}*x_{A})}=0.2 h. Theoretical volume is v=0.2*18176.1=3608.02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</si>
  <si>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384/62=6.19kmol/h. Hourly required chloroethanol: 6.19*80.5/(0.84*0.44)=1161.14kg/h. Hourly required sodium bicarbonate: 6.19*84*4.6/(0.84*0.47)=6030.84kg/h. Raw material volumetric flow rate: Q_{0}=(1161.14+6030.84)/1.37=6036.5L/h. Initial concentration of chloroethanol: c_{A0}=6.19*1000/(0.84*6036.5)=1.25mol/L. Initial concentration of sodium bicarbonate: c_{B0}=6.19*1000*4.6/(0.84*6036.5)=5.79mol/L. The concentration of chloroethanol: c_{A}=c_{A0}*(1-x). The concentration of sodium bicarbonate: c_{B}=c_{B0}-c_{A0}*x. Reaction time obtained through integral calculation: t=\frac{c_{A0}*x_{f}}{r_{A}}=\frac{c_{A0}*x_{f}}{k*c_{A}*c_{B}}=\frac{x_{f}}{k*(1-x_{A})*(c_{B0}-c_{A0}*x_{A})}=0.28 h. Theoretical volume is v=0.28*6036.5=1652.38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</si>
  <si>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332/62=5.35kmol/h. Hourly required chloroethanol: 5.35*80.5/(0.73*0.09)=6080.03kg/h. Hourly required sodium bicarbonate: 5.35*84*2.7/(0.73*0.24)=10500.02kg/h. Raw material volumetric flow rate: Q_{0}=(6080.03+10500.02)/1.96=7611.85L/h. Initial concentration of chloroethanol: c_{A0}=5.35*1000/(0.73*7611.85)=0.97mol/L. Initial concentration of sodium bicarbonate: c_{B0}=5.35*1000*2.7/(0.73*7611.85)=2.65mol/L. The concentration of chloroethanol: c_{A}=c_{A0}*(1-x). The concentration of sodium bicarbonate: c_{B}=c_{B0}-c_{A0}*x. Reaction time obtained through integral calculation: t=\frac{c_{A0}*x_{f}}{r_{A}}=\frac{c_{A0}*x_{f}}{k*c_{A}*c_{B}}=\frac{x_{f}}{k*(1-x_{A})*(c_{B0}-c_{A0}*x_{A})}=0.2 h. Theoretical volume is v=0.2*7611.85=1525.32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</si>
  <si>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848/62=13.66kmol/h. Hourly required chloroethanol: 13.66*80.5/(0.87*0.22)=5845.45kg/h. Hourly required sodium bicarbonate: 13.66*84*4.4/(0.87*0.4)=12897.0kg/h. Raw material volumetric flow rate: Q_{0}=(5845.45+12897.0)/1.45=14000.87L/h. Initial concentration of chloroethanol: c_{A0}=13.66*1000/(0.87*14000.87)=1.15mol/L. Initial concentration of sodium bicarbonate: c_{B0}=13.66*1000*4.4/(0.87*14000.87)=5.12mol/L. The concentration of chloroethanol: c_{A}=c_{A0}*(1-x). The concentration of sodium bicarbonate: c_{B}=c_{B0}-c_{A0}*x. Reaction time obtained through integral calculation: t=\int_{0}^{x_{f} } \frac{c_{A0}dx_{A} }{r_{A}}=\int_{0}^{x_{f} } \frac{c_{A0}dx_{A} }{k*c_{A}*c_{B}}=\int_{0}^{x_{f} } \frac{dx_{A} }{k*(1-x_{A})*(c_{B0}-c_{A0}*x_{A})}=0.09 h. Theoretical volume is v=0.09*14000.87=1186.57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</si>
  <si>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597/62=9.61kmol/h. Hourly required chloroethanol: 9.61*80.5/(0.84*0.09)=10781.05kg/h. Hourly required sodium bicarbonate: 9.61*84*3.0/(0.84*0.16)=17502.68kg/h. Raw material volumetric flow rate: Q_{0}=(10781.05+17502.68)/1.35=21517.2L/h. Initial concentration of chloroethanol: c_{A0}=9.61*1000/(0.84*21517.2)=0.52mol/L. Initial concentration of sodium bicarbonate: c_{B0}=9.61*1000*3.0/(0.84*21517.2)=1.55mol/L. The concentration of chloroethanol: c_{A}=c_{A0}*(1-x). The concentration of sodium bicarbonate: c_{B}=c_{B0}-c_{A0}*x. Reaction time obtained through integral calculation: t=\int_{0}^{x_{f} } \frac{c_{A0}dx_{A} }{r_{A}}=\int_{0}^{x_{f} } \frac{c_{A0}dx_{A} }{k*c_{A}*c_{B}}=\int_{0}^{x_{f} } \frac{dx_{A} }{k*(1-x_{A})*(c_{B0}-c_{A0}*x_{A})}=0.26 h. Theoretical volume is v=0.26*21517.2=5739.37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</si>
  <si>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300/62=4.88kmol/h. Hourly required chloroethanol: 4.88*80.5/(0.8*0.25)=1962.36kg/h. Hourly required sodium bicarbonate: 4.88*84*2.1/(0.8*0.47)=2379.3kg/h. Raw material volumetric flow rate: Q_{0}=(1962.36+2379.3)/1.63=2610.73L/h. Initial concentration of chloroethanol: c_{A0}=4.88*1000/(0.8*2610.73)=2.2mol/L. Initial concentration of sodium bicarbonate: c_{B0}=4.88*1000*2.1/(0.8*2610.73)=4.65mol/L. The concentration of chloroethanol: c_{A}=c_{A0}*(1-x). The concentration of sodium bicarbonate: c_{B}=c_{B0}-c_{A0}*x. Reaction time obtained through integral calculation: t=\int_{0}^{x_{f} } \frac{c_{A0}dx_{A} }{r_{A}}=\int_{0}^{x_{f} } \frac{c_{A0}dx_{A} }{k*c_{A}*c_{B}}=\int_{0}^{x_{f} } \frac{dx_{A} }{k*(1-x_{A})*(c_{B0}-c_{A0}*x_{A})}=0.14 h. Theoretical volume is v=0.14*2610.73=374.88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</si>
  <si>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751/62=12.18kmol/h. Hourly required chloroethanol: 12.18*80.5/(0.96*0.21)=4936.17kg/h. Hourly required sodium bicarbonate: 12.18*84*2.9/(0.96*0.24)=10577.12kg/h. Raw material volumetric flow rate: Q_{0}=(4936.17+10577.12)/1.59=9811.43L/h. Initial concentration of chloroethanol: c_{A0}=12.18*1000/(0.96*9811.43)=1.23mol/L. Initial concentration of sodium bicarbonate: c_{B0}=12.18*1000*2.9/(0.96*9811.43)=3.53mol/L. The concentration of chloroethanol: c_{A}=c_{A0}*(1-x). The concentration of sodium bicarbonate: c_{B}=c_{B0}-c_{A0}*x. Reaction time obtained through integral calculation: t=\int_{0}^{x_{f} } \frac{c_{A0}dx_{A} }{r_{A}}=\int_{0}^{x_{f} } \frac{c_{A0}dx_{A} }{k*c_{A}*c_{B}}=\int_{0}^{x_{f} } \frac{dx_{A} }{k*(1-x_{A})*(c_{B0}-c_{A0}*x_{A})}=0.14 h. Theoretical volume is v=0.14*9811.43=1406.51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</si>
  <si>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587/62=9.46kmol/h. Hourly required chloroethanol: 9.46*80.5/(0.71*0.13)=9090.79kg/h. Hourly required sodium bicarbonate: 9.46*84*5.0/(0.71*0.27)=20761.81kg/h. Raw material volumetric flow rate: Q_{0}=(9090.79+20761.81)/1.78=17044.46L/h. Initial concentration of chloroethanol: c_{A0}=9.46*1000/(0.71*17044.46)=0.75mol/L. Initial concentration of sodium bicarbonate: c_{B0}=9.46*1000*5.0/(0.71*17044.46)=3.75mol/L. The concentration of chloroethanol: c_{A}=c_{A0}*(1-x). The concentration of sodium bicarbonate: c_{B}=c_{B0}-c_{A0}*x. Reaction time obtained through integral calculation: t=\int_{0}^{x_{f} } \frac{c_{A0}dx_{A} }{r_{A}}=\int_{0}^{x_{f} } \frac{c_{A0}dx_{A} }{k*c_{A}*c_{B}}=\int_{0}^{x_{f} } \frac{dx_{A} }{k*(1-x_{A})*(c_{B0}-c_{A0}*x_{A})}=0.11 h. Theoretical volume is v=0.11*17044.46=1858.27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</si>
  <si>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839/62=13.56kmol/h. Hourly required chloroethanol: 13.56*80.5/(0.98*0.08)=15312.33kg/h. Hourly required sodium bicarbonate: 13.56*84*3.1/(0.98*0.26)=13450.2kg/h. Raw material volumetric flow rate: Q_{0}=(15312.33+13450.2)/1.88=14744.02L/h. Initial concentration of chloroethanol: c_{A0}=13.56*1000/(0.98*14744.02)=0.97mol/L. Initial concentration of sodium bicarbonate: c_{B0}=13.56*1000*3.1/(0.98*14744.02)=3.03mol/L. The concentration of chloroethanol: c_{A}=c_{A0}*(1-x). The concentration of sodium bicarbonate: c_{B}=c_{B0}-c_{A0}*x. Reaction time obtained through integral calculation: t=\frac{c_{A0}*x_{f}}{r_{A}}=\frac{c_{A0}*x_{f}}{k*c_{A}*c_{B}}=\frac{x_{f}}{k*(1-x_{A})*(c_{B0}-c_{A0}*x_{A})}=0.88 h. Theoretical volume is v=0.88*14744.02=12395.86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</si>
  <si>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853/62=13.73kmol/h. Hourly required chloroethanol: 13.73*80.5/(0.96*0.21)=5868.42kg/h. Hourly required sodium bicarbonate: 13.73*84*4.8/(0.96*0.29)=23720.54kg/h. Raw material volumetric flow rate: Q_{0}=(5868.42+23720.54)/1.35=21883.74L/h. Initial concentration of chloroethanol: c_{A0}=13.73*1000/(0.96*21883.74)=0.75mol/L. Initial concentration of sodium bicarbonate: c_{B0}=13.73*1000*4.8/(0.96*21883.74)=3.52mol/L. The concentration of chloroethanol: c_{A}=c_{A0}*(1-x). The concentration of sodium bicarbonate: c_{B}=c_{B0}-c_{A0}*x. Reaction time obtained through integral calculation: t=\int_{0}^{x_{f} } \frac{c_{A0}dx_{A} }{r_{A}}=\int_{0}^{x_{f} } \frac{c_{A0}dx_{A} }{k*c_{A}*c_{B}}=\int_{0}^{x_{f} } \frac{dx_{A} }{k*(1-x_{A})*(c_{B0}-c_{A0}*x_{A})}=0.3 h. Theoretical volume is v=0.3*21883.74=6831.33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</si>
  <si>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353/62=5.69kmol/h. Hourly required chloroethanol: 5.69*80.5/(0.95*0.13)=4096.92kg/h. Hourly required sodium bicarbonate: 5.69*84*3.9/(0.95*0.22)=1844.19kg/h. Raw material volumetric flow rate: Q_{0}=(4096.92+1844.19)/1.79=3889.19L/h. Initial concentration of chloroethanol: c_{A0}=5.69*1000/(0.95*3889.19)=1.54mol/L. Initial concentration of sodium bicarbonate: c_{B0}=5.69*1000*3.9/(0.95*3889.19)=6.03mol/L. The concentration of chloroethanol: c_{A}=c_{A0}*(1-x). The concentration of sodium bicarbonate: c_{B}=c_{B0}-c_{A0}*x. Reaction time obtained through integral calculation: t=\int_{0}^{x_{f} } \frac{c_{A0}dx_{A} }{r_{A}}=\int_{0}^{x_{f} } \frac{c_{A0}dx_{A} }{k*c_{A}*c_{B}}=\int_{0}^{x_{f} } \frac{dx_{A} }{k*(1-x_{A})*(c_{B0}-c_{A0}*x_{A})}=0.18 h. Theoretical volume is v=0.18*3889.19=707.81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</si>
  <si>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651/62=10.5kmol/h. Hourly required chloroethanol: 10.5*80.5/(0.94*0.21)=4409.88kg/h. Hourly required sodium bicarbonate: 10.5*84*3.1/(0.94*0.38)=8378.45kg/h. Raw material volumetric flow rate: Q_{0}=(4409.88+8378.45)/1.97=6036.81L/h. Initial concentration of chloroethanol: c_{A0}=10.5*1000/(0.94*6036.81)=2.04mol/L. Initial concentration of sodium bicarbonate: c_{B0}=10.5*1000*3.1/(0.94*6036.81)=6.28mol/L. The concentration of chloroethanol: c_{A}=c_{A0}*(1-x). The concentration of sodium bicarbonate: c_{B}=c_{B0}-c_{A0}*x. Reaction time obtained through integral calculation: t=\int_{0}^{x_{f} } \frac{c_{A0}dx_{A} }{r_{A}}=\int_{0}^{x_{f} } \frac{c_{A0}dx_{A} }{k*c_{A}*c_{B}}=\int_{0}^{x_{f} } \frac{dx_{A} }{k*(1-x_{A})*(c_{B0}-c_{A0}*x_{A})}=0.14 h. Theoretical volume is v=0.14*6036.81=843.58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</si>
  <si>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242/62=3.9kmol/h. Hourly required chloroethanol: 3.9*80.5/(0.9*0.25)=1528.41kg/h. Hourly required sodium bicarbonate: 3.9*84*1.5/(0.9*0.33)=2711.78kg/h. Raw material volumetric flow rate: Q_{0}=(1528.41+2711.78)/1.63=2964.38L/h. Initial concentration of chloroethanol: c_{A0}=3.9*1000/(0.9*2964.38)=1.52mol/L. Initial concentration of sodium bicarbonate: c_{B0}=3.9*1000*1.5/(0.9*2964.38)=2.25mol/L. The concentration of chloroethanol: c_{A}=c_{A0}*(1-x). The concentration of sodium bicarbonate: c_{B}=c_{B0}-c_{A0}*x. Reaction time obtained through integral calculation: t=\int_{0}^{x_{f} } \frac{c_{A0}dx_{A} }{r_{A}}=\int_{0}^{x_{f} } \frac{c_{A0}dx_{A} }{k*c_{A}*c_{B}}=\int_{0}^{x_{f} } \frac{dx_{A} }{k*(1-x_{A})*(c_{B0}-c_{A0}*x_{A})}=0.78 h. Theoretical volume is v=0.78*2964.38=2322.94 l.After comprehensively considering various factors in the reaction process, the operating temperatures remain moderate with no presence of highly corrosive substances. Given the cost considerations, we recommend using carbon steel as the reactor material.</t>
  </si>
  <si>
    <t>The relative molecular weight of NaHCO_{3} is 84 kg/kmol, CH_{2}ClCH_{2}OH is 80.5 kg/kmol, CH_{2}OHCH_{2}OH is 62 kg/kmol. Hourly production of ethylene glycol: 491/62=7.92kmol/h. Hourly required chloroethanol: 7.92*80.5/(0.89*0.16)=4576.78kg/h. Hourly required sodium bicarbonate: 7.92*84*1.4/(0.89*0.41)=2922.79kg/h. Raw material volumetric flow rate: Q_{0}=(4576.78+2922.79)/1.87=3779.77L/h. Initial concentration of chloroethanol: c_{A0}=7.92*1000/(0.89*3779.77)=2.35mol/L. Initial concentration of sodium bicarbonate: c_{B0}=7.92*1000*1.4/(0.89*3779.77)=3.35mol/L. The concentration of chloroethanol: c_{A}=c_{A0}*(1-x). The concentration of sodium bicarbonate: c_{B}=c_{B0}-c_{A0}*x. Reaction time obtained through integral calculation: t=\int_{0}^{x_{f} } \frac{c_{A0}dx_{A} }{r_{A}}=\int_{0}^{x_{f} } \frac{c_{A0}dx_{A} }{k*c_{A}*c_{B}}=\int_{0}^{x_{f} } \frac{dx_{A} }{k*(1-x_{A})*(c_{B0}-c_{A0}*x_{A})}=0.2 h. Theoretical volume is v=0.2*3779.77=757.87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</si>
  <si>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molar mass of acetic acid is 60 kg/kmol, ethanol is 46 kg/kmol, and ethyl acetate is 88 kg/kmol. The molar flow rate of ethyl acetate required per hour is n_product = 930/88 = 10.57 kmol/h. According to the chemical reaction equation, the mass flow rate of acetic acid required per hour is m_A = 10.57*60 = 634.09 kg/h. The mass flow rate of ethanol required per hour is m_B = 10.57*46 = 486.14 kg/h. The total volumetric feed flow rate is q_raw = (634.09+486.14)*1000/1.07 = 1033.18 L/h. The initial concentration of acetic acid is c_{A0} = 634.09*1000/(60*1033.18) = 10.19 mol/L. The initial concentration of ethanol is c_{B0} = 486.14*1000/(46*1033.18) = 10.19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x)}=23.56 h. Theoretical volume is v=23.56*1033.18=24356.9 l.After comprehensively evaluating various factors in the reaction process, the emergence of highly corrosive substances (sulfuric acid) necessitates material considerations. Given cost-effectiveness requirements, we recommend using stainless steel as the reactor material.</t>
  </si>
  <si>
    <t>&lt;think&gt;
&lt;/think&gt;
The molar mass of acetic acid is 60 kg/kmol, ethanol is 46 kg/kmol, and ethyl acetate is 88 kg/kmol. The molar flow rate of ethyl acetate required per hour is n_product = 431/88 = 4.9 kmol/h. According to the chemical reaction equation, the mass flow rate of acetic acid required per hour is m_A = 4.9*60 = 293.86 kg/h. The mass flow rate of ethanol required per hour is m_B = 4.9*46 = 225.3 kg/h. The total volumetric feed flow rate is q_raw = (293.86+225.3)*1000/0.85 = 610.78 L/h. The initial concentration of acetic acid is c_{A0} = 293.86*1000/(60*610.78) = 8.02 mol/L. The initial concentration of ethanol is c_{B0} = 225.3*1000/(46*610.78) = 8.02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}{k1*(1-x_{A})*(c_{B0}-c_{A0}*x_{A})-\frac{c_{A0}*x_{A}*x_{A}}{kc}}=97.25 h. Theoretical volume is v=97.25*610.78=59397.91 l.After comprehensively evaluating various factors in the reaction process, the emergence of highly corrosive substances (sulfuric acid) necessitates material considerations. Given cost-effectiveness requirements, we recommend using stainless steel as the reactor material.</t>
  </si>
  <si>
    <t>&lt;think&gt;
&lt;/think&gt;
The molar mass of acetic acid is 60 kg/kmol, ethanol is 46 kg/kmol, and ethyl acetate is 88 kg/kmol. The molar flow rate of ethyl acetate required per hour is n_product = 886/88 = 10.07 kmol/h. According to the chemical reaction equation, the mass flow rate of acetic acid required per hour is m_A = 10.07*60 = 604.09 kg/h. The mass flow rate of ethanol required per hour is m_B = 10.07*46 = 463.39 kg/h. The total volumetric feed flow rate is q_raw = (604.09+463.39)*1000/0.95 = 1136.97 L/h. The initial concentration of acetic acid is c_{A0} = 604.09*1000/(60*1136.97) = 8.87 mol/L. The initial concentration of ethanol is c_{B0} = 463.39*1000/(46*1136.97) = 8.87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}{k1*(1-x_{A})*(c_{B0}-c_{A0}*x_{A})-\frac{c_{A0}*x_{A}*x_{A}}{kc}}=117.15 h. Theoretical volume is v=117.15*1136.97=133180.74 l.After comprehensively evaluating various factors in the reaction process, the emergence of highly corrosive substances (sulfuric acid) necessitates material considerations. Given cost-effectiveness requirements, we recommend using stainless steel as the reactor material.</t>
  </si>
  <si>
    <t>&lt;think&gt;
&lt;/think&gt;
The molar mass of acetic acid is 60 kg/kmol, ethanol is 46 kg/kmol, and ethyl acetate is 88 kg/kmol. The molar flow rate of ethyl acetate required per hour is n_product = 755/88 = 8.51 kmol/h. According to the chemical reaction equation, the mass flow rate of acetic acid required per hour is m_A = 8.51*60 = 510.68 kg/h. The mass flow rate of ethanol required per hour is m_B = 8.51*46 = 391.52 kg/h. The total volumetric feed flow rate is q_raw = (510.68+391.52)*1000/1.01 = 893.37 L/h. The initial concentration of acetic acid is c_{A0} = 510.68*1000/(60*893.37) = 9.62 mol/L. The initial concentration of ethanol is c_{B0} = 391.52*1000/(46*893.37) = 9.62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}{k1*(1-x_{A})*(c_{B0}-c_{A0}*x_{A})-\frac{c_{A0}*x_{A}*x_{A}}{kc}}=126.77 h. Theoretical volume is v=126.77*893.37=113483.04 l.After comprehensively evaluating various factors in the reaction process, the emergence of highly corrosive substances (sulfuric acid) necessitates material considerations. Given cost-effectiveness requirements, we recommend using stainless steel as the reactor material.</t>
  </si>
  <si>
    <t>&lt;think&gt;
&lt;/think&gt;
The molar mass of acetic acid is 60 kg/kmol, ethanol is 46 kg/kmol, and ethyl acetate is 88 kg/kmol. The molar flow rate of ethyl acetate required per hour is n_product = 184/88 = 2.09 kmol/h. According to the chemical reaction equation, the mass flow rate of acetic acid required per hour is m_A = 2.09*60 = 125.45 kg/h. The mass flow rate of ethanol required per hour is m_B = 2.09*46 = 95.73 kg/h. The total volumetric feed flow rate is q_raw = (125.45+95.73)*1000/1.0 = 221.18 L/h. The initial concentration of acetic acid is c_{A0} = 125.45*1000/(60*221.18) = 9.74 mol/L. The initial concentration of ethanol is c_{B0} = 95.73*1000/(46*221.18) = 9.74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}{k1*(1-x_{A})*(c_{B0}-c_{A0}*x_{A})-\frac{c_{A0}*x_{A}*x_{A}}{kc}}=132.78 h. Theoretical volume is v=132.78*221.18=29311.58 l.After comprehensively evaluating various factors in the reaction process, the emergence of highly corrosive substances (sulfuric acid) necessitates material considerations. Given cost-effectiveness requirements, we recommend using stainless steel as the reactor material.</t>
  </si>
  <si>
    <t>&lt;think&gt;
&lt;/think&gt;
The molar mass of acetic acid is 60 kg/kmol, ethanol is 46 kg/kmol, and ethyl acetate is 88 kg/kmol. The molar flow rate of ethyl acetate required per hour is n_product = 315/88 = 3.57 kmol/h. According to the chemical reaction equation, the mass flow rate of acetic acid required per hour is m_A = 3.57*60 = 214.32 kg/h. The mass flow rate of ethanol required per hour is m_B = 3.57*46 = 165.82 kg/h. The total volumetric feed flow rate is q_raw = (214.32+165.82)*1000/0.86 = 446.04 L/h. The initial concentration of acetic acid is c_{A0} = 214.32*1000/(60*446.04) = 8.11 mol/L. The initial concentration of ethanol is c_{B0} = 165.82*1000/(46*446.04) = 8.11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}{k1*(1-x_{A})*(c_{B0}-c_{A0}*x_{A})-\frac{c_{A0}*x_{A}*x_{A}}{kc}}=106.65 h. Theoretical volume is v=106.65*446.04=47704.89 l.After comprehensively evaluating various factors in the reaction process, the emergence of highly corrosive substances (sulfuric acid) necessitates material considerations. Given cost-effectiveness requirements, we recommend using stainless steel as the reactor material.</t>
  </si>
  <si>
    <t>&lt;think&gt;
&lt;/think&gt;
The molar mass of acetic acid is 60 kg/kmol, ethanol is 46 kg/kmol, and ethyl acetate is 88 kg/kmol. The molar flow rate of ethyl acetate required per hour is n_product = 344/88 = 3.91 kmol/h. According to the chemical reaction equation, the mass flow rate of acetic acid required per hour is m_A = 3.91*60 = 234.64 kg/h. The mass flow rate of ethanol required per hour is m_B = 3.91*46 = 180.05 kg/h. The total volumetric feed flow rate is q_raw = (234.64+180.05)*1000/1.05 = 395.78 L/h. The initial concentration of acetic acid is c_{A0} = 234.64*1000/(60*395.78) = 9.91 mol/L. The initial concentration of ethanol is c_{B0} = 180.05*1000/(46*395.78) = 9.91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x)}=26.84 h. Theoretical volume is v=26.84*395.78=10738.8 l.After comprehensively evaluating various factors in the reaction process, the emergence of highly corrosive substances (sulfuric acid) necessitates material considerations. Given cost-effectiveness requirements, we recommend using stainless steel as the reactor material.</t>
  </si>
  <si>
    <t>&lt;think&gt;
&lt;/think&gt;
The molar mass of acetic acid is 60 kg/kmol, ethanol is 46 kg/kmol, and ethyl acetate is 88 kg/kmol. The molar flow rate of ethyl acetate required per hour is n_product = 264/88 = 3.0 kmol/h. According to the chemical reaction equation, the mass flow rate of acetic acid required per hour is m_A = 3.0*60 = 180.0 kg/h. The mass flow rate of ethanol required per hour is m_B = 3.0*46 = 135.25 kg/h. The total volumetric feed flow rate is q_raw = (180.0+135.25)*1000/0.95 = 334.23 L/h. The initial concentration of acetic acid is c_{A0} = 180.0*1000/(60*334.23) = 8.96 mol/L. The initial concentration of ethanol is c_{B0} = 135.25*1000/(46*334.23) = 8.96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}{k1*(1-x_{A})*(c_{B0}-c_{A0}*x_{A})-\frac{c_{A0}*x_{A}*x_{A}}{kc}}=114.83 h. Theoretical volume is v=114.83*334.23=38443.19 l.After comprehensively evaluating various factors in the reaction process, the emergence of highly corrosive substances (sulfuric acid) necessitates material considerations. Given cost-effectiveness requirements, we recommend using stainless steel as the reactor material.</t>
  </si>
  <si>
    <t>&lt;think&gt;
&lt;/think&gt;
The molar mass of acetic acid is 60 kg/kmol, ethanol is 46 kg/kmol, and ethyl acetate is 88 kg/kmol. The molar flow rate of ethyl acetate required per hour is n_product = 206/88 = 2.34 kmol/h. According to the chemical reaction equation, the mass flow rate of acetic acid required per hour is m_A = 2.34*60 = 140.45 kg/h. The mass flow rate of ethanol required per hour is m_B = 2.34*46 = 107.68 kg/h. The total volumetric feed flow rate is q_raw = (140.45+107.68)*1000/0.93 = 267.29 L/h. The initial concentration of acetic acid is c_{A0} = 140.45*1000/(60*267.29) = 9.02 mol/L. The initial concentration of ethanol is c_{B0} = 107.68*1000/(46*267.29) = 9.02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}{k1*(1-x_{A})*(c_{B0}-c_{A0}*x_{A})-\frac{c_{A0}*x_{A}*x_{A}}{kc}}=113.4 h. Theoretical volume is v=113.4*267.29=30564.44 l.After comprehensively evaluating various factors in the reaction process, the emergence of highly corrosive substances (sulfuric acid) necessitates material considerations. Given cost-effectiveness requirements, we recommend using stainless steel as the reactor material.</t>
  </si>
  <si>
    <t>&lt;think&gt;
&lt;/think&gt;
The molar mass of acetic acid is 60 kg/kmol, ethanol is 46 kg/kmol, and ethyl acetate is 88 kg/kmol. The molar flow rate of ethyl acetate required per hour is n_product = 782/88 = 8.91 kmol/h. According to the chemical reaction equation, the mass flow rate of acetic acid required per hour is m_A = 8.91*60 = 534.55 kg/h. The mass flow rate of ethanol required per hour is m_B = 8.91*46 = 409.82 kg/h. The total volumetric feed flow rate is q_raw = (534.55+409.82)*1000/0.84 = 1133.63 L/h. The initial concentration of acetic acid is c_{A0} = 534.55*1000/(60*1133.63) = 7.83 mol/L. The initial concentration of ethanol is c_{B0} = 409.82*1000/(46*1133.63) = 7.83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x)}=0.11 h. Theoretical volume is v=0.11*1133.63=128.64 l.After comprehensively evaluating various factors in the reaction process, the emergence of highly corrosive substances (sulfuric acid) necessitates material considerations. Given cost-effectiveness requirements, we recommend using stainless steel as the reactor material.</t>
  </si>
  <si>
    <t>&lt;think&gt;
&lt;/think&gt;
The molar mass of acetic acid is 60 kg/kmol, ethanol is 46 kg/kmol, and ethyl acetate is 88 kg/kmol. The molar flow rate of ethyl acetate required per hour is n_product = 345/88 = 3.92 kmol/h. According to the chemical reaction equation, the mass flow rate of acetic acid required per hour is m_A = 3.92*60 = 235.23 kg/h. The mass flow rate of ethanol required per hour is m_B = 3.92*46 = 180.34 kg/h. The total volumetric feed flow rate is q_raw = (235.23+180.34)*1000/0.81 = 487.12 L/h. The initial concentration of acetic acid is c_{A0} = 235.23*1000/(60*487.12) = 8.4 mol/L. The initial concentration of ethanol is c_{B0} = 180.34*1000/(46*487.12) = 8.4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}{k1*(1-x_{A})*(c_{B0}-c_{A0}*x_{A})-\frac{c_{A0}*x_{A}*x_{A}}{kc}}=110.74 h. Theoretical volume is v=110.74*487.12=53803.36 l.After comprehensively evaluating various factors in the reaction process, the emergence of highly corrosive substances (sulfuric acid) necessitates material considerations. Given cost-effectiveness requirements, we recommend using stainless steel as the reactor material.</t>
  </si>
  <si>
    <t>&lt;think&gt;
&lt;/think&gt;
The molar mass of acetic acid is 60 kg/kmol, ethanol is 46 kg/kmol, and ethyl acetate is 88 kg/kmol. The molar flow rate of ethyl acetate required per hour is n_product = 172/88 = 1.95 kmol/h. According to the chemical reaction equation, the mass flow rate of acetic acid required per hour is m_A = 1.95*60 = 117.27 kg/h. The mass flow rate of ethanol required per hour is m_B = 1.95*46 = 89.91 kg/h. The total volumetric feed flow rate is q_raw = (117.27+89.91)*1000/0.93 = 223.26 L/h. The initial concentration of acetic acid is c_{A0} = 117.27*1000/(60*223.26) = 8.87 mol/L. The initial concentration of ethanol is c_{B0} = 89.91*1000/(46*223.26) = 8.87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}{k1*(1-x_{A})*(c_{B0}-c_{A0}*x_{A})-\frac{c_{A0}*x_{A}*x_{A}}{kc}}=113.84 h. Theoretical volume is v=113.84*223.26=25359.05 l.After comprehensively evaluating various factors in the reaction process, the emergence of highly corrosive substances (sulfuric acid) necessitates material considerations. Given cost-effectiveness requirements, we recommend using stainless steel as the reactor material.</t>
  </si>
  <si>
    <t>&lt;think&gt;
&lt;/think&gt;
The molar mass of acetic acid is 60 kg/kmol, ethanol is 46 kg/kmol, and ethyl acetate is 88 kg/kmol. The molar flow rate of ethyl acetate required per hour is n_product = 633/88 = 7.19 kmol/h. According to the chemical reaction equation, the mass flow rate of acetic acid required per hour is m_A = 7.19*60 = 431.59 kg/h. The mass flow rate of ethanol required per hour is m_B = 7.19*46 = 330.89 kg/h. The total volumetric feed flow rate is q_raw = (431.59+330.89)*1000/0.91 = 837.89 L/h. The initial concentration of acetic acid is c_{A0} = 431.59*1000/(60*837.89) = 8.58 mol/L. The initial concentration of ethanol is c_{B0} = 330.89*1000/(46*837.89) = 8.58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}{k1*(1-x_{A})*(c_{B0}-c_{A0}*x_{A})-\frac{c_{A0}*x_{A}*x_{A}}{kc}}=114.64 h. Theoretical volume is v=114.64*837.89=96051.58 l.After comprehensively evaluating various factors in the reaction process, the emergence of highly corrosive substances (sulfuric acid) necessitates material considerations. Given cost-effectiveness requirements, we recommend using stainless steel as the reactor material.</t>
  </si>
  <si>
    <t>&lt;think&gt;
&lt;/think&gt;
The molar mass of acetic acid is 60 kg/kmol, ethanol is 46 kg/kmol, and ethyl acetate is 88 kg/kmol. The molar flow rate of ethyl acetate required per hour is n_product = 633/88 = 7.19 kmol/h. According to the chemical reaction equation, the mass flow rate of acetic acid required per hour is m_A = 7.19*60 = 431.59 kg/h. The mass flow rate of ethanol required per hour is m_B = 7.19*46 = 330.89 kg/h. The total volumetric feed flow rate is q_raw = (431.59+330.89)*1000/0.91 = 833.53 L/h. The initial concentration of acetic acid is c_{A0} = 431.59*1000/(60*833.53) = 8.68 mol/L. The initial concentration of ethanol is c_{B0} = 330.89*1000/(46*833.53) = 8.68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}{k1*(1-x_{A})*(c_{B0}-c_{A0}*x_{A})-\frac{c_{A0}*x_{A}*x_{A}}{kc}}=112.78 h. Theoretical volume is v=112.78*833.53=94028.98 l.After comprehensively evaluating various factors in the reaction process, the emergence of highly corrosive substances (sulfuric acid) necessitates material considerations. Given cost-effectiveness requirements, we recommend using stainless steel as the reactor material.</t>
  </si>
  <si>
    <t>&lt;think&gt;
&lt;/think&gt;
The molar mass of acetic acid is 60 kg/kmol, ethanol is 46 kg/kmol, and ethyl acetate is 88 kg/kmol. The molar flow rate of ethyl acetate required per hour is n_product = 529/88 = 6.08 kmol/h. According to the chemical reaction equation, the mass flow rate of acetic acid required per hour is m_A = 6.08*60 = 364.5 kg/h. The mass flow rate of ethanol required per hour is m_B = 6.08*46 = 279.25 kg/h. The total volumetric feed flow rate is q_raw = (364.5+279.25)*1000/1.04 = 627.27 L/h. The initial concentration of acetic acid is c_{A0} = 364.5*1000/(60*627.27) = 9.53 mol/L. The initial concentration of ethanol is c_{B0} = 279.25*1000/(46*627.27) = 9.53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x)}=58.4 h. Theoretical volume is v=58.4*627.27=36742.91 l.After comprehensively evaluating various factors in the reaction process, the emergence of highly corrosive substances (sulfuric acid) necessitates material considerations. Given cost-effectiveness requirements, we recommend using stainless steel as the reactor material.</t>
  </si>
  <si>
    <t>&lt;think&gt;
&lt;/think&gt;
The molar mass of acetic acid is 60 kg/kmol, ethanol is 46 kg/kmol, and ethyl acetate is 88 kg/kmol. The molar flow rate of ethyl acetate required per hour is n_product = 169/88 = 1.92 kmol/h. According to the chemical reaction equation, the mass flow rate of acetic acid required per hour is m_A = 1.92*60 = 115.27 kg/h. The mass flow rate of ethanol required per hour is m_B = 1.92*46 = 88.32 kg/h. The total volumetric feed flow rate is q_raw = (115.27+88.32)*1000/1.01 = 203.97 L/h. The initial concentration of acetic acid is c_{A0} = 115.27*1000/(60*203.97) = 9.44 mol/L. The initial concentration of ethanol is c_{B0} = 88.32*1000/(46*203.97) = 9.44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}{k1*(1-x_{A})*(c_{B0}-c_{A0}*x_{A})-\frac{c_{A0}*x_{A}*x_{A}}{kc}}=129.37 h. Theoretical volume is v=129.37*203.97=26428.57 l.After comprehensively evaluating various factors in the reaction process, the emergence of highly corrosive substances (sulfuric acid) necessitates material considerations. Given cost-effectiveness requirements, we recommend using stainless steel as the reactor material.</t>
  </si>
  <si>
    <t>&lt;think&gt;
&lt;/think&gt;
The molar mass of acetic acid is 60 kg/kmol, ethanol is 46 kg/kmol, and ethyl acetate is 88 kg/kmol. The molar flow rate of ethyl acetate required per hour is n_product = 128/88 = 1.46 kmol/h. According to the chemical reaction equation, the mass flow rate of acetic acid required per hour is m_A = 1.46*60 = 87.27 kg/h. The mass flow rate of ethanol required per hour is m_B = 1.46*46 = 67.18 kg/h. The total volumetric feed flow rate is q_raw = (87.27+67.18)*1000/1.15 = 130.2 L/h. The initial concentration of acetic acid is c_{A0} = 87.27*1000/(60*130.2) = 11.23 mol/L. The initial concentration of ethanol is c_{B0} = 67.18*1000/(46*130.2) = 11.23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}{k1*(1-x_{A})*(c_{B0}-c_{A0}*x_{A})-\frac{c_{A0}*x_{A}*x_{A}}{kc}}=146.4 h. Theoretical volume is v=146.4*130.2=19056.84 l.After comprehensively evaluating various factors in the reaction process, the emergence of highly corrosive substances (sulfuric acid) necessitates material considerations. Given cost-effectiveness requirements, we recommend using stainless steel as the reactor material.</t>
  </si>
  <si>
    <t>&lt;think&gt;
&lt;/think&gt;
The molar mass of acetic acid is 60 kg/kmol, ethanol is 46 kg/kmol, and ethyl acetate is 88 kg/kmol. The molar flow rate of ethyl acetate required per hour is n_product = 637/88 = 7.24 kmol/h. According to the chemical reaction equation, the mass flow rate of acetic acid required per hour is m_A = 7.24*60 = 434.77 kg/h. The mass flow rate of ethanol required per hour is m_B = 7.24*46 = 333.02 kg/h. The total volumetric feed flow rate is q_raw = (434.77+333.02)*1000/0.8 = 960.53 L/h. The initial concentration of acetic acid is c_{A0} = 434.77*1000/(60*960.53) = 7.53 mol/L. The initial concentration of ethanol is c_{B0} = 333.02*1000/(46*960.53) = 7.53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x)}=0.11 h. Theoretical volume is v=0.11*960.53=109.48 l.After comprehensively evaluating various factors in the reaction process, the emergence of highly corrosive substances (sulfuric acid) necessitates material considerations. Given cost-effectiveness requirements, we recommend using stainless steel as the reactor material.</t>
  </si>
  <si>
    <t>&lt;think&gt;
&lt;/think&gt;
The molar mass of acetic acid is 60 kg/kmol, ethanol is 46 kg/kmol, and ethyl acetate is 88 kg/kmol. The molar flow rate of ethyl acetate required per hour is n_product = 494/88 = 5.61 kmol/h. According to the chemical reaction equation, the mass flow rate of acetic acid required per hour is m_A = 5.61*60 = 336.82 kg/h. The mass flow rate of ethanol required per hour is m_B = 5.61*46 = 258.23 kg/h. The total volumetric feed flow rate is q_raw = (336.82+258.23)*1000/0.85 = 701.74 L/h. The initial concentration of acetic acid is c_{A0} = 336.82*1000/(60*701.74) = 8.11 mol/L. The initial concentration of ethanol is c_{B0} = 258.23*1000/(46*701.74) = 8.11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x)}=46.71 h. Theoretical volume is v=46.71*701.74=32788.62 l.After comprehensively evaluating various factors in the reaction process, the emergence of highly corrosive substances (sulfuric acid) necessitates material considerations. Given cost-effectiveness requirements, we recommend using stainless steel as the reactor material.</t>
  </si>
  <si>
    <t>&lt;think&gt;
&lt;/think&gt;
The molar mass of acetic acid is 60 kg/kmol, ethanol is 46 kg/kmol, and ethyl acetate is 88 kg/kmol. The molar flow rate of ethyl acetate required per hour is n_product = 695/88 = 7.9 kmol/h. According to the chemical reaction equation, the mass flow rate of acetic acid required per hour is m_A = 7.9*60 = 473.86 kg/h. The mass flow rate of ethanol required per hour is m_B = 7.9*46 = 363.3 kg/h. The total volumetric feed flow rate is q_raw = (473.86+363.3)*1000/1.05 = 799.63 L/h. The initial concentration of acetic acid is c_{A0} = 473.86*1000/(60*799.63) = 10.09 mol/L. The initial concentration of ethanol is c_{B0} = 363.3*1000/(46*799.63) = 10.09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x)}=7.39 h. Theoretical volume is v=7.39*799.63=5908.09 l.After comprehensively evaluating various factors in the reaction process, the emergence of highly corrosive substances (sulfuric acid) necessitates material considerations. Given cost-effectiveness requirements, we recommend using stainless steel as the reactor material.</t>
  </si>
  <si>
    <t>&lt;think&gt;
&lt;/think&gt;
The molar mass of acetic acid is 60 kg/kmol, ethanol is 46 kg/kmol, and ethyl acetate is 88 kg/kmol. The molar flow rate of ethyl acetate required per hour is n_product = 108/88 = 1.23 kmol/h. According to the chemical reaction equation, the mass flow rate of acetic acid required per hour is m_A = 1.23*60 = 73.91 kg/h. The mass flow rate of ethanol required per hour is m_B = 1.23*46 = 56.52 kg/h. The total volumetric feed flow rate is q_raw = (73.91+56.52)*1000/1.14 = 113.09 L/h. The initial concentration of acetic acid is c_{A0} = 73.91*1000/(60*113.09) = 10.93 mol/L. The initial concentration of ethanol is c_{B0} = 56.52*1000/(46*113.09) = 10.93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x)}=42.72 h. Theoretical volume is v=42.72*113.09=4811.63 l.After comprehensively evaluating various factors in the reaction process, the emergence of highly corrosive substances (sulfuric acid) necessitates material considerations. Given cost-effectiveness requirements, we recommend using stainless steel as the reactor material.</t>
  </si>
  <si>
    <t>&lt;think&gt;
&lt;/think&gt;
The molar mass of acetic acid is 60 kg/kmol, ethanol is 46 kg/kmol, and ethyl acetate is 88 kg/kmol. The molar flow rate of ethyl acetate required per hour is n_product = 675/88 = 7.69 kmol/h. According to the chemical reaction equation, the mass flow rate of acetic acid required per hour is m_A = 7.69*60 = 461.59 kg/h. The mass flow rate of ethanol required per hour is m_B = 7.69*46 = 353.89 kg/h. The total volumetric feed flow rate is q_raw = (461.59+353.89)*1000/0.99 = 821.55 L/h. The initial concentration of acetic acid is c_{A0} = 461.59*1000/(60*821.55) = 9.34 mol/L. The initial concentration of ethanol is c_{B0} = 353.89*1000/(46*821.55) = 9.34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}{k1*(1-x_{A})*(c_{B0}-c_{A0}*x_{A})-\frac{c_{A0}*x_{A}*x_{A}}{kc}}=115.72 h. Theoretical volume is v=115.72*821.55=95158.84 l.After comprehensively evaluating various factors in the reaction process, the emergence of highly corrosive substances (sulfuric acid) necessitates material considerations. Given cost-effectiveness requirements, we recommend using stainless steel as the reactor material.</t>
  </si>
  <si>
    <t>&lt;think&gt;
&lt;/think&gt;
The molar mass of acetic acid is 60 kg/kmol, ethanol is 46 kg/kmol, and ethyl acetate is 88 kg/kmol. The molar flow rate of ethyl acetate required per hour is n_product = 675/88 = 7.69 kmol/h. According to the chemical reaction equation, the mass flow rate of acetic acid required per hour is m_A = 7.69*60 = 461.59 kg/h. The mass flow rate of ethanol required per hour is m_B = 7.69*46 = 353.89 kg/h. The total volumetric feed flow rate is q_raw = (461.59+353.89)*1000/1.12 = 719.77 L/h. The initial concentration of acetic acid is c_{A0} = 461.59*1000/(60*719.77) = 10.61 mol/L. The initial concentration of ethanol is c_{B0} = 353.89*1000/(46*719.77) = 10.61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x)}=25.39 h. Theoretical volume is v=25.39*719.77=18285.82 l.After comprehensively evaluating various factors in the reaction process, the emergence of highly corrosive substances (sulfuric acid) necessitates material considerations. Given cost-effectiveness requirements, we recommend using stainless steel as the reactor material.</t>
  </si>
  <si>
    <t>&lt;think&gt;
&lt;/think&gt;
The molar mass of acetic acid is 60 kg/kmol, ethanol is 46 kg/kmol, and ethyl acetate is 88 kg/kmol. The molar flow rate of ethyl acetate required per hour is n_product = 921/88 = 10.47 kmol/h. According to the chemical reaction equation, the mass flow rate of acetic acid required per hour is m_A = 10.47*60 = 628.05 kg/h. The mass flow rate of ethanol required per hour is m_B = 10.47*46 = 481.84 kg/h. The total volumetric feed flow rate is q_raw = (628.05+481.84)*1000/1.08 = 1028.62 L/h. The initial concentration of acetic acid is c_{A0} = 628.05*1000/(60*1028.62) = 10.19 mol/L. The initial concentration of ethanol is c_{B0} = 481.84*1000/(46*1028.62) = 10.19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}{k1*(1-x_{A})*(c_{B0}-c_{A0}*x_{A})-\frac{c_{A0}*x_{A}*x_{A}}{kc}}=136.07 h. Theoretical volume is v=136.07*1028.62=140099.73 l.After comprehensively evaluating various factors in the reaction process, the emergence of highly corrosive substances (sulfuric acid) necessitates material considerations. Given cost-effectiveness requirements, we recommend using stainless steel as the reactor material.</t>
  </si>
  <si>
    <t>&lt;think&gt;
&lt;/think&gt;
The molar mass of acetic acid is 60 kg/kmol, ethanol is 46 kg/kmol, and ethyl acetate is 88 kg/kmol. The molar flow rate of ethyl acetate required per hour is n_product = 839/88 = 9.53 kmol/h. According to the chemical reaction equation, the mass flow rate of acetic acid required per hour is m_A = 9.53*60 = 572.05 kg/h. The mass flow rate of ethanol required per hour is m_B = 9.53*46 = 438.57 kg/h. The total volumetric feed flow rate is q_raw = (572.05+438.57)*1000/0.89 = 1118.93 L/h. The initial concentration of acetic acid is c_{A0} = 572.05*1000/(60*1118.93) = 8.4 mol/L. The initial concentration of ethanol is c_{B0} = 438.57*1000/(46*1118.93) = 8.4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x)}=25.5 h. Theoretical volume is v=25.5*1118.93=28463.63 l.After comprehensively evaluating various factors in the reaction process, the emergence of highly corrosive substances (sulfuric acid) necessitates material considerations. Given cost-effectiveness requirements, we recommend using stainless steel as the reactor material.</t>
  </si>
  <si>
    <t>&lt;think&gt;
&lt;/think&gt;
The molar mass of acetic acid is 60 kg/kmol, ethanol is 46 kg/kmol, and ethyl acetate is 88 kg/kmol. The molar flow rate of ethyl acetate required per hour is n_product = 723/88 = 8.2 kmol/h. According to the chemical reaction equation, the mass flow rate of acetic acid required per hour is m_A = 8.2*60 = 492.27 kg/h. The mass flow rate of ethanol required per hour is m_B = 8.2*46 = 377.41 kg/h. The total volumetric feed flow rate is q_raw = (492.27+377.41)*1000/0.79 = 1100.87 L/h. The initial concentration of acetic acid is c_{A0} = 492.27*1000/(60*1100.87) = 7.45 mol/L. The initial concentration of ethanol is c_{B0} = 377.41*1000/(46*1100.87) = 7.45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}{k1*(1-x_{A})*(c_{B0}-c_{A0}*x_{A})-\frac{c_{A0}*x_{A}*x_{A}}{kc}}=105.49 h. Theoretical volume is v=105.49*1100.87=116068.9 l.After comprehensively evaluating various factors in the reaction process, the emergence of highly corrosive substances (sulfuric acid) necessitates material considerations. Given cost-effectiveness requirements, we recommend using stainless steel as the reactor material.</t>
  </si>
  <si>
    <t>&lt;think&gt;
&lt;/think&gt;
The molar mass of acetic acid is 60 kg/kmol, ethanol is 46 kg/kmol, and ethyl acetate is 88 kg/kmol. The molar flow rate of ethyl acetate required per hour is n_product = 343/88 = 3.89 kmol/h. According to the chemical reaction equation, the mass flow rate of acetic acid required per hour is m_A = 3.89*60 = 233.41 kg/h. The mass flow rate of ethanol required per hour is m_B = 3.89*46 = 179.74 kg/h. The total volumetric feed flow rate is q_raw = (233.41+179.74)*1000/0.93 = 447.08 L/h. The initial concentration of acetic acid is c_{A0} = 233.41*1000/(60*447.08) = 8.77 mol/L. The initial concentration of ethanol is c_{B0} = 179.74*1000/(46*447.08) = 8.77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}{k1*(1-x_{A})*(c_{B0}-c_{A0}*x_{A})-\frac{c_{A0}*x_{A}*x_{A}}{kc}}=112.21 h. Theoretical volume is v=112.21*447.08=50292.83 l.After comprehensively evaluating various factors in the reaction process, the emergence of highly corrosive substances (sulfuric acid) necessitates material considerations. Given cost-effectiveness requirements, we recommend using stainless steel as the reactor material.</t>
  </si>
  <si>
    <t>&lt;think&gt;
&lt;/think&gt;
The molar mass of acetic acid is 60 kg/kmol, ethanol is 46 kg/kmol, and ethyl acetate is 88 kg/kmol. The molar flow rate of ethyl acetate required per hour is n_product = 123/88 = 1.4 kmol/h. According to the chemical reaction equation, the mass flow rate of acetic acid required per hour is m_A = 1.4*60 = 84.11 kg/h. The mass flow rate of ethanol required per hour is m_B = 1.4*46 = 64.57 kg/h. The total volumetric feed flow rate is q_raw = (84.11+64.57)*1000/1.05 = 137.07 L/h. The initial concentration of acetic acid is c_{A0} = 84.11*1000/(60*137.07) = 10.19 mol/L. The initial concentration of ethanol is c_{B0} = 64.57*1000/(46*137.07) = 10.19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x)}=13.32 h. Theoretical volume is v=13.32*137.07=1830.32 l.After comprehensively evaluating various factors in the reaction process, the emergence of highly corrosive substances (sulfuric acid) necessitates material considerations. Given cost-effectiveness requirements, we recommend using stainless steel as the reactor material.</t>
  </si>
  <si>
    <t>&lt;think&gt;
&lt;/think&gt;
The relative molecular weight of CH_{3}COOC_{2}H_{5} is 76 kg/kmol, NaOH is 40 kg/kmol. Raw material volumetric flow rate: Q_{0}=(371+371)/1.19=633.52 m^3/h. Initial concentration of ethyl acetate: c_{A0}=371*1000/(76*633.52)=7.75 mol/L. Initial concentration of sodium hydroxide: c_{B0}=371*1000*1/(40*633.52)=14.5 mol/L. The concentration of chloroethanol: c_{A}=c_{A0}*(1-x). The concentration of sodium bicarbonate: c_{B}=c_{B0}-c_{A0}*x. Reaction time obtained through integral calculation: t=\frac{c_{A0} \cdot x_{f}}{r_{A}}=\frac{c_{A0} \cdot x_{f}}{k \cdot c_{A} \cdot c_{B}}=\frac{x_{f}}{k \cdot (1-x_{A}) \cdot (c_{B0}-c_{A0} \cdot x_{A})}=0.08 h. Theoretical volume is v=0.08*633.52=46.76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</si>
  <si>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Q_{0}=(344+344)/1.83=375.25 m^3/h. Initial concentration of ethyl acetate: c_{A0}=344*1000/(76*375.25)=12.04 mol/L. Initial concentration of sodium hydroxide: c_{B0}=344*1000*1/(40*375.25)=22.12 mol/L. The concentration of chloroethanol: c_{A}=c_{A0}*(1-x). The concentration of sodium bicarbonate: c_{B}=c_{B0}-c_{A0}*x. Reaction time obtained through integral calculation: t=\int_{0}^{x_{f} } \frac{c_{A0}dx_{A} }{r_{A}}=\int_{0}^{x_{f} } \frac{c_{A0}dx_{A} }{k*c_{A}*c_{B}}=\int_{0}^{x_{f} } \frac{dx_{A} }{k*(1-x_{A})*(c_{B0}-c_{A0}*x_{A})}=0.04 h. Theoretical volume is v=0.04*375.25=15.04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</si>
  <si>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Q_{0}=(109+109)/1.63=132.68 m^3/h. Initial concentration of ethyl acetate: c_{A0}=109*1000/(76*132.68)=11.01 mol/L. Initial concentration of sodium hydroxide: c_{B0}=109*1000*1/(40*132.68)=21.25 mol/L. The concentration of chloroethanol: c_{A}=c_{A0}*(1-x). The concentration of sodium bicarbonate: c_{B}=c_{B0}-c_{A0}*x. Reaction time obtained through integral calculation: t=\frac{c_{A0} \cdot x_{f}}{r_{A}}=\frac{c_{A0} \cdot x_{f}}{k \cdot c_{A} \cdot c_{B}}=\frac{x_{f}}{k \cdot (1-x_{A}) \cdot (c_{B0}-c_{A0} \cdot x_{A})}=0.04 h. Theoretical volume is v=0.04*132.68=5.66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</si>
  <si>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Q_{0}=(960+960)/1.9=1010.52 m^3/h. Initial concentration of ethyl acetate: c_{A0}=960*1000/(76*1010.52)=12.88 mol/L. Initial concentration of sodium hydroxide: c_{B0}=960*1000*1/(40*1010.52)=23.75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v=0.02*1010.52=19.77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</si>
  <si>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Q_{0}=(837+837)/1.7=964.71 m^3/h. Initial concentration of ethyl acetate: c_{A0}=837*1000/(76*964.71)=11.25 mol/L. Initial concentration of sodium hydroxide: c_{B0}=837*1000*1/(40*964.71)=21.88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v=0.02*964.71=18.8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</si>
  <si>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Q_{0}=(785+785)/1.01=1554.46 m^3/h. Initial concentration of ethyl acetate: c_{A0}=785*1000/(76*1554.46)=6.58 mol/L. Initial concentration of sodium hydroxide: c_{B0}=785*1000*1/(40*1554.46)=12.5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v=0.03*1554.46=41.94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</si>
  <si>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Q_{0}=(663+663)/1.64=811.98 m^3/h. Initial concentration of ethyl acetate: c_{A0}=663*1000/(76*811.98)=10.86 mol/L. Initial concentration of sodium hydroxide: c_{B0}=663*1000*1/(40*811.98)=20.48 mol/L. The concentration of chloroethanol: c_{A}=c_{A0}*(1-x). The concentration of sodium bicarbonate: c_{B}=c_{B0}-c_{A0}*x. Reaction time obtained through integral calculation: t=\frac{c_{A0} \cdot x_{f}}{r_{A}}=\frac{c_{A0} \cdot x_{f}}{k \cdot c_{A} \cdot c_{B}}=\frac{x_{f}}{k \cdot (1-x_{A}) \cdot (c_{B0}-c_{A0} \cdot x_{A})}=0.05 h. Theoretical volume is v=0.05*811.98=38.52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</si>
  <si>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Q_{0}=(760+760)/1.29=1199.16 m^3/h. Initial concentration of ethyl acetate: c_{A0}=760*1000/(76*1199.16)=8.51 mol/L. Initial concentration of sodium hydroxide: c_{B0}=760*1000*1/(40*1199.16)=16.0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v=0.03*1199.16=34.49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</si>
  <si>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Q_{0}=(542+542)/1.75=610.29 m^3/h. Initial concentration of ethyl acetate: c_{A0}=542*1000/(76*610.29)=11.61 mol/L. Initial concentration of sodium hydroxide: c_{B0}=542*1000*1/(40*610.29)=22.0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v=0.02*610.29=12.45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</si>
  <si>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Q_{0}=(894+894)/1.49=1208.32 m^3/h. Initial concentration of ethyl acetate: c_{A0}=894*1000/(76*1208.32)=10.0 mol/L. Initial concentration of sodium hydroxide: c_{B0}=894*1000*1/(40*1208.32)=18.5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v=0.03*1208.32=41.31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</si>
  <si>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Q_{0}=(382+382)/1.82=428.71 m^3/h. Initial concentration of ethyl acetate: c_{A0}=382*1000/(76*428.71)=11.38 mol/L. Initial concentration of sodium hydroxide: c_{B0}=382*1000*1/(40*428.71)=21.75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v=0.02*428.71=8.32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</si>
  <si>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Q_{0}=(703+703)/1.87=747.71 m^3/h. Initial concentration of ethyl acetate: c_{A0}=703*1000/(76*747.71)=12.17 mol/L. Initial concentration of sodium hydroxide: c_{B0}=703*1000*1/(40*747.71)=22.88 mol/L. The concentration of chloroethanol: c_{A}=c_{A0}*(1-x). The concentration of sodium bicarbonate: c_{B}=c_{B0}-c_{A0}*x. Reaction time obtained through integral calculation: t=\frac{c_{A0} \cdot x_{f}}{r_{A}}=\frac{c_{A0} \cdot x_{f}}{k \cdot c_{A} \cdot c_{B}}=\frac{x_{f}}{k \cdot (1-x_{A}) \cdot (c_{B0}-c_{A0} \cdot x_{A})}=0.09 h. Theoretical volume is v=0.09*747.71=67.65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</si>
  <si>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Q_{0}=(720+720)/1.47=994.04 m^3/h. Initial concentration of ethyl acetate: c_{A0}=720*1000/(76*994.04)=9.43 mol/L. Initial concentration of sodium hydroxide: c_{B0}=720*1000*1/(40*994.04)=18.12 mol/L. The concentration of chloroethanol: c_{A}=c_{A0}*(1-x). The concentration of sodium bicarbonate: c_{B}=c_{B0}-c_{A0}*x. Reaction time obtained through integral calculation: t=\frac{c_{A0} \cdot x_{f}}{r_{A}}=\frac{c_{A0} \cdot x_{f}}{k \cdot c_{A} \cdot c_{B}}=\frac{x_{f}}{k \cdot (1-x_{A}) \cdot (c_{B0}-c_{A0} \cdot x_{A})}=0.18 h. Theoretical volume is v=0.18*994.04=178.82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</si>
  <si>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Q_{0}=(597+597)/1.33=900.78 m^3/h. Initial concentration of ethyl acetate: c_{A0}=597*1000/(76*900.78)=8.68 mol/L. Initial concentration of sodium hydroxide: c_{B0}=597*1000*1/(40*900.78)=16.5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v=0.03*900.78=27.19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</si>
  <si>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Q_{0}=(803+803)/1.3=1205.38 m^3/h. Initial concentration of ethyl acetate: c_{A0}=803*1000/(76*1205.38)=8.75 mol/L. Initial concentration of sodium hydroxide: c_{B0}=803*1000*1/(40*1205.38)=16.88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v=0.02*1205.38=21.53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</si>
  <si>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Q_{0}=(957+957)/1.45=1324.92 m^3/h. Initial concentration of ethyl acetate: c_{A0}=957*1000/(76*1324.92)=9.57 mol/L. Initial concentration of sodium hydroxide: c_{B0}=957*1000*1/(40*1324.92)=18.25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v=0.02*1324.92=23.23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</si>
  <si>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Q_{0}=(934+934)/1.55=1210.32 m^3/h. Initial concentration of ethyl acetate: c_{A0}=934*1000/(76*1210.32)=10.13 mol/L. Initial concentration of sodium hydroxide: c_{B0}=934*1000*1/(40*1210.32)=19.62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v=0.02*1210.32=22.96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</si>
  <si>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Q_{0}=(340+340)/1.16=597.44 m^3/h. Initial concentration of ethyl acetate: c_{A0}=340*1000/(76*597.44)=7.63 mol/L. Initial concentration of sodium hydroxide: c_{B0}=340*1000*1/(40*597.44)=14.38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v=0.02*597.44=11.38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</si>
  <si>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Q_{0}=(667+667)/1.61=821.14 m^3/h. Initial concentration of ethyl acetate: c_{A0}=667*1000/(76*821.14)=10.86 mol/L. Initial concentration of sodium hydroxide: c_{B0}=667*1000*1/(40*821.14)=20.38 mol/L. The concentration of chloroethanol: c_{A}=c_{A0}*(1-x). The concentration of sodium bicarbonate: c_{B}=c_{B0}-c_{A0}*x. Reaction time obtained through integral calculation: t=\int_{0}^{x_{f} } \frac{c_{A0}dx_{A} }{r_{A}}=\int_{0}^{x_{f} } \frac{c_{A0}dx_{A} }{k*c_{A}*c_{B}}=\int_{0}^{x_{f} } \frac{dx_{A} }{k*(1-x_{A})*(c_{B0}-c_{A0}*x_{A})}=0.05 h. Theoretical volume is v=0.05*821.14=42.51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</si>
  <si>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Q_{0}=(934+934)/1.23=1510.36 m^3/h. Initial concentration of ethyl acetate: c_{A0}=934*1000/(76*1510.36)=8.37 mol/L. Initial concentration of sodium hydroxide: c_{B0}=934*1000*1/(40*1510.36)=15.62 mol/L. The concentration of chloroethanol: c_{A}=c_{A0}*(1-x). The concentration of sodium bicarbonate: c_{B}=c_{B0}-c_{A0}*x. Reaction time obtained through integral calculation: t=\int_{0}^{x_{f} } \frac{c_{A0}dx_{A} }{r_{A}}=\int_{0}^{x_{f} } \frac{c_{A0}dx_{A} }{k*c_{A}*c_{B}}=\int_{0}^{x_{f} } \frac{dx_{A} }{k*(1-x_{A})*(c_{B0}-c_{A0}*x_{A})}=0.03 h. Theoretical volume is v=0.03*1510.36=41.64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</si>
  <si>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Q_{0}=(817+817)/1.9=858.42 m^3/h. Initial concentration of ethyl acetate: c_{A0}=817*1000/(76*858.42)=12.63 mol/L. Initial concentration of sodium hydroxide: c_{B0}=817*1000*1/(40*858.42)=23.5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v=0.02*858.42=18.01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</si>
  <si>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Q_{0}=(188+188)/1.37=274.31 m^3/h. Initial concentration of ethyl acetate: c_{A0}=188*1000/(76*274.31)=9.08 mol/L. Initial concentration of sodium hydroxide: c_{B0}=188*1000*1/(40*274.31)=17.12 mol/L. The concentration of chloroethanol: c_{A}=c_{A0}*(1-x). The concentration of sodium bicarbonate: c_{B}=c_{B0}-c_{A0}*x. Reaction time obtained through integral calculation: t=\frac{c_{A0} \cdot x_{f}}{r_{A}}=\frac{c_{A0} \cdot x_{f}}{k \cdot c_{A} \cdot c_{B}}=\frac{x_{f}}{k \cdot (1-x_{A}) \cdot (c_{B0}-c_{A0} \cdot x_{A})}=0.62 h. Theoretical volume is v=0.62*274.31=169.28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</si>
  <si>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Q_{0}=(387+387)/1.47=528.57 m^3/h. Initial concentration of ethyl acetate: c_{A0}=387*1000/(76*528.57)=9.74 mol/L. Initial concentration of sodium hydroxide: c_{B0}=387*1000*1/(40*528.57)=18.38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v=0.02*528.57=11.21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</si>
  <si>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Q_{0}=(921+921)/1.16=1589.19 m^3/h. Initial concentration of ethyl acetate: c_{A0}=921*1000/(76*1589.19)=7.62 mol/L. Initial concentration of sodium hydroxide: c_{B0}=921*1000*1/(40*1589.19)=14.25 mol/L. The concentration of chloroethanol: c_{A}=c_{A0}*(1-x). The concentration of sodium bicarbonate: c_{B}=c_{B0}-c_{A0}*x. Reaction time obtained through integral calculation: t=\int_{0}^{x_{f} } \frac{c_{A0}dx_{A} }{r_{A}}=\int_{0}^{x_{f} } \frac{c_{A0}dx_{A} }{k*c_{A}*c_{B}}=\int_{0}^{x_{f} } \frac{dx_{A} }{k*(1-x_{A})*(c_{B0}-c_{A0}*x_{A})}=0.08 h. Theoretical volume is v=0.08*1589.19=125.04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</si>
  <si>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Q_{0}=(302+302)/1.51=401.33 m^3/h. Initial concentration of ethyl acetate: c_{A0}=302*1000/(76*401.33)=9.74 mol/L. Initial concentration of sodium hydroxide: c_{B0}=302*1000*1/(40*401.33)=18.75 mol/L. The concentration of chloroethanol: c_{A}=c_{A0}*(1-x). The concentration of sodium bicarbonate: c_{B}=c_{B0}-c_{A0}*x. Reaction time obtained through integral calculation: t=\frac{c_{A0} \cdot x_{f}}{r_{A}}=\frac{c_{A0} \cdot x_{f}}{k \cdot c_{A} \cdot c_{B}}=\frac{x_{f}}{k \cdot (1-x_{A}) \cdot (c_{B0}-c_{A0} \cdot x_{A})}=0.13 h. Theoretical volume is v=0.13*401.33=52.25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</si>
  <si>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Q_{0}=(427+427)/1.14=749.10 m^3/h. Initial concentration of ethyl acetate: c_{A0}=427*1000/(76*749.10)=7.5 mol/L. Initial concentration of sodium hydroxide: c_{B0}=427*1000*1/(40*749.10)=14.4 mol/L. The concentration of chloroethanol: c_{A}=c_{A0}*(1-x). The concentration of sodium bicarbonate: c_{B}=c_{B0}-c_{A0}*x. Reaction time obtained through integral calculation: t=\int_{0}^{x_{f} } \frac{c_{A0}dx_{A} }{r_{A}}=\int_{0}^{x_{f} } \frac{c_{A0}dx_{A} }{k*c_{A}*c_{B}}=\int_{0}^{x_{f} } \frac{dx_{A} }{k*(1-x_{A})*(c_{B0}-c_{A0}*x_{A})}=0.04 h. Theoretical volume is v=0.04*749.10=29.4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</si>
  <si>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Q_{0}=(156+156)/1.77=175.2 m^3/h. Initial concentration of ethyl acetate: c_{A0}=156*1000/(76*175.2)=11.71 mol/L. Initial concentration of sodium hydroxide: c_{B0}=156*1000*1/(40*175.2)=22.12 mol/L. The concentration of chloroethanol: c_{A}=c_{A0}*(1-x). The concentration of sodium bicarbonate: c_{B}=c_{B0}-c_{A0}*x. Reaction time obtained through integral calculation: t=\frac{c_{A0} \cdot x_{f}}{r_{A}}=\frac{c_{A0} \cdot x_{f}}{k \cdot c_{A} \cdot c_{B}}=\frac{x_{f}}{k \cdot (1-x_{A}) \cdot (c_{B0}-c_{A0} \cdot x_{A})}=0.1 h. Theoretical volume is v=0.1*175.2=17.24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</si>
  <si>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Q_{0}=(977+977)/1.55=1254.72 m^3/h. Initial concentration of ethyl acetate: c_{A0}=977*1000/(76*1254.72)=10.33 mol/L. Initial concentration of sodium hydroxide: c_{B0}=977*1000*1/(40*1254.72)=19.41 mol/L. The concentration of chloroethanol: c_{A}=c_{A0}*(1-x). The concentration of sodium bicarbonate: c_{B}=c_{B0}-c_{A0}*x. Reaction time obtained through integral calculation: t=\frac{c_{A0} \cdot x_{f}}{r_{A}}=\frac{c_{A0} \cdot x_{f}}{k \cdot c_{A} \cdot c_{B}}=\frac{x_{f}}{k \cdot (1-x_{A}) \cdot (c_{B0}-c_{A0} \cdot x_{A})}=0.11 h. Theoretical volume is v=0.11*1254.72=136.02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</si>
  <si>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Q_{0}=(839+839)/1.27=1325.13 m^3/h. Initial concentration of ethyl acetate: c_{A0}=839*1000/(76*1325.13)=8.37 mol/L. Initial concentration of sodium hydroxide: c_{B0}=839*1000*1/(40*1325.13)=15.75 mol/L. The concentration of chloroethanol: c_{A}=c_{A0}*(1-x). The concentration of sodium bicarbonate: c_{B}=c_{B0}-c_{A0}*x. Reaction time obtained through integral calculation: t=\int_{0}^{x_{f} } \frac{c_{A0}dx_{A} }{r_{A}}=\int_{0}^{x_{f} } \frac{c_{A0}dx_{A} }{k*c_{A}*c_{B}}=\int_{0}^{x_{f} } \frac{dx_{A} }{k*(1-x_{A})*(c_{B0}-c_{A0}*x_{A})}=0.02 h. Theoretical volume is v=0.02*1325.13=26.08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</si>
  <si>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CH_{3}COOC_{2}H_{5} is 76 kg/kmol, NaOH is 40 kg/kmol. Raw material volumetric flow rate: Q_{0}=(775+775)/1.63=928.85 m^3/h. Initial concentration of ethyl acetate: c_{A0}=775*1000/(76*928.85)=11.12 mol/L. Initial concentration of sodium hydroxide: c_{B0}=775*1000*1/(40*928.85)=20.62 mol/L. The concentration of chloroethanol: c_{A}=c_{A0}*(1-x). The concentration of sodium bicarbonate: c_{B}=c_{B0}-c_{A0}*x. Reaction time obtained through integral calculation: t=\frac{c_{A0} \cdot x_{f}}{r_{A}}=\frac{c_{A0} \cdot x_{f}}{k \cdot c_{A} \cdot c_{B}}=\frac{x_{f}}{k \cdot (1-x_{A}) \cdot (c_{B0}-c_{A0} \cdot x_{A})}=0.07 h. Theoretical volume is v=0.07*928.85=66.11 l.After comprehensively evaluating all factors in the reaction process, the presence of a strongly alkaline substance (sodium hydroxide) requires careful material selection. Considering cost-effectiveness requirements, we recommend using stainless steel as the reactor material.</t>
  </si>
  <si>
    <t>&lt;think&gt;
&lt;/think&gt;
The relative molecular weight of NaHCO_{3} is 84 kg/kmol, CH_{2}ClCH_{2}OH is 80.5 kg/kmol, CH_{2}OHCH_{2}OH is 62 kg/kmol. Hourly production of ethylene glycol: 130/62=2.09kmol/h. Hourly required chloroethanol: 2.09*80.5/(0.76*0.12)=1707.65kg/h. Hourly required sodium bicarbonate: 2.09*84*3.6/(0.76*0.34)=3100.16kg/h. Raw material volumetric flow rate: Q_{0}=(1707.65+3100.16)/1.04=4566.54L/h. Initial concentration of chloroethanol: c_{A0}=2.09*1000/(0.76*4566.54)=0.59mol/L. Initial concentration of sodium bicarbonate: c_{B0}=2.09*1000*3.6/(0.76*4566.54)=2.13mol/L. The concentration of chloroethanol: c_{A}=c_{A0}*(1-x). The concentration of sodium bicarbonate: c_{B}=c_{B0}-c_{A0}*x. Reaction time obtained through integral calculation: t=\int_{0}^{x_{f} } \frac{c_{A0}dx_{A} }{r_{A}}=\int_{0}^{x_{f} } \frac{c_{A0}dx_{A} }{k*c_{A}*c_{B}}=\int_{0}^{x_{f} } \frac{dx_{A} }{k*(1-x_{A})*(c_{B0}-c_{A0}*x_{A})}=0.15 h. Theoretical volume is v=0.15*4566.54=670.06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</si>
  <si>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453/62=7.31kmol/h. Hourly required chloroethanol: 7.31*80.5/(0.81*0.18)=3800.89kg/h. Hourly required sodium bicarbonate: 7.31*84*3.8/(0.81*0.23)=11453.19kg/h. Raw material volumetric flow rate: Q_{0}=(3800.89+11453.19)/1.57=9580.06L/h. Initial concentration of chloroethanol: c_{A0}=7.31*1000/(0.81*9580.06)=0.96mol/L. Initial concentration of sodium bicarbonate: c_{B0}=7.31*1000*3.8/(0.81*9580.06)=3.64mol/L. The concentration of chloroethanol: c_{A}=c_{A0}*(1-x). The concentration of sodium bicarbonate: c_{B}=c_{B0}-c_{A0}*x. Reaction time obtained through integral calculation: t=\int_{0}^{x_{f} } \frac{c_{A0}dx_{A} }{r_{A}}=\int_{0}^{x_{f} } \frac{c_{A0}dx_{A} }{k*c_{A}*c_{B}}=\int_{0}^{x_{f} } \frac{dx_{A} }{k*(1-x_{A})*(c_{B0}-c_{A0}*x_{A})}=0.1 h. Theoretical volume is v=0.1*9580.06=958.45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</si>
  <si>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602/62=9.71kmol/h. Hourly required chloroethanol: 9.71*80.5/(0.87*0.31)=2730.71kg/h. Hourly required sodium bicarbonate: 9.71*84*1.0/(0.87*0.37)=2593.72kg/h. Raw material volumetric flow rate: Q_{0}=(2730.71+2593.72)/1.59=3444.19L/h. Initial concentration of chloroethanol: c_{A0}=9.71*1000/(0.87*3444.19)=3.3mol/L. Initial concentration of sodium bicarbonate: c_{B0}=9.71*1000*1.0/(0.87*3444.19)=3.3mol/L. The concentration of chloroethanol: c_{A}=c_{A0}*(1-x). The concentration of sodium bicarbonate: c_{B}=c_{B0}-c_{A0}*x. Reaction time obtained through integral calculation: t=\int_{0}^{x_{f} } \frac{c_{A0}dx_{A} }{r_{A}}=\int_{0}^{x_{f} } \frac{c_{A0}dx_{A} }{k*c_{A}*c_{B}}=\int_{0}^{x_{f} } \frac{dx_{A} }{k*(1-x_{A})*(c_{B0}-c_{A0}*x_{A})}=0.53 h. Theoretical volume is v=0.53*3444.19=1829.37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</si>
  <si>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816/62=13.16kmol/h. Hourly required chloroethanol: 13.16*80.5/(0.95*0.4)=2611.96kg/h. Hourly required sodium bicarbonate: 13.16*84*2.9/(0.95*0.45)=7598.35kg/h. Raw material volumetric flow rate: Q_{0}=(2611.96+7598.35)/1.31=7811.03L/h. Initial concentration of chloroethanol: c_{A0}=13.16*1000/(0.95*7811.03)=1.74mol/L. Initial concentration of sodium bicarbonate: c_{B0}=13.16*1000*2.9/(0.95*7811.03)=5.39mol/L. The concentration of chloroethanol: c_{A}=c_{A0}*(1-x). The concentration of sodium bicarbonate: c_{B}=c_{B0}-c_{A0}*x. Reaction time obtained through integral calculation: t=\int_{0}^{x_{f} } \frac{c_{A0}dx_{A} }{r_{A}}=\int_{0}^{x_{f} } \frac{c_{A0}dx_{A} }{k*c_{A}*c_{B}}=\int_{0}^{x_{f} } \frac{dx_{A} }{k*(1-x_{A})*(c_{B0}-c_{A0}*x_{A})}=0.19 h. Theoretical volume is v=0.19*7811.03=1477.1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</si>
  <si>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464/62=7.52kmol/h. Hourly required chloroethanol: 7.52*80.5/(0.72*0.05)=16818.14kg/h. Hourly required sodium bicarbonate: 7.52*84*3.3/(0.72*0.23)=12329.66kg/h. Raw material volumetric flow rate: Q_{0}=(16818.14+12329.66)/1.41=20557.46L/h. Initial concentration of chloroethanol: c_{A0}=7.52*1000/(0.72*20557.46)=0.51mol/L. Initial concentration of sodium bicarbonate: c_{B0}=7.52*1000*3.3/(0.72*20557.46)=1.67mol/L. The concentration of chloroethanol: c_{A}=c_{A0}*(1-x). The concentration of sodium bicarbonate: c_{B}=c_{B0}-c_{A0}*x. Reaction time obtained through integral calculation: t=\int_{0}^{x_{f} } \frac{c_{A0}dx_{A} }{r_{A}}=\int_{0}^{x_{f} } \frac{c_{A0}dx_{A} }{k*c_{A}*c_{B}}=\int_{0}^{x_{f} } \frac{dx_{A} }{k*(1-x_{A})*(c_{B0}-c_{A0}*x_{A})}=0.17 h. Theoretical volume is v=0.17*20557.46=3405.78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</si>
  <si>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867/62=14.01kmol/h. Hourly required chloroethanol: 14.01*80.5/(0.85*0.37)=3433.59kg/h. Hourly required sodium bicarbonate: 14.01*84*4.0/(0.85*0.42)=15688.7kg/h. Raw material volumetric flow rate: Q_{0}=(3433.59+15688.7)/1.48=13622.68L/h. Initial concentration of chloroethanol: c_{A0}=14.01*1000/(0.85*13622.68)=1.24mol/L. Initial concentration of sodium bicarbonate: c_{B0}=14.01*1000*4.0/(0.85*13622.68)=5.94mol/L. The concentration of chloroethanol: c_{A}=c_{A0}*(1-x). The concentration of sodium bicarbonate: c_{B}=c_{B0}-c_{A0}*x. Reaction time obtained through integral calculation: t=\int_{0}^{x_{f} } \frac{c_{A0}dx_{A} }{r_{A}}=\int_{0}^{x_{f} } \frac{c_{A0}dx_{A} }{k*c_{A}*c_{B}}=\int_{0}^{x_{f} } \frac{dx_{A} }{k*(1-x_{A})*(c_{B0}-c_{A0}*x_{A})}=0.06 h. Theoretical volume is v=0.06*13622.68=799.2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</si>
  <si>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447/62=7.21kmol/h. Hourly required chloroethanol: 7.21*80.5/(0.86*0.1)=6950.53kg/h. Hourly required sodium bicarbonate: 7.21*84*1.1/(0.86*0.12)=6096.8kg/h. Raw material volumetric flow rate: Q_{0}=(6950.53+6096.8)/1.93=6684.55L/h. Initial concentration of chloroethanol: c_{A0}=7.21*1000/(0.86*6684.55)=1.26mol/L. Initial concentration of sodium bicarbonate: c_{B0}=7.21*1000*1.1/(0.86*6684.55)=1.38mol/L. The concentration of chloroethanol: c_{A}=c_{A0}*(1-x). The concentration of sodium bicarbonate: c_{B}=c_{B0}-c_{A0}*x. Reaction time obtained through integral calculation: t=\int_{0}^{x_{f} } \frac{c_{A0}dx_{A} }{r_{A}}=\int_{0}^{x_{f} } \frac{c_{A0}dx_{A} }{k*c_{A}*c_{B}}=\int_{0}^{x_{f} } \frac{dx_{A} }{k*(1-x_{A})*(c_{B0}-c_{A0}*x_{A})}=1.53 h. Theoretical volume is v=1.53*6684.55=10195.83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</si>
  <si>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182/62=2.94kmol/h. Hourly required chloroethanol: 2.94*80.5/(0.7*0.23)=1306.8kg/h. Hourly required sodium bicarbonate: 2.94*84*1.4/(0.7*0.43)=1534.57kg/h. Raw material volumetric flow rate: Q_{0}=(1306.8+1534.57)/1.47=1895.59L/h. Initial concentration of chloroethanol: c_{A0}=2.94*1000/(0.7*1895.59)=2.2mol/L. Initial concentration of sodium bicarbonate: c_{B0}=2.94*1000*1.4/(0.7*1895.59)=3.08mol/L. The concentration of chloroethanol: c_{A}=c_{A0}*(1-x). The concentration of sodium bicarbonate: c_{B}=c_{B0}-c_{A0}*x. Reaction time obtained through integral calculation: t=\int_{0}^{x_{f} } \frac{c_{A0}dx_{A} }{r_{A}}=\int_{0}^{x_{f} } \frac{c_{A0}dx_{A} }{k*c_{A}*c_{B}}=\int_{0}^{x_{f} } \frac{dx_{A} }{k*(1-x_{A})*(c_{B0}-c_{A0}*x_{A})}=0.12 h. Theoretical volume is v=0.12*1895.59=228.93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</si>
  <si>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115/62=1.85kmol/h. Hourly required chloroethanol: 1.85*80.5/(0.84*0.49)=359.15kg/h. Hourly required sodium bicarbonate: 1.85*84*2.4/(0.84*0.5)=1752.15kg/h. Raw material volumetric flow rate: Q_{0}=(359.15+1752.15)/1.15=1822.19L/h. Initial concentration of chloroethanol: c_{A0}=1.85*1000/(0.84*1822.19)=1.2mol/L. Initial concentration of sodium bicarbonate: c_{B0}=1.85*1000*2.4/(0.84*1822.19)=2.9mol/L. The concentration of chloroethanol: c_{A}=c_{A0}*(1-x). The concentration of sodium bicarbonate: c_{B}=c_{B0}-c_{A0}*x. Reaction time obtained through integral calculation: t=\int_{0}^{x_{f} } \frac{c_{A0}dx_{A} }{r_{A}}=\int_{0}^{x_{f} } \frac{c_{A0}dx_{A} }{k*c_{A}*c_{B}}=\int_{0}^{x_{f} } \frac{dx_{A} }{k*(1-x_{A})*(c_{B0}-c_{A0}*x_{A})}=0.13 h. Theoretical volume is v=0.13*1822.19=241.37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</si>
  <si>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782/62=12.65kmol/h. Hourly required chloroethanol: 12.65*80.5/(0.76*0.1)=13721.24kg/h. Hourly required sodium bicarbonate: 12.65*84*1.9/(0.76*0.47)=5964.7kg/h. Raw material volumetric flow rate: Q_{0}=(13721.24+5964.7)/1.91=10856.45L/h. Initial concentration of chloroethanol: c_{A0}=12.65*1000/(0.76*10856.45)=1.53mol/L. Initial concentration of sodium bicarbonate: c_{B0}=12.65*1000*1.9/(0.76*10856.45)=3.0mol/L. The concentration of chloroethanol: c_{A}=c_{A0}*(1-x). The concentration of sodium bicarbonate: c_{B}=c_{B0}-c_{A0}*x. Reaction time obtained through integral calculation: t=\int_{0}^{x_{f} } \frac{c_{A0}dx_{A} }{r_{A}}=\int_{0}^{x_{f} } \frac{c_{A0}dx_{A} }{k*c_{A}*c_{B}}=\int_{0}^{x_{f} } \frac{dx_{A} }{k*(1-x_{A})*(c_{B0}-c_{A0}*x_{A})}=0.12 h. Theoretical volume is v=0.12*10856.45=1352.63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</si>
  <si>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480/62=7.74kmol/h. Hourly required chloroethanol: 7.74*80.5/(0.9*0.09)=7409.84kg/h. Hourly required sodium bicarbonate: 7.74*84*3.8/(0.9*0.26)=10607.1kg/h. Raw material volumetric flow rate: Q_{0}=(7409.84+10607.1)/1.55=11067.37L/h. Initial concentration of chloroethanol: c_{A0}=7.74*1000/(0.9*11067.37)=0.8mol/L. Initial concentration of sodium bicarbonate: c_{B0}=7.74*1000*3.8/(0.9*11067.37)=2.9mol/L. The concentration of chloroethanol: c_{A}=c_{A0}*(1-x). The concentration of sodium bicarbonate: c_{B}=c_{B0}-c_{A0}*x. Reaction time obtained through integral calculation: t=\int_{0}^{x_{f} } \frac{c_{A0}dx_{A} }{r_{A}}=\int_{0}^{x_{f} } \frac{c_{A0}dx_{A} }{k*c_{A}*c_{B}}=\int_{0}^{x_{f} } \frac{dx_{A} }{k*(1-x_{A})*(c_{B0}-c_{A0}*x_{A})}=0.22 h. Theoretical volume is v=0.22*11067.37=2467.49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</si>
  <si>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604/62=9.76kmol/h. Hourly required chloroethanol: 9.76*80.5/(0.98*0.26)=3096.94kg/h. Hourly required sodium bicarbonate: 9.76*84*1.8/(0.98*0.36)=4349.42kg/h. Raw material volumetric flow rate: Q_{0}=(3096.94+4349.42)/1.21=5993.09L/h. Initial concentration of chloroethanol: c_{A0}=9.76*1000/(0.98*5993.09)=1.69mol/L. Initial concentration of sodium bicarbonate: c_{B0}=9.76*1000*1.8/(0.98*5993.09)=3.05mol/L. The concentration of chloroethanol: c_{A}=c_{A0}*(1-x). The concentration of sodium bicarbonate: c_{B}=c_{B0}-c_{A0}*x. Reaction time obtained through integral calculation: t=\int_{0}^{x_{f} } \frac{c_{A0}dx_{A} }{r_{A}}=\int_{0}^{x_{f} } \frac{c_{A0}dx_{A} }{k*c_{A}*c_{B}}=\int_{0}^{x_{f} } \frac{dx_{A} }{k*(1-x_{A})*(c_{B0}-c_{A0}*x_{A})}=0.33 h. Theoretical volume is v=0.33*5993.09=1988.52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</si>
  <si>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441/62=7.11kmol/h. Hourly required chloroethanol: 7.11*80.5/(0.79*0.17)=4040.89kg/h. Hourly required sodium bicarbonate: 7.11*84*1.7/(0.79*0.22)=7588.88kg/h. Raw material volumetric flow rate: Q_{0}=(4040.89+7588.88)/1.32=8959.64L/h. Initial concentration of chloroethanol: c_{A0}=7.11*1000/(0.79*8959.64)=1.03mol/L. Initial concentration of sodium bicarbonate: c_{B0}=7.11*1000*1.7/(0.79*8959.64)=1.75mol/L. The concentration of chloroethanol: c_{A}=c_{A0}*(1-x). The concentration of sodium bicarbonate: c_{B}=c_{B0}-c_{A0}*x. Reaction time obtained through integral calculation: t=\frac{c_{A0}*x_{f}}{r_{A}}=\frac{c_{A0}*x_{f}}{k*c_{A}*c_{B}}=\frac{x_{f}}{k*(1-x_{A})*(c_{B0}-c_{A0}*x_{A})}=0.55 h. Theoretical volume is v=0.55*8959.64=4911.18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</si>
  <si>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666/62=10.77kmol/h. Hourly required chloroethanol: 10.77*80.5/(0.9*0.15)=6121.68kg/h. Hourly required sodium bicarbonate: 10.77*84*1.4/(0.9*0.24)=6013.68kg/h. Raw material volumetric flow rate: Q_{0}=(6121.68+6013.68)/1.46=7814.4L/h. Initial concentration of chloroethanol: c_{A0}=10.77*1000/(0.9*7814.4)=1.64mol/L. Initial concentration of sodium bicarbonate: c_{B0}=10.77*1000*1.4/(0.9*7814.4)=2.29mol/L. The concentration of chloroethanol: c_{A}=c_{A0}*(1-x). The concentration of sodium bicarbonate: c_{B}=c_{B0}-c_{A0}*x. Reaction time obtained through integral calculation: t=\int_{0}^{x_{f} } \frac{c_{A0}dx_{A} }{r_{A}}=\int_{0}^{x_{f} } \frac{c_{A0}dx_{A} }{k*c_{A}*c_{B}}=\int_{0}^{x_{f} } \frac{dx_{A} }{k*(1-x_{A})*(c_{B0}-c_{A0}*x_{A})}=0.33 h. Theoretical volume is v=0.33*7814.4=2582.18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</si>
  <si>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751/62=12.11kmol/h. Hourly required chloroethanol: 12.11*80.5/(0.96*0.21)=4643.24kg/h. Hourly required sodium bicarbonate: 12.11*84*2.9/(0.96*0.24)=12860.77kg/h. Raw material volumetric flow rate: Q_{0}=(4643.24+12860.77)/1.59=10779.52L/h. Initial concentration of chloroethanol: c_{A0}=12.11*1000/(0.96*10779.52)=1.18mol/L. Initial concentration of sodium bicarbonate: c_{B0}=12.11*1000*2.9/(0.96*10779.52)=3.4mol/L. The concentration of chloroethanol: c_{A}=c_{A0}*(1-x). The concentration of sodium bicarbonate: c_{B}=c_{B0}-c_{A0}*x. Reaction time obtained through integral calculation: t=\int_{0}^{x_{f} } \frac{c_{A0}dx_{A} }{r_{A}}=\int_{0}^{x_{f} } \frac{c_{A0}dx_{A} }{k*c_{A}*c_{B}}=\int_{0}^{x_{f} } \frac{dx_{A} }{k*(1-x_{A})*(c_{B0}-c_{A0}*x_{A})}=0.22 h. Theoretical volume is v=0.22*10779.52=2412.01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</si>
  <si>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587/62=9.48kmol/h. Hourly required chloroethanol: 9.48*80.5/(0.71*0.13)=7641.05kg/h. Hourly required sodium bicarbonate: 9.48*84*5.0/(0.71*0.27)=19701.9m^3/h. Raw material volumetric flow rate: Q_{0}=(7641.05+19701.9)/1.78=15887.37m^3/h. Initial concentration of chloroethanol: c_{A0}=9.48*1000/(0.71*15887.37)=0.82mol/L. Initial concentration of sodium bicarbonate: c_{B0}=9.48*1000*5.0/(0.71*15887.37)=4.1mol/L. The concentration of chloroethanol: c_{A}=c_{A0}*(1-x). The concentration of sodium bicarbonate: c_{B}=c_{B0}-c_{A0}*x. Reaction time obtained through integral calculation: t=\int_{0}^{x_{f} } \frac{c_{A0}dx_{A} }{r_{A}}=\int_{0}^{x_{f} } \frac{c_{A0}dx_{A} }{k*c_{A}*c_{B}}=\int_{0}^{x_{f} } \frac{dx_{A} }{k*(1-x_{A})*(c_{B0}-c_{A0}*x_{A})}=0.06 h. Theoretical volume is v=0.06*15887.37=957.37 m^3. Due to the non-ideal character of the reaction, we adjust the volumetric flow rate by means of quality control: v=0.07 h. Theoretical volume is v=0.07*15887.37=1112.12 m^3.</t>
  </si>
  <si>
    <t>&lt;think&gt;
&lt;/think&gt;
The relative molecular weight of NaHCO_{3} is 84 kg/kmol, CH_{2}ClCH_{2}OH is 80.5 kg/kmol, CH_{2}OHCH_{2}OH is 62 kg/kmol. Hourly production of ethylene glycol: 839/62=13.52kmol/h. Hourly required chloroethanol: 13.52*80.5/(0.98*0.08)=13629.44kg/h. Hourly required sodium bicarbonate: 13.52*84*3.1/(0.98*0.26)=14329.49kg/h. Raw material volumetric flow rate: Q_{0}=(13629.44+14329.49)/1.88=14605.6L/h. Initial concentration of chloroethanol: c_{A0}=13.52*1000/(0.98*14605.6)=0.95mol/L. Initial concentration of sodium bicarbonate: c_{B0}=13.52*1000*3.1/(0.98*14605.6)=2.97mol/L. The concentration of chloroethanol: c_{A}=c_{A0}*(1-x). The concentration of sodium bicarbonate: c_{B}=c_{B0}-c_{A0}*x. Reaction time obtained through integral calculation: t=\frac{c_{A0}*x_{f}}{r_{A}}=\frac{c_{A0}*x_{f}}{k*c_{A}*c_{B}}=\frac{x_{f}}{k*(1-x_{A})*(c_{B0}-c_{A0}*x_{A})}=40.28 h. Theoretical volume is v=40.28*14605.6=588645.96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</si>
  <si>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853/62=13.76kmol/h. Hourly required chloroethanol: 13.76*80.5/(0.96*0.21)=5801.23kg/h. Hourly required sodium bicarbonate: 13.76*84*4.8/(0.96*0.29)=22733.09kg/h. Raw material volumetric flow rate: Q_{0}=(5801.23+22733.09)/1.35=20729.76L/h. Initial concentration of chloroethanol: c_{A0}=13.76*1000/(0.96*20729.76)=0.70mol/L. Initial concentration of sodium bicarbonate: c_{B0}=13.76*1000*4.8/(0.96*20729.76)=3.34mol/L. The concentration of chloroethanol: c_{A}=c_{A0}*(1-x). The concentration of sodium bicarbonate: c_{B}=c_{B0}-c_{A0}*x. Reaction time obtained through integral calculation: t=\int_{0}^{x_{f} } \frac{c_{A0}dx_{A} }{r_{A}}=\int_{0}^{x_{f} } \frac{c_{A0}dx_{A} }{k*c_{A}*c_{B}}=\int_{0}^{x_{f} } \frac{dx_{A} }{k*(1-x_{A})*(c_{B0}-c_{A0}*x_{A})}=0.22 h. Theoretical volume is v=0.22*20729.76=4653.01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</si>
  <si>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353/62=5.7kmol/h. Hourly required chloroethanol: 5.7*80.5/(0.95*0.13)=3786.79kg/h. Hourly required sodium bicarbonate: 5.7*84*3.9/(0.95*0.22)=9208.67kg/h. Raw material volumetric flow rate: Q_{0}=(3786.79+9208.67)/1.79=7667.62L/h. Initial concentration of chloroethanol: c_{A0}=5.7*1000/(0.95*7667.62)=0.78mol/L. Initial concentration of sodium bicarbonate: c_{B0}=5.7*1000*3.9/(0.95*7667.62)=3.03mol/L. The concentration of chloroethanol: c_{A}=c_{A0}*(1-x). The concentration of sodium bicarbonate: c_{B}=c_{B0}-c_{A0}*x. Reaction time obtained through integral calculation: t=\int_{0}^{x_{f} } \frac{c_{A0}dx_{A} }{r_{A}}=\int_{0}^{x_{f} } \frac{c_{A0}dx_{A} }{k*c_{A}*c_{B}}=\int_{0}^{x_{f} } \frac{dx_{A} }{k*(1-x_{A})*(c_{B0}-c_{A0}*x_{A})}=0.22 h. Theoretical volume is v=0.22*7667.62=1700.05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</si>
  <si>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651/62=10.5kmol/h. Hourly required chloroethanol: 10.5*80.5/(0.94*0.21)=4193.25kg/h. Hourly required sodium bicarbonate: 10.5*84*3.1/(0.94*0.38)=7890.23kg/h. Raw material volumetric flow rate: Q_{0}=(4193.25+7890.23)/1.97=6106.75L/h. Initial concentration of chloroethanol: c_{A0}=10.5*1000/(0.94*6106.75)=1.8mol/L. Initial concentration of sodium bicarbonate: c_{B0}=10.5*1000*3.1/(0.94*6106.75)=5.57mol/L. The concentration of chloroethanol: c_{A}=c_{A0}*(1-x). The concentration of sodium bicarbonate: c_{B}=c_{B0}-c_{A0}*x. Reaction time obtained through integral calculation: t=\int_{0}^{x_{f} } \frac{c_{A0}dx_{A} }{r_{A}}=\int_{0}^{x_{f} } \frac{c_{A0}dx_{A} }{k*c_{A}*c_{B}}=\int_{0}^{x_{f} } \frac{dx_{A} }{k*(1-x_{A})*(c_{B0}-c_{A0}*x_{A})}=0.12 h. Theoretical volume is v=0.12*6106.75=745.85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</si>
  <si>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242/62=3.9kmol/h. Hourly required chloroethanol: 3.9*80.5/(0.9*0.25)=1401.57kg/h. Hourly required sodium bicarbonate: 3.9*84*1.5/(0.9*0.33)=1799.99kg/h. Raw material volumetric flow rate: Q_{0}=(1401.57+1799.99)/1.63=1896.11L/h. Initial concentration of chloroethanol: c_{A0}=3.9*1000/(0.9*1896.11)=2.2mol/L. Initial concentration of sodium bicarbonate: c_{B0}=3.9*1000*1.5/(0.9*1896.11)=3.31mol/L. The concentration of chloroethanol: c_{A}=c_{A0}*(1-x). The concentration of sodium bicarbonate: c_{B}=c_{B0}-c_{A0}*x. Reaction time obtained through integral calculation: t=\int_{0}^{x_{f} } \frac{c_{A0}dx_{A} }{r_{A}}=\int_{0}^{x_{f} } \frac{c_{A0}dx_{A} }{k*c_{A}*c_{B}}=\int_{0}^{x_{f} } \frac{dx_{A} }{k*(1-x_{A})*(c_{B0}-c_{A0}*x_{A})}=0.29 h. Theoretical volume is v=0.29*1896.11=555.57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</si>
  <si>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491/62=7.92kmol/h. Hourly required chloroethanol: 7.92*80.5/(0.89*0.16)=4661.23kg/h. Hourly required sodium bicarbonate: 7.92*84*1.4/(0.89*0.41)=2513.5kg/h. Raw material volumetric flow rate: Q_{0}=(4661.23+2513.5)/1.87=3766.67L/h. Initial concentration of chloroethanol: c_{A0}=7.92*1000/(0.89*3766.67)=2.49mol/L. Initial concentration of sodium bicarbonate: c_{B0}=7.92*1000*1.4/(0.89*3766.67)=3.04mol/L. The concentration of chloroethanol: c_{A}=c_{A0}*(1-x). The concentration of sodium bicarbonate: c_{B}=c_{B0}-c_{A0}*x. Reaction time obtained through integral calculation: t=\int_{0}^{x_{f} } \frac{c_{A0}dx_{A} }{r_{A}}=\int_{0}^{x_{f} } \frac{c_{A0}dx_{A} }{k*c_{A}*c_{B}}=\int_{0}^{x_{f} } \frac{dx_{A} }{k*(1-x_{A})*(c_{B0}-c_{A0}*x_{A})}=0.29 h. Theoretical volume is v=0.29*3766.67=1090.86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</si>
  <si>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792/62=12.77kmol/h. Hourly required chloroethanol: 12.77*80.5/(0.92*0.31)=3688.68kg/h. Hourly required sodium bicarbonate: 12.77*84*2.3/(0.92*0.45)=5930.17kg/h. Raw material volumetric flow rate: Q_{0}=(3688.68+5930.17)/1.8=5309.73L/h. Initial concentration of chloroethanol: c_{A0}=12.77*1000/(0.92*5309.73)=2.61mol/L. Initial concentration of sodium bicarbonate: c_{B0}=12.77*1000*2.3/(0.92*5309.73)=5.99mol/L. The concentration of chloroethanol: c_{A}=c_{A0}*(1-x). The concentration of sodium bicarbonate: c_{B}=c_{B0}-c_{A0}*x. Reaction time obtained through integral calculation: t=\int_{0}^{x_{f} } \frac{c_{A0}dx_{A} }{r_{A}}=\int_{0}^{x_{f} } \frac{c_{A0}dx_{A} }{k*c_{A}*c_{B}}=\int_{0}^{x_{f} } \frac{dx_{A} }{k*(1-x_{A})*(c_{B0}-c_{A0}*x_{A})}=0.13 h. Theoretical volume is v=0.13*5309.73=685.0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</si>
  <si>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411/62=6.63kmol/h. Hourly required chloroethanol: 6.63*80.5/(0.74*0.15)=4638.25kg/h. Hourly required sodium bicarbonate: 6.63*84*2.6/(0.74*0.45)=5034.8kg/h. Raw material volumetric flow rate: Q_{0}=(4638.25+5034.8)/1.32=7029.16L/h. Initial concentration of chloroethanol: c_{A0}=6.63*1000/(0.74*7029.16)=1.24mol/L. Initial concentration of sodium bicarbonate: c_{B0}=6.63*1000*2.6/(0.74*7029.16)=3.21mol/L. The concentration of chloroethanol: c_{A}=c_{A0}*(1-x). The concentration of sodium bicarbonate: c_{B}=c_{B0}-c_{A0}*x. Reaction time obtained through integral calculation: t=\int_{0}^{x_{f} } \frac{c_{A0}dx_{A} }{r_{A}}=\int_{0}^{x_{f} } \frac{c_{A0}dx_{A} }{k*c_{A}*c_{B}}=\int_{0}^{x_{f} } \frac{dx_{A} }{k*(1-x_{A})*(c_{B0}-c_{A0}*x_{A})}=0.09 h. Theoretical volume is v=0.09*7029.16=569.56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</si>
  <si>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776/62=12.52kmol/h. Hourly required chloroethanol: 12.52*80.5/(0.92*0.23)=4845.29kg/h. Hourly required sodium bicarbonate: 12.52*84*4.9/(0.92*0.33)=16593.36kg/h. Raw material volumetric flow rate: Q_{0}=(4845.29+16593.36)/1.33=17119.24L/h. Initial concentration of chloroethanol: c_{A0}=12.52*1000/(0.92*17119.24)=0.81mol/L. Initial concentration of sodium bicarbonate: c_{B0}=12.52*1000*4.9/(0.92*17119.24)=3.95mol/L. The concentration of chloroethanol: c_{A}=c_{A0}*(1-x). The concentration of sodium bicarbonate: c_{B}=c_{B0}-c_{A0}*x. Reaction time obtained through integral calculation: t=\int_{0}^{x_{f} } \frac{c_{A0}dx_{A} }{r_{A}}=\int_{0}^{x_{f} } \frac{c_{A0}dx_{A} }{k*c_{A}*c_{B}}=\int_{0}^{x_{f} } \frac{dx_{A} }{k*(1-x_{A})*(c_{B0}-c_{A0}*x_{A})}=0.15 h. Theoretical volume is v=0.15*17119.24=2672.61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</si>
  <si>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384/62=6.19kmol/h. Hourly required chloroethanol: 6.19*80.5/(0.84*0.44)=1358.77kg/h. Hourly required sodium bicarbonate: 6.19*84*4.6/(0.84*0.47)=4968.67kg/h. Raw material volumetric flow rate: Q_{0}=(1358.77+4968.67)/1.37=4136.74L/h. Initial concentration of chloroethanol: c_{A0}=6.19*1000/(0.84*4136.74)=1.85mol/L. Initial concentration of sodium bicarbonate: c_{B0}=6.19*1000*4.6/(0.84*4136.74)=8.45mol/L. The concentration of chloroethanol: c_{A}=c_{A0}*(1-x). The concentration of sodium bicarbonate: c_{B}=c_{B0}-c_{A0}*x. Reaction time obtained through integral calculation: t=\frac{c_{A0}*x_{f}}{r_{A}}=\frac{c_{A0}*x_{f}}{k*c_{A}*c_{B}}=\frac{x_{f}}{k*(1-x_{A})*(c_{B0}-c_{A0}*x_{A})}=0.1 h. Theoretical volume is v=0.1*4136.74=413.6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</si>
  <si>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332/62=5.35kmol/h. Hourly required chloroethanol: 5.35*80.5/(0.73*0.09)=6561.1kg/h. Hourly required sodium bicarbonate: 5.35*84*2.7/(0.73*0.24)=6931.95kg/h. Raw material volumetric flow rate: Q_{0}=(6561.1+6931.95)/1.96=6884.21L/h. Initial concentration of chloroethanol: c_{A0}=5.35*1000/(0.73*6884.21)=1.07mol/L. Initial concentration of sodium bicarbonate: c_{B0}=5.35*1000*2.7/(0.73*6884.21)=2.88mol/L. The concentration of chloroethanol: c_{A}=c_{A0}*(1-x). The concentration of sodium bicarbonate: c_{B}=c_{B0}-c_{A0}*x. Reaction time obtained through integral calculation: t=\frac{c_{A0}*x_{f}}{r_{A}}=\frac{c_{A0}*x_{f}}{k*c_{A}*c_{B}}=\frac{x_{f}}{k*(1-x_{A})*(c_{B0}-c_{A0}*x_{A})}=0.25 h. Theoretical volume is v=0.25*6884.21=1701.92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</si>
  <si>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332/62=5.35kmol/h. Hourly required chloroethanol: 5.35*80.5/(0.73*0.09)=6815.65kg/h. Hourly required sodium bicarbonate: 5.35*84*2.7/(0.73*0.24)=4033.45kg/h. Raw material volumetric flow rate: Q_{0}=(6815.65+4033.45)/1.96=5506.43L/h. Initial concentration of chloroethanol: c_{A0}=5.35*1000/(0.73*5506.43)=1.3mol/L. Initial concentration of sodium bicarbonate: c_{B0}=5.35*1000*2.7/(0.73*5506.43)=3.52mol/L. The concentration of chloroethanol: c_{A}=c_{A0}*(1-x). The concentration of sodium bicarbonate: c_{B}=c_{B0}-c_{A0}*x. Reaction time obtained through integral calculation: t=\frac{c_{A0}*x_{f}}{r_{A}}=\frac{c_{A0}*x_{f}}{k*c_{A}*c_{B}}=\frac{x_{f}}{k*(1-x_{A})*(c_{B0}-c_{A0}*x_{A})}=0.17 h. Theoretical volume is v=0.17*5506.43=923.86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</si>
  <si>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848/62=13.65kmol/h. Hourly required chloroethanol: 13.65*80.5/(0.87*0.22)=5847.11kg/h. Hourly required sodium bicarbonate: 13.65*84*4.4/(0.87*0.4)=13660.79kg/h. Raw material volumetric flow rate: Q_{0}=(5847.11+13660.79)/1.45=13655.56L/h. Initial concentration of chloroethanol: c_{A0}=13.65*1000/(0.87*13655.56)=1.2mol/L. Initial concentration of sodium bicarbonate: c_{B0}=13.65*1000*4.4/(0.87*13655.56)=5.28mol/L. The concentration of chloroethanol: c_{A}=c_{A0}*(1-x). The concentration of sodium bicarbonate: c_{B}=c_{B0}-c_{A0}*x. Reaction time obtained through integral calculation: t=\int_{0}^{x_{f} } \frac{c_{A0}dx_{A} }{r_{A}}=\int_{0}^{x_{f} } \frac{c_{A0}dx_{A} }{k*c_{A}*c_{B}}=\int_{0}^{x_{f} } \frac{dx_{A} }{k*(1-x_{A})*(c_{B0}-c_{A0}*x_{A})}=0.08 h. Theoretical volume is v=0.08*13655.56=1119.96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</si>
  <si>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597/62=9.63kmol/h. Hourly required chloroethanol: 9.63*80.5/(0.84*0.09)=10533.06kg/h. Hourly required sodium bicarbonate: 9.63*84*3.0/(0.84*0.16)=17197.66kg/h. Raw material volumetric flow rate: Q_{0}=(10533.06+17197.66)/1.35=19216.06L/h. Initial concentration of chloroethanol: c_{A0}=9.63*1000/(0.84*19216.06)=0.57mol/L. Initial concentration of sodium bicarbonate: c_{B0}=9.63*1000*3.0/(0.84*19216.06)=1.71mol/L. The concentration of chloroethanol: c_{A}=c_{A0}*(1-x). The concentration of sodium bicarbonate: c_{B}=c_{B0}-c_{A0}*x. Reaction time obtained through integral calculation: t=\int_{0}^{x_{f} } \frac{c_{A0}dx_{A} }{r_{A}}=\int_{0}^{x_{f} } \frac{c_{A0}dx_{A} }{k*c_{A}*c_{B}}=\int_{0}^{x_{f} } \frac{dx_{A} }{k*(1-x_{A})*(c_{B0}-c_{A0}*x_{A})}=0.26 h. Theoretical volume is v=0.26*19216.06=5036.63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</si>
  <si>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300/62=4.84kmol/h. Hourly required chloroethanol: 4.84*80.5/(0.8*0.25)=1947.58kg/h. Hourly required sodium bicarbonate: 4.84*84*2.1/(0.8*0.47)=2270.08kg/h. Raw material volumetric flow rate: Q_{0}=(1947.58+2270.08)/1.63=2587.52L/h. Initial concentration of chloroethanol: c_{A0}=4.84*1000/(0.8*2587.52)=2.34mol/L. Initial concentration of sodium bicarbonate: c_{B0}=4.84*1000*2.1/(0.8*2587.52)=4.91mol/L. The concentration of chloroethanol: c_{A}=c_{A0}*(1-x). The concentration of sodium bicarbonate: c_{B}=c_{B0}-c_{A0}*x. Reaction time obtained through integral calculation: t=\int_{0}^{x_{f} } \frac{c_{A0}dx_{A} }{r_{A}}=\int_{0}^{x_{f} } \frac{c_{A0}dx_{A} }{k*c_{A}*c_{B}}=\int_{0}^{x_{f} } \frac{dx_{A} }{k*(1-x_{A})*(c_{B0}-c_{A0}*x_{A})}=0.08 h. Theoretical volume is v=0.08*2587.52=218.23 l.After comprehensively considering various factors in the reaction process, the operating temperatures remain moderate with no presence of highly corrosive substances. Given the cost considerations, we recommend using carbon steel as the reactor material.</t>
  </si>
  <si>
    <t>&lt;think&gt;
&lt;/think&gt;
The relative molecular weight of NaHCO_{3} is 84 kg/kmol, CH_{2}ClCH_{2}OH is 80.5 kg/kmol, CH_{2}OHCH_{2}OH is 62 kg/kmol. Hourly production of ethylene glycol: 300/62=4.84kmol/h. Hourly required chloroethanol: 4.84*80.5/(0.8*0.25)=1919.25kg/h. Hourly required sodium bicarbonate: 4.84*84*2.1/(0.8*0.47)=2933.6kg/h. Raw material volumetric flow rate: Q_{0}=(1919.25+2933.6)/1.63=3092.19L/h. Initial concentration of chloroethanol: c_{A0}=4.84*1000/(0.8*3092.19)=1.93mol/L. Initial concentration of sodium bicarbonate: c_{B0}=4.84*1000*2.1/(0.8*3092.19)=3.04mol/L. The concentration of chloroethanol: c_{A}=c_{A0}*(1-x). The concentration of sodium bicarbonate: c_{B}=c_{B0}-c_{A0}*x. Reaction time obtained through integral calculation: t=\int_{0}^{x_{f} } \frac{c_{A0}dx_{A} }{r_{A}}=\int_{0}^{x_{f} } \frac{c_{A0}dx_{A} }{k*c_{A}*c_{B}}=\int_{0}^{x_{f} } \frac{dx_{A} }{k*(1-x_{A})*(c_{B0}-c_{A0}*x_{A})}=0.17 h. Theoretical volume is v=0.17*3092.19=522.88 l.After comprehensively considering various factors in the reaction process, the operating temperatures remain moderate with no presence of highly corrosive substances. Given the cost considerations, we recommend using carbon steel as the reactor material.</t>
  </si>
  <si>
    <t>4.2.2节 测试结果</t>
    <phoneticPr fontId="1" type="noConversion"/>
  </si>
  <si>
    <t>虚拟反应</t>
    <phoneticPr fontId="1" type="noConversion"/>
  </si>
  <si>
    <t>真实反应</t>
    <phoneticPr fontId="1" type="noConversion"/>
  </si>
  <si>
    <t>llama3数据统计</t>
    <phoneticPr fontId="1" type="noConversion"/>
  </si>
  <si>
    <t>The molar mass of acetic acid is 60 kg/kmol, ethanol is 46 kg/kmol, and ethyl acetate is 88 kg/kmol. The molar flow rate of ethyl acetate required per hour is n_product = 695/88 = 7.9 kmol/h. According to the chemical reaction equation, the mass flow rate of acetic acid required per hour is m_A = 7.9*60 = 473.86 kg/h. The mass flow rate of ethanol required per hour is m_B = 7.9*46 = 363.3 kg/h. The total volumetric feed flow rate is q_raw = (473.86+363.3)*1000/1.05 = 794.8 L/h. The initial concentration of acetic acid is c_{A0} = 473.86*1000/(60*794.8) = 9.81 mol/L. The initial concentration of ethanol is c_{B0} = 363.3*1000/(46*794.8) = 9.81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x)}=0.,where k=3.56 \times 10^{-5}*1000=0.0356 mol/(dm^3.min). The required reaction time is t=0 h. Theoretical volume is v=0. h*0.794=0.794 l.After comprehensively evaluating various factors in the reaction process, the emergence of highly corrosive substances (sulfuric acid) necessitates material considerations. Given cost-effectiveness requirements, we recommend using stainless steel as the reactor material.</t>
    <phoneticPr fontId="1" type="noConversion"/>
  </si>
  <si>
    <t xml:space="preserve">The molar mass of acetic acid is 60 kg/kmol, ethanol is 46 kg/kmol, and ethyl acetate is 88 kg/kmol. The molar flow rate of ethyl acetate required per hour is n_product = 695/88 = 7.9 kmol/h. According to the chemical reaction equation, the mass flow rate of acetic acid required per hour is m_A = 7.9*60 = 473.86 kg/h. The mass flow rate of ethanol required per hour is m_B = 7.9*46 = 363.3 kg/h. The total volumetric feed flow rate is q_raw = (473.86+363.3)*1000/1.05 = 797.29 L/h. The initial concentration of acetic acid is c_{A0} = 473.86*1000/(60*797.29) = 9.91 mol/L. The initial concentration of ethanol is c_{B0} = 363.3*1000/(46*797.29) = 9.91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x)}=7.0 h. Theoretical volume is v=7.0*797.29=5583.55 l.After comprehensively evaluating various factors in the reaction process, the emergence of highly corrosive substances (sulfuric acid) necessitates material considerations. Given cost-effectiveness requirements, we recommend using stainless steel as the reactor material.
</t>
    <phoneticPr fontId="1" type="noConversion"/>
  </si>
  <si>
    <t>0到0.3</t>
    <phoneticPr fontId="1" type="noConversion"/>
  </si>
  <si>
    <t>0.3到0.7</t>
    <phoneticPr fontId="1" type="noConversion"/>
  </si>
  <si>
    <t>0.7到1</t>
    <phoneticPr fontId="1" type="noConversion"/>
  </si>
  <si>
    <t>大于1</t>
    <phoneticPr fontId="1" type="noConversion"/>
  </si>
  <si>
    <t>&lt;think&gt;
&lt;/think&gt;
The molar mass of acetic acid is 60 kg/kmol, ethanol is 46 kg/kmol, and ethyl acetate is 88 kg/kmol. The molar flow rate of ethyl acetate required per hour is n_product = 431/88 = 4.92 kmol/h. According to the chemical reaction equation, the mass flow rate of acetic acid required per hour is m_A = 4.92*60 = 295.23 kg/h. The mass flow rate of ethanol required per hour is m_B = 4.92*46 = 226.34 kg/h. The total volumetric feed flow rate is q_raw = (295.23+226.34)*1000/0.85 = 627.8 L/h. The initial concentration of acetic acid is c_{A0} = 295.23*1000/(60*627.8) = 7.83 mol/L. The initial concentration of ethanol is c_{B0} = 226.34*1000/(46*627.8) = 7.83 mol/L. At conversion x, the concentration of A is c_{A} = c_{A0}*(1-x). The concentration of B is c_{B} = c_{B0} - c_{A0}*x. The concentration of C is c_{C} = c_{A0}*x. The concentration of D is c_{D} = c_{A0}*x. Reaction time obtained through integral calculation: t=\int_{0}^{x_{f} } \frac{c_{A0}dx_{A} }{r_{A}}=\int_{0}^{x_{f} } \frac{c_{A0}dx_{A} }{k1*(c_{A}*c_{B}- \frac{c_{C}*c_{D}}{kc}}=\int_{0}^{x_{f} } \frac{dx_{A} }{k1*(1-x_{A})*(c_{B0}-c_{A0}*x_{A})-\frac{c_{A0}*x_{A}*x_{A}}{kc}}=96.84 h. Theoretical volume is v=96.84*627.8=60895.3 iL. Given the relative error index with low flow rate is 0.82, the actual volume is 64399. l. Theoretical concentration of A is c_{A0}=60895.3*1000/(60*96.84)=1088.64 mol/L. Theoretical concentration of B is c_{B0}=1088.64*1000/46=236.45 mol/L. Theoretical concentration of C is c_{C0}=1088.64*1000*0.82/60=147.75 mol/L. Theoretical concentration of D is c_{D0}=1088.64*1000*0.82/60=147.75 mol/L. Concentration of A at conversion x is c_{A}=1088.64*(1-x). Concentration of B at conversion x is c_{B}=236.45-236.45*x. Concentration of C at conversion x is c_{C}=147.75-147.75*x. Concentration of D at conversion x is c_{D}=147.75-147.75*x.</t>
    <phoneticPr fontId="1" type="noConversion"/>
  </si>
  <si>
    <t>&lt;think&gt;
&lt;/think&gt;
The molar mass of acetic acid is 60 kg/kmol, ethanol is 46 kg/kmol, and ethyl acetate is 88 kg/kmol. The molar flow rate of ethyl acetate required per hour is n_product = 782/88 = 8.91 kmol/h. According to the chemical reaction equation, the mass flow rate of acetic acid required per hour is m_A = 8.91*60 = 534.55 kg/h. The mass flow rate of ethanol required per hour is m_B = 8.91*46 = 409.82 kg/h. The total volumetric feed flow rate is q_raw = (534.55+409.82)*1000/1.18 = 791.78 L/h. The initial concentration of acetic acid is c_{A0} = 534.55*1000/(60*791.78) = 11.23 mol/L. The initial concentration of ethanol is c_{B0} = 409.82*1000/(46*791.78) = 11.23 mol/L. At conversion x, the concentration of A is c_{A} = c_{A0}*(1-x). The concentration of B is c_{B} = c_{B0} - c_{A0}*x. The concentration of C is c_{C} = c_{A0}*x. The concentration of D is c_{D} = c_{A0}*x. Reaction time obtained through integral calculation: t=\frac{c_{A0} \cdot x_{f}}{r_{A}}=\frac{c_{A0} \cdot x_{f}}{k \cdot c_{A} \cdot c_{B}}=\frac{x_{f}}{k \cdot (1-x_{A}) \cdot (c_{B0}-c_{A0} \cdot x)}=0.08 h. Theoretical volume is v=0.08*791.78=63.18 l. Given the presence of highly corrosive substances in the reactor, we recommend using stainless steel as the reactor material.</t>
    <phoneticPr fontId="1" type="noConversion"/>
  </si>
  <si>
    <t>4.2.3</t>
    <phoneticPr fontId="1" type="noConversion"/>
  </si>
  <si>
    <t>去除大于1</t>
    <phoneticPr fontId="1" type="noConversion"/>
  </si>
  <si>
    <t>去除大于5</t>
    <phoneticPr fontId="1" type="noConversion"/>
  </si>
  <si>
    <t>0.206</t>
    <phoneticPr fontId="1" type="noConversion"/>
  </si>
  <si>
    <t>0.251</t>
    <phoneticPr fontId="1" type="noConversion"/>
  </si>
  <si>
    <t>0.306</t>
    <phoneticPr fontId="1" type="noConversion"/>
  </si>
  <si>
    <t>0.345</t>
    <phoneticPr fontId="1" type="noConversion"/>
  </si>
  <si>
    <t>The relative molecular weight of NaHCO_{3} is 84 kg/kmol, CH_{2}ClCH_{2}OH is 80.5 kg/kmol, CH_{2}OHCH_{2}OH is 62 kg/kmol. Hourly production of ethylene glycol: 300/62=4.84kmol/h. Hourly required chloroethanol: 4.84*80.5/(0.8*0.25)=1968.05kg/h. Hourly required sodium bicarbonate: 4.84*84*2.1/(0.8*0.47)=2320.82kg/h. Raw material volumetric flow rate: Q_{0}=(1968.05+2320.82)/1.63=2714.16L/h. Initial concentration of chloroethanol: c_{A0}=4.84*1000/(0.8*2714.16)=2.15mol/L. Initial concentration of sodium bicarbonate: c_{B0}=4.84*1000*2.1/(0.8*2714.16)=5.81mol/L. The concentration of chloroethanol: c_{A}=c_{A0}*(1-x). The concentration of sodium bicarbonate: c_{B}=c_{B0}-c_{A0}*x. Reaction time obtained through integral calculation: t=\int_{0}^{x_{f} } \frac{c_{A0}dx_{A} }{r_{A}}=\int_{0}^{x_{f} } \frac{c_{A0}dx_{A} }{k*c_{A}*c_{B}}=\int_{0}^{x_{f} } \frac{dx_{A} }{k*(1-x_{A})*(c_{B0}-c_{A0}*x_{A})}=0.08 h. Theoretical volume is v=0.08*2714.16=220.11 l.After comprehensively considering various factors in the reaction process, the operating temperatures remain moderate with no presence of highly corrosive substances. Given the cost considerations, we recommend using carbon steel as the reactor material.</t>
    <phoneticPr fontId="1" type="noConversion"/>
  </si>
  <si>
    <t>None</t>
    <phoneticPr fontId="1" type="noConversion"/>
  </si>
  <si>
    <t>carbon steel</t>
    <phoneticPr fontId="1" type="noConversion"/>
  </si>
  <si>
    <t>选型正确率</t>
    <phoneticPr fontId="1" type="noConversion"/>
  </si>
  <si>
    <t>NONE</t>
    <phoneticPr fontId="1" type="noConversion"/>
  </si>
  <si>
    <t>正确选型</t>
  </si>
  <si>
    <t>正确选型</t>
    <phoneticPr fontId="1" type="noConversion"/>
  </si>
  <si>
    <t>模型名</t>
  </si>
  <si>
    <t>选型正确率</t>
  </si>
  <si>
    <t>总表对比</t>
    <phoneticPr fontId="1" type="noConversion"/>
  </si>
  <si>
    <t>训练时间</t>
    <phoneticPr fontId="1" type="noConversion"/>
  </si>
  <si>
    <t>0.855</t>
  </si>
  <si>
    <t>0.766</t>
  </si>
  <si>
    <t>0.892</t>
  </si>
  <si>
    <t>1.073</t>
  </si>
  <si>
    <t>0.799</t>
  </si>
  <si>
    <t>Relative Error</t>
  </si>
  <si>
    <t>Training Loss</t>
    <phoneticPr fontId="1" type="noConversion"/>
  </si>
  <si>
    <t>Train Time</t>
    <phoneticPr fontId="1" type="noConversion"/>
  </si>
  <si>
    <t>For the CSTR reactor,-r_{A} =k\times c_{A}^1\times c_{B}^1 kmol/(L*min), c_{A} =c_{A0} \times (1-x_{A} ), c_{B} =c_{B0}- c_{A0} \times x_{A}, the residence time \tau is calculated by \frac{c_{A0} \times x_{f} }{-r_{A} }. And the reactor volume is \tau \times Q The calculated reactor volume V is 0.01 Cubic Meters.</t>
    <phoneticPr fontId="1" type="noConversion"/>
  </si>
  <si>
    <t xml:space="preserve">&lt;|im_start|&gt;system
You are a helpful assistant.&lt;|im_end|&gt;
&lt;|im_start|&gt;user
Please calculate the reactor volume with following conditions？
It is planned to carry out the reaction A+B \longrightarrow C in CSTR. The experimentally determined reaction kinetic equation is -r_{A}=k\times c_{A}^1\times c_{B}^1 kmol/(L*min), the reaction kinetic constant k=0.007.The initial concentration of raw material A c_{A0}8.27 kmol/m3, and the concentration of raw material B is c_{B0}8.34 kmol/m3., the conversion rate is 0.545. The feed volumetric flow rate Q is 0.099 kmol/m3.&lt;|im_end|&gt;
&lt;|im_start|&gt;assistant
</t>
    <phoneticPr fontId="1" type="noConversion"/>
  </si>
  <si>
    <t xml:space="preserve">&lt;|im_start|&gt;system
You are a helpful assistant.&lt;|im_end|&gt;
&lt;|im_start|&gt;user
Please calculate the reactor volume with following conditions？
It is planned to carry out the reaction A+B \longrightarrow C in PFR. The experimentally determined reaction kinetic equation is -r_{A}=k\times c_{A}^2 kmol/(L*min), the reaction kinetic constant k=0.008.The initial concentration of raw material A c_{A0} is 4.45 kmol/m3., the conversion rate is 0.715. The feed volumetric flow rate Q is 0.024 kmol/m3.&lt;|im_end|&gt;
&lt;|im_start|&gt;assistant
</t>
    <phoneticPr fontId="1" type="noConversion"/>
  </si>
  <si>
    <t xml:space="preserve">&lt;|im_start|&gt;system
You are a helpful assistant.&lt;|im_end|&gt;
&lt;|im_start|&gt;user
Please calculate the residence time with following conditions?
It is planned to carry out the reaction A+B \longrightarrow C in CSTR. The experimentally determined reaction kinetic equation is -r_{A}=k\times c_{A}^3\times c_{B}^3 kmol/(L*min), the reaction kinetic constant k=0.007.The initial concentration of raw material A c_{A0}4.32 kmol/m3, and the concentration of raw material B is c_{B0}3.35 kmol/m3., the conversion rate is 0.626. The feed volumetric flow rate Q is 0.135 kmol/m3.&lt;|im_end|&gt;
&lt;|im_start|&gt;assistant
</t>
    <phoneticPr fontId="1" type="noConversion"/>
  </si>
  <si>
    <t xml:space="preserve">&lt;|im_start|&gt;system
You are a helpful assistant.&lt;|im_end|&gt;
&lt;|im_start|&gt;user
Please calculate the reactor volume with following conditions？
It is planned to carry out the reaction A+B \longrightarrow C in CSTR. The experimentally determined reaction kinetic equation is -r_{A}=k\times c_{A}^2 kmol/(L*min), the reaction kinetic constant k=0.007.The initial concentration of raw material A c_{A0} is 6.96 kmol/m3., the conversion rate is 0.967. The feed volumetric flow rate Q is 0.444 kmol/m3.&lt;|im_end|&gt;
&lt;|im_start|&gt;assistant
</t>
    <phoneticPr fontId="1" type="noConversion"/>
  </si>
  <si>
    <t xml:space="preserve">&lt;|im_start|&gt;system
You are a helpful assistant.&lt;|im_end|&gt;
&lt;|im_start|&gt;user
Please calculate the residence time with following conditions?
It is planned to carry out the reaction A+B \longrightarrow C in BR. The experimentally determined reaction kinetic equation is -r_{A}=k\times c_{A}^1 kmol/(L*min), the reaction kinetic constant k=0.009.The initial concentration of raw material A c_{A0} is 2.77 kmol/m3., the conversion rate is 0.535. The feed volumetric flow rate Q is 0.569 kmol/m3, the auxiliary production time t_{assist} is 3 h, and the loading factor f is 0.68.&lt;|im_end|&gt;
&lt;|im_start|&gt;assistant
</t>
    <phoneticPr fontId="1" type="noConversion"/>
  </si>
  <si>
    <t xml:space="preserve">For the BR reactor,-r_{A} =k\times c_{A}^1 kmol/(L*min), c_{A} =c_{A0} \times (1-x_{A} ) ,the residence time \tau is obtained by c_{A0}\times\int_{0}^{x_{f}}\frac{dx_{A}}{-r_{A}}. The residence time \tau of the BR reactor is 1.42 h.
</t>
    <phoneticPr fontId="1" type="noConversion"/>
  </si>
  <si>
    <t>For the CSTR reactor,-r_{A} =k\times c_{A}^2 kmol/(L*min), c_{A} =c_{A0} \times (1-x_{A} ) the residence time \tau is calculated by \frac{c_{A0} \times x_{f} }{-r_{A} }. And the reactor volume is \tau \times Q The calculated reactor volume V is 24.84 Cubic Meters.</t>
    <phoneticPr fontId="1" type="noConversion"/>
  </si>
  <si>
    <t>For the PFR reactor,-r_{A} =k\times c_{A}^2 kmol/(L*min), c_{A} =c_{A0} \times (1-x_{A} ) ,the residence time \tau is obtained by c_{A0}\times\int_{0}^{x_{f}}\frac{dx_{A}}{-r_{A}}. And the reactor volume is \tau \times Q The calculated reactor volume V is 0.04 Cubic Meters.</t>
    <phoneticPr fontId="1" type="noConversion"/>
  </si>
  <si>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BR. Chloroethanol reacts with sodium bicarbonate to produce ethylene glycol, the reaction equation is as follows $\ce{CH_{2}ClCH_{2}OH + NaHCO_{3} \longrightarrow CH_{2}OHCH_{2}OH + NaCl + CO_{2}}$The production rate is 300kg/h. 0.25 (weight) aqueous NaHCO_{3} solution and 0.47 (weight) CH_{2}ClCH_{2}OH aqueous solution are used as raw materials. The molar ratio of sodium bicarbonate to chloroethanol in the reactor charge is 2.1, and the specific gravity of the mixture is 1.63. The reaction rate of this reaction as follows $r_{A} = k \cdot c_{A} \cdot c_{B}$The rate constant of 5.21/mol*h at reaction temperature. The conversion rate is 0.8. Please calculate the residence time and volume of the reactor.&lt;|im_end|&gt;
&lt;|im_start|&gt;assistant
</t>
    <phoneticPr fontId="1" type="noConversion"/>
  </si>
  <si>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PFR. Chloroethanol reacts with sodium bicarbonate to produce ethylene glycol, the reaction equation is as follows $\ce{CH_{2}ClCH_{2}OH + NaHCO_{3} \longrightarrow CH_{2}OHCH_{2}OH + NaCl + CO_{2}}$The production rate is 597kg/h. 0.09 (weight) aqueous NaHCO_{3} solution and 0.16 (weight) CH_{2}ClCH_{2}OH aqueous solution are used as raw materials. The molar ratio of sodium bicarbonate to chloroethanol in the reactor charge is 3.0, and the specific gravity of the mixture is 1.35. The reaction rate of this reaction as follows $r_{A} = k \cdot c_{A} \cdot c_{B}$The rate constant of 5.21/mol*h at reaction temperature. The conversion rate is 0.84. Please calculate the residence time and volume of the reactor.&lt;|im_end|&gt;
&lt;|im_start|&gt;assistant
</t>
    <phoneticPr fontId="1" type="noConversion"/>
  </si>
  <si>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332kg/h. 0.09 (weight) aqueous NaHCO_{3} solution and 0.24 (weight) CH_{2}ClCH_{2}OH aqueous solution are used as raw materials. The molar ratio of sodium bicarbonate to chloroethanol in the reactor charge is 2.7, and the specific gravity of the mixture is 1.96. The reaction rate of this reaction as follows $r_{A} = k \cdot c_{A} \cdot c_{B}$The rate constant of 5.21/mol*h at reaction temperature. The conversion rate is 0.73. Please calculate the residence time and volume of the reactor.&lt;|im_end|&gt;
&lt;|im_start|&gt;assistant
</t>
    <phoneticPr fontId="1" type="noConversion"/>
  </si>
  <si>
    <t>The relative molecular weight of NaHCO_{3} is 84 kg/kmol, CH_{2}ClCH_{2}OH is 80.5 kg/kmol, CH_{2}OHCH_{2}OH is 62 kg/kmol. Hourly production of ethylene glycol: 597/62=9.61kmol/h. Hourly required chloroethanol: 9.61*80.5/(0.84*0.09)=10089.45kg/h. Hourly required sodium bicarbonate: 9.61*84*3.0/(0.84*0.16)=17135.74kg/h. Raw material volumetric flow rate: Q_{0}=(10089.45+17135.74)/1.35=19566.76L/h. Initial concentration of chloroethanol: c_{A0}=9.61*1000/(0.84*19566.76)=0.57mol/L. Initial concentration of sodium bicarbonate: c_{B0}=9.61*1000*3.0/(0.84*19566.76)=1.75mol/L. The concentration of chloroethanol: c_{A}=c_{A0}*(1-x). The concentration of sodium bicarbonate: c_{B}=c_{B0}-c_{A0}*x. Reaction time obtained through integral calculation: t=\int_{0}^{x_{f} } \frac{c_{A0}dx_{A} }{r_{A}}=\int_{0}^{x_{f} } \frac{c_{A0}dx_{A} }{k*c_{A}*c_{B}}=\int_{0}^{x_{f} } \frac{dx_{A} }{k*(1-x_{A})*(c_{B0}-c_{A0}*x_{A})}=0.25 h. Theoretical volume is v=0.25*19566.76=4923.38 l.After comprehensively considering various factors in the reaction process, the operating temperatures remain moderate with no presence of highly corrosive substances. Given the cost considerations, we recommend using carbon steel as the reactor material.</t>
    <phoneticPr fontId="1" type="noConversion"/>
  </si>
  <si>
    <t>The relative molecular weight of NaHCO_{3} is 84 kg/kmol, CH_{2}ClCH_{2}OH is 80.5 kg/kmol, CH_{2}OHCH_{2}OH is 62 kg/kmol. Hourly production of ethylene glycol: 332/62=5.36kmol/h. Hourly required chloroethanol: 5.36*80.5/(0.73*0.09)=6341.55kg/h. Hourly required sodium bicarbonate: 5.36*84*2.7/(0.73*0.24)=6025.82kg/h. Raw material volumetric flow rate: Q_{0}=(6341.55+6025.82)/1.96=6181.05L/h. Initial concentration of chloroethanol: c_{A0}=5.36*1000/(0.73*6181.05)=1.19mol/L. Initial concentration of sodium bicarbonate: c_{B0}=5.36*1000*2.7/(0.73*6181.05)=2.95mol/L. The concentration of chloroethanol: c_{A}=c_{A0}*(1-x). The concentration of sodium bicarbonate: c_{B}=c_{B0}-c_{A0}*x. Reaction time obtained through integral calculation: t=\frac{c_{A0}*x_{f}}{r_{A}}=\frac{c_{A0}*x_{f}}{k*c_{A}*c_{B}}=\frac{x_{f}}{k*(1-x_{A})*(c_{B0}-c_{A0}*x_{A})}=0.26 h. Theoretical volume is v=0.26*6181.05=1606.57 l.After comprehensively considering various factors in the reaction process, the operating temperatures remain moderate with no presence of highly corrosive substances. Given the cost considerations, we recommend using carbon steel as the reactor material.</t>
    <phoneticPr fontId="1" type="noConversion"/>
  </si>
  <si>
    <t>训练时间1</t>
    <phoneticPr fontId="1" type="noConversion"/>
  </si>
  <si>
    <t>训练时间2</t>
    <phoneticPr fontId="1" type="noConversion"/>
  </si>
  <si>
    <t>训练时间3</t>
    <phoneticPr fontId="1" type="noConversion"/>
  </si>
  <si>
    <t>Original</t>
    <phoneticPr fontId="1" type="noConversion"/>
  </si>
  <si>
    <t>Fine-Tunning</t>
    <phoneticPr fontId="1" type="noConversion"/>
  </si>
  <si>
    <t>token</t>
    <phoneticPr fontId="1" type="noConversion"/>
  </si>
  <si>
    <t>test time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</si>
</sst>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
  </numFmts>
  <fonts count="6" x14ac:knownFonts="1">
    <font>
      <sz val="11"/>
      <color theme="1"/>
      <name val="等线"/>
      <family val="2"/>
      <scheme val="minor"/>
    </font>
    <font>
      <sz val="9"/>
      <name val="等线"/>
      <family val="3"/>
      <charset val="134"/>
      <scheme val="minor"/>
    </font>
    <font>
      <b/>
      <sz val="11"/>
      <name val="宋体"/>
      <family val="3"/>
      <charset val="134"/>
    </font>
    <font>
      <sz val="10.5"/>
      <color theme="1"/>
      <name val="Times New Roman"/>
      <family val="1"/>
    </font>
    <font>
      <sz val="10"/>
      <color rgb="FF0F1115"/>
      <name val="Consolas"/>
      <family val="3"/>
    </font>
    <font>
      <sz val="11"/>
      <name val="等线"/>
      <family val="2"/>
      <scheme val="minor"/>
    </font>
  </fonts>
  <fills count="3">
    <fill>
      <patternFill patternType="none"/>
    </fill>
    <fill>
      <patternFill patternType="gray125"/>
    </fill>
    <fill>
      <patternFill patternType="solid">
        <fgColor rgb="FFFFFF00"/>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diagonal/>
    </border>
  </borders>
  <cellStyleXfs count="1">
    <xf numFmtId="0" fontId="0" fillId="0" borderId="0"/>
  </cellStyleXfs>
  <cellXfs count="38">
    <xf numFmtId="0" fontId="0" fillId="0" borderId="0" xfId="0"/>
    <xf numFmtId="0" fontId="2" fillId="0" borderId="1" xfId="0" applyFont="1" applyBorder="1" applyAlignment="1">
      <alignment horizontal="center" vertical="top"/>
    </xf>
    <xf numFmtId="0" fontId="0" fillId="0" borderId="0" xfId="0" applyAlignment="1"/>
    <xf numFmtId="0" fontId="0" fillId="0" borderId="1" xfId="0" applyBorder="1" applyAlignment="1">
      <alignment horizontal="center" vertical="center"/>
    </xf>
    <xf numFmtId="0" fontId="0" fillId="0" borderId="1" xfId="0" applyBorder="1"/>
    <xf numFmtId="49" fontId="0" fillId="0" borderId="1" xfId="0" applyNumberFormat="1" applyBorder="1" applyAlignment="1">
      <alignment horizontal="center" vertical="center"/>
    </xf>
    <xf numFmtId="0" fontId="0" fillId="0" borderId="0" xfId="0" applyAlignment="1">
      <alignment wrapText="1"/>
    </xf>
    <xf numFmtId="0" fontId="0" fillId="0" borderId="0" xfId="0" applyBorder="1"/>
    <xf numFmtId="0" fontId="0" fillId="0" borderId="1" xfId="0" applyNumberFormat="1" applyBorder="1" applyAlignment="1">
      <alignment horizontal="center" vertical="center"/>
    </xf>
    <xf numFmtId="176" fontId="0" fillId="0" borderId="1" xfId="0" applyNumberFormat="1" applyBorder="1" applyAlignment="1">
      <alignment horizontal="center" vertical="center"/>
    </xf>
    <xf numFmtId="0" fontId="0" fillId="0" borderId="1" xfId="0"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0" xfId="0" applyBorder="1" applyAlignment="1">
      <alignment horizontal="center" vertical="center"/>
    </xf>
    <xf numFmtId="0" fontId="0" fillId="0" borderId="1" xfId="0" applyBorder="1" applyAlignment="1">
      <alignment horizontal="center" vertical="center"/>
    </xf>
    <xf numFmtId="0" fontId="0" fillId="0" borderId="5" xfId="0" applyFill="1" applyBorder="1" applyAlignment="1">
      <alignment horizontal="center" vertical="center"/>
    </xf>
    <xf numFmtId="0" fontId="3" fillId="0" borderId="0" xfId="0" applyFont="1" applyBorder="1" applyAlignment="1">
      <alignment horizontal="center" vertical="center"/>
    </xf>
    <xf numFmtId="0" fontId="4" fillId="0" borderId="0" xfId="0" applyFont="1" applyAlignment="1">
      <alignment horizontal="left" vertical="center" indent="1"/>
    </xf>
    <xf numFmtId="10" fontId="0" fillId="0" borderId="1" xfId="0" applyNumberFormat="1" applyBorder="1" applyAlignment="1">
      <alignment horizontal="center" vertical="center"/>
    </xf>
    <xf numFmtId="0" fontId="0" fillId="0" borderId="1" xfId="0" applyBorder="1" applyAlignment="1">
      <alignment horizontal="center" vertical="center"/>
    </xf>
    <xf numFmtId="10" fontId="0" fillId="0" borderId="1" xfId="0" applyNumberFormat="1" applyBorder="1"/>
    <xf numFmtId="0" fontId="0" fillId="0" borderId="6" xfId="0" applyFill="1" applyBorder="1"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7" xfId="0"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2" borderId="0" xfId="0" applyFill="1" applyAlignment="1"/>
    <xf numFmtId="0" fontId="4" fillId="0" borderId="0" xfId="0" applyFont="1" applyAlignment="1">
      <alignment horizontal="left" vertical="center"/>
    </xf>
    <xf numFmtId="0" fontId="5" fillId="0" borderId="0" xfId="0" applyFont="1" applyFill="1" applyAlignment="1"/>
    <xf numFmtId="0" fontId="0" fillId="0" borderId="1" xfId="0" applyBorder="1" applyAlignment="1">
      <alignment horizontal="center" vertic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2" xfId="0" applyBorder="1" applyAlignment="1">
      <alignment horizontal="center" vertical="center"/>
    </xf>
    <xf numFmtId="0" fontId="0" fillId="0" borderId="4" xfId="0"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CN" altLang="en-US"/>
              <a:t>相对误差分布</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0"/>
          <c:order val="0"/>
          <c:tx>
            <c:strRef>
              <c:f>数据处理!$C$4</c:f>
              <c:strCache>
                <c:ptCount val="1"/>
                <c:pt idx="0">
                  <c:v>0到0.7</c:v>
                </c:pt>
              </c:strCache>
            </c:strRef>
          </c:tx>
          <c:spPr>
            <a:solidFill>
              <a:schemeClr val="accent1"/>
            </a:solidFill>
            <a:ln>
              <a:noFill/>
            </a:ln>
            <a:effectLst/>
          </c:spPr>
          <c:invertIfNegative val="0"/>
          <c:cat>
            <c:strRef>
              <c:f>数据处理!$B$5:$B$9</c:f>
              <c:strCache>
                <c:ptCount val="5"/>
                <c:pt idx="0">
                  <c:v>Qwen2.5-Omni</c:v>
                </c:pt>
                <c:pt idx="1">
                  <c:v>Qwen2.5-Math</c:v>
                </c:pt>
                <c:pt idx="2">
                  <c:v>Llama-3.2</c:v>
                </c:pt>
                <c:pt idx="3">
                  <c:v>Gemma-3</c:v>
                </c:pt>
                <c:pt idx="4">
                  <c:v>DeepSeek-R1-Distill</c:v>
                </c:pt>
              </c:strCache>
            </c:strRef>
          </c:cat>
          <c:val>
            <c:numRef>
              <c:f>数据处理!$C$5:$C$9</c:f>
              <c:numCache>
                <c:formatCode>General</c:formatCode>
                <c:ptCount val="5"/>
                <c:pt idx="0">
                  <c:v>35</c:v>
                </c:pt>
                <c:pt idx="1">
                  <c:v>40</c:v>
                </c:pt>
                <c:pt idx="2">
                  <c:v>43</c:v>
                </c:pt>
                <c:pt idx="3">
                  <c:v>38</c:v>
                </c:pt>
                <c:pt idx="4">
                  <c:v>33</c:v>
                </c:pt>
              </c:numCache>
            </c:numRef>
          </c:val>
          <c:extLst>
            <c:ext xmlns:c16="http://schemas.microsoft.com/office/drawing/2014/chart" uri="{C3380CC4-5D6E-409C-BE32-E72D297353CC}">
              <c16:uniqueId val="{00000000-0C9E-4376-B7BC-9160F61A830C}"/>
            </c:ext>
          </c:extLst>
        </c:ser>
        <c:ser>
          <c:idx val="1"/>
          <c:order val="1"/>
          <c:tx>
            <c:strRef>
              <c:f>数据处理!$D$4</c:f>
              <c:strCache>
                <c:ptCount val="1"/>
                <c:pt idx="0">
                  <c:v>0.7到1.5</c:v>
                </c:pt>
              </c:strCache>
            </c:strRef>
          </c:tx>
          <c:spPr>
            <a:solidFill>
              <a:schemeClr val="accent2"/>
            </a:solidFill>
            <a:ln>
              <a:noFill/>
            </a:ln>
            <a:effectLst/>
          </c:spPr>
          <c:invertIfNegative val="0"/>
          <c:cat>
            <c:strRef>
              <c:f>数据处理!$B$5:$B$9</c:f>
              <c:strCache>
                <c:ptCount val="5"/>
                <c:pt idx="0">
                  <c:v>Qwen2.5-Omni</c:v>
                </c:pt>
                <c:pt idx="1">
                  <c:v>Qwen2.5-Math</c:v>
                </c:pt>
                <c:pt idx="2">
                  <c:v>Llama-3.2</c:v>
                </c:pt>
                <c:pt idx="3">
                  <c:v>Gemma-3</c:v>
                </c:pt>
                <c:pt idx="4">
                  <c:v>DeepSeek-R1-Distill</c:v>
                </c:pt>
              </c:strCache>
            </c:strRef>
          </c:cat>
          <c:val>
            <c:numRef>
              <c:f>数据处理!$D$5:$D$9</c:f>
              <c:numCache>
                <c:formatCode>General</c:formatCode>
                <c:ptCount val="5"/>
                <c:pt idx="0">
                  <c:v>32</c:v>
                </c:pt>
                <c:pt idx="1">
                  <c:v>32</c:v>
                </c:pt>
                <c:pt idx="2">
                  <c:v>27</c:v>
                </c:pt>
                <c:pt idx="3">
                  <c:v>30</c:v>
                </c:pt>
                <c:pt idx="4">
                  <c:v>46</c:v>
                </c:pt>
              </c:numCache>
            </c:numRef>
          </c:val>
          <c:extLst>
            <c:ext xmlns:c16="http://schemas.microsoft.com/office/drawing/2014/chart" uri="{C3380CC4-5D6E-409C-BE32-E72D297353CC}">
              <c16:uniqueId val="{00000001-0C9E-4376-B7BC-9160F61A830C}"/>
            </c:ext>
          </c:extLst>
        </c:ser>
        <c:ser>
          <c:idx val="2"/>
          <c:order val="2"/>
          <c:tx>
            <c:strRef>
              <c:f>数据处理!$E$4</c:f>
              <c:strCache>
                <c:ptCount val="1"/>
                <c:pt idx="0">
                  <c:v>1.5到5</c:v>
                </c:pt>
              </c:strCache>
            </c:strRef>
          </c:tx>
          <c:spPr>
            <a:solidFill>
              <a:schemeClr val="accent3"/>
            </a:solidFill>
            <a:ln>
              <a:noFill/>
            </a:ln>
            <a:effectLst/>
          </c:spPr>
          <c:invertIfNegative val="0"/>
          <c:cat>
            <c:strRef>
              <c:f>数据处理!$B$5:$B$9</c:f>
              <c:strCache>
                <c:ptCount val="5"/>
                <c:pt idx="0">
                  <c:v>Qwen2.5-Omni</c:v>
                </c:pt>
                <c:pt idx="1">
                  <c:v>Qwen2.5-Math</c:v>
                </c:pt>
                <c:pt idx="2">
                  <c:v>Llama-3.2</c:v>
                </c:pt>
                <c:pt idx="3">
                  <c:v>Gemma-3</c:v>
                </c:pt>
                <c:pt idx="4">
                  <c:v>DeepSeek-R1-Distill</c:v>
                </c:pt>
              </c:strCache>
            </c:strRef>
          </c:cat>
          <c:val>
            <c:numRef>
              <c:f>数据处理!$E$5:$E$9</c:f>
              <c:numCache>
                <c:formatCode>General</c:formatCode>
                <c:ptCount val="5"/>
                <c:pt idx="0">
                  <c:v>11</c:v>
                </c:pt>
                <c:pt idx="1">
                  <c:v>8</c:v>
                </c:pt>
                <c:pt idx="2">
                  <c:v>14</c:v>
                </c:pt>
                <c:pt idx="3">
                  <c:v>17</c:v>
                </c:pt>
                <c:pt idx="4">
                  <c:v>5</c:v>
                </c:pt>
              </c:numCache>
            </c:numRef>
          </c:val>
          <c:extLst>
            <c:ext xmlns:c16="http://schemas.microsoft.com/office/drawing/2014/chart" uri="{C3380CC4-5D6E-409C-BE32-E72D297353CC}">
              <c16:uniqueId val="{00000002-0C9E-4376-B7BC-9160F61A830C}"/>
            </c:ext>
          </c:extLst>
        </c:ser>
        <c:ser>
          <c:idx val="3"/>
          <c:order val="3"/>
          <c:tx>
            <c:strRef>
              <c:f>数据处理!$F$4</c:f>
              <c:strCache>
                <c:ptCount val="1"/>
                <c:pt idx="0">
                  <c:v>大于5</c:v>
                </c:pt>
              </c:strCache>
            </c:strRef>
          </c:tx>
          <c:spPr>
            <a:solidFill>
              <a:schemeClr val="accent4"/>
            </a:solidFill>
            <a:ln>
              <a:noFill/>
            </a:ln>
            <a:effectLst/>
          </c:spPr>
          <c:invertIfNegative val="0"/>
          <c:cat>
            <c:strRef>
              <c:f>数据处理!$B$5:$B$9</c:f>
              <c:strCache>
                <c:ptCount val="5"/>
                <c:pt idx="0">
                  <c:v>Qwen2.5-Omni</c:v>
                </c:pt>
                <c:pt idx="1">
                  <c:v>Qwen2.5-Math</c:v>
                </c:pt>
                <c:pt idx="2">
                  <c:v>Llama-3.2</c:v>
                </c:pt>
                <c:pt idx="3">
                  <c:v>Gemma-3</c:v>
                </c:pt>
                <c:pt idx="4">
                  <c:v>DeepSeek-R1-Distill</c:v>
                </c:pt>
              </c:strCache>
            </c:strRef>
          </c:cat>
          <c:val>
            <c:numRef>
              <c:f>数据处理!$F$5:$F$9</c:f>
              <c:numCache>
                <c:formatCode>General</c:formatCode>
                <c:ptCount val="5"/>
                <c:pt idx="0">
                  <c:v>12</c:v>
                </c:pt>
                <c:pt idx="1">
                  <c:v>10</c:v>
                </c:pt>
                <c:pt idx="2">
                  <c:v>6</c:v>
                </c:pt>
                <c:pt idx="3">
                  <c:v>5</c:v>
                </c:pt>
                <c:pt idx="4">
                  <c:v>6</c:v>
                </c:pt>
              </c:numCache>
            </c:numRef>
          </c:val>
          <c:extLst>
            <c:ext xmlns:c16="http://schemas.microsoft.com/office/drawing/2014/chart" uri="{C3380CC4-5D6E-409C-BE32-E72D297353CC}">
              <c16:uniqueId val="{00000003-0C9E-4376-B7BC-9160F61A830C}"/>
            </c:ext>
          </c:extLst>
        </c:ser>
        <c:dLbls>
          <c:showLegendKey val="0"/>
          <c:showVal val="0"/>
          <c:showCatName val="0"/>
          <c:showSerName val="0"/>
          <c:showPercent val="0"/>
          <c:showBubbleSize val="0"/>
        </c:dLbls>
        <c:gapWidth val="219"/>
        <c:overlap val="-27"/>
        <c:axId val="434222991"/>
        <c:axId val="434213839"/>
      </c:barChart>
      <c:catAx>
        <c:axId val="434222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zh-CN"/>
          </a:p>
        </c:txPr>
        <c:crossAx val="434213839"/>
        <c:crosses val="autoZero"/>
        <c:auto val="1"/>
        <c:lblAlgn val="ctr"/>
        <c:lblOffset val="100"/>
        <c:noMultiLvlLbl val="0"/>
      </c:catAx>
      <c:valAx>
        <c:axId val="434213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342229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CN" altLang="en-US"/>
              <a:t>虚拟反应训练时间与损失</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0"/>
          <c:order val="0"/>
          <c:tx>
            <c:strRef>
              <c:f>数据处理!$P$4</c:f>
              <c:strCache>
                <c:ptCount val="1"/>
                <c:pt idx="0">
                  <c:v>训练时间(s)</c:v>
                </c:pt>
              </c:strCache>
            </c:strRef>
          </c:tx>
          <c:spPr>
            <a:solidFill>
              <a:schemeClr val="accent1"/>
            </a:solidFill>
            <a:ln>
              <a:noFill/>
            </a:ln>
            <a:effectLst/>
          </c:spPr>
          <c:invertIfNegative val="0"/>
          <c:cat>
            <c:strRef>
              <c:f>数据处理!$O$5:$O$9</c:f>
              <c:strCache>
                <c:ptCount val="5"/>
                <c:pt idx="0">
                  <c:v>Qwen2.5-Omni</c:v>
                </c:pt>
                <c:pt idx="1">
                  <c:v>Qwen2.5-Math</c:v>
                </c:pt>
                <c:pt idx="2">
                  <c:v>Llama-3.2</c:v>
                </c:pt>
                <c:pt idx="3">
                  <c:v>Gemma-3</c:v>
                </c:pt>
                <c:pt idx="4">
                  <c:v>DeepSeek-R1-Distill</c:v>
                </c:pt>
              </c:strCache>
            </c:strRef>
          </c:cat>
          <c:val>
            <c:numRef>
              <c:f>数据处理!$P$5:$P$9</c:f>
              <c:numCache>
                <c:formatCode>General</c:formatCode>
                <c:ptCount val="5"/>
                <c:pt idx="0">
                  <c:v>18041</c:v>
                </c:pt>
                <c:pt idx="1">
                  <c:v>11554</c:v>
                </c:pt>
                <c:pt idx="2">
                  <c:v>16212</c:v>
                </c:pt>
                <c:pt idx="3">
                  <c:v>12030</c:v>
                </c:pt>
                <c:pt idx="4">
                  <c:v>10466</c:v>
                </c:pt>
              </c:numCache>
            </c:numRef>
          </c:val>
          <c:extLst>
            <c:ext xmlns:c16="http://schemas.microsoft.com/office/drawing/2014/chart" uri="{C3380CC4-5D6E-409C-BE32-E72D297353CC}">
              <c16:uniqueId val="{00000000-D572-40A3-B3AF-CFABDC340024}"/>
            </c:ext>
          </c:extLst>
        </c:ser>
        <c:dLbls>
          <c:showLegendKey val="0"/>
          <c:showVal val="0"/>
          <c:showCatName val="0"/>
          <c:showSerName val="0"/>
          <c:showPercent val="0"/>
          <c:showBubbleSize val="0"/>
        </c:dLbls>
        <c:gapWidth val="219"/>
        <c:axId val="591340127"/>
        <c:axId val="591345119"/>
      </c:barChart>
      <c:lineChart>
        <c:grouping val="standard"/>
        <c:varyColors val="0"/>
        <c:ser>
          <c:idx val="1"/>
          <c:order val="1"/>
          <c:tx>
            <c:strRef>
              <c:f>数据处理!$Q$4</c:f>
              <c:strCache>
                <c:ptCount val="1"/>
                <c:pt idx="0">
                  <c:v>训练损失</c:v>
                </c:pt>
              </c:strCache>
            </c:strRef>
          </c:tx>
          <c:spPr>
            <a:ln w="28575" cap="rnd">
              <a:solidFill>
                <a:schemeClr val="accent2"/>
              </a:solidFill>
              <a:round/>
            </a:ln>
            <a:effectLst/>
          </c:spPr>
          <c:marker>
            <c:symbol val="none"/>
          </c:marker>
          <c:cat>
            <c:strRef>
              <c:f>数据处理!$O$5:$O$9</c:f>
              <c:strCache>
                <c:ptCount val="5"/>
                <c:pt idx="0">
                  <c:v>Qwen2.5-Omni</c:v>
                </c:pt>
                <c:pt idx="1">
                  <c:v>Qwen2.5-Math</c:v>
                </c:pt>
                <c:pt idx="2">
                  <c:v>Llama-3.2</c:v>
                </c:pt>
                <c:pt idx="3">
                  <c:v>Gemma-3</c:v>
                </c:pt>
                <c:pt idx="4">
                  <c:v>DeepSeek-R1-Distill</c:v>
                </c:pt>
              </c:strCache>
            </c:strRef>
          </c:cat>
          <c:val>
            <c:numRef>
              <c:f>数据处理!$Q$5:$Q$9</c:f>
              <c:numCache>
                <c:formatCode>0.000</c:formatCode>
                <c:ptCount val="5"/>
                <c:pt idx="0">
                  <c:v>0.08</c:v>
                </c:pt>
                <c:pt idx="1">
                  <c:v>3.8399999999999997E-2</c:v>
                </c:pt>
                <c:pt idx="2">
                  <c:v>2.5399999999999999E-2</c:v>
                </c:pt>
                <c:pt idx="3">
                  <c:v>4.1500000000000002E-2</c:v>
                </c:pt>
                <c:pt idx="4">
                  <c:v>0.135238738270366</c:v>
                </c:pt>
              </c:numCache>
            </c:numRef>
          </c:val>
          <c:smooth val="0"/>
          <c:extLst>
            <c:ext xmlns:c16="http://schemas.microsoft.com/office/drawing/2014/chart" uri="{C3380CC4-5D6E-409C-BE32-E72D297353CC}">
              <c16:uniqueId val="{00000001-D572-40A3-B3AF-CFABDC340024}"/>
            </c:ext>
          </c:extLst>
        </c:ser>
        <c:dLbls>
          <c:showLegendKey val="0"/>
          <c:showVal val="0"/>
          <c:showCatName val="0"/>
          <c:showSerName val="0"/>
          <c:showPercent val="0"/>
          <c:showBubbleSize val="0"/>
        </c:dLbls>
        <c:marker val="1"/>
        <c:smooth val="0"/>
        <c:axId val="591356351"/>
        <c:axId val="591334719"/>
      </c:lineChart>
      <c:catAx>
        <c:axId val="59134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zh-CN"/>
          </a:p>
        </c:txPr>
        <c:crossAx val="591345119"/>
        <c:crosses val="autoZero"/>
        <c:auto val="1"/>
        <c:lblAlgn val="ctr"/>
        <c:lblOffset val="100"/>
        <c:noMultiLvlLbl val="0"/>
      </c:catAx>
      <c:valAx>
        <c:axId val="591345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591340127"/>
        <c:crosses val="autoZero"/>
        <c:crossBetween val="between"/>
      </c:valAx>
      <c:valAx>
        <c:axId val="591334719"/>
        <c:scaling>
          <c:orientation val="minMax"/>
        </c:scaling>
        <c:delete val="0"/>
        <c:axPos val="r"/>
        <c:numFmt formatCode="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591356351"/>
        <c:crosses val="max"/>
        <c:crossBetween val="between"/>
      </c:valAx>
      <c:catAx>
        <c:axId val="591356351"/>
        <c:scaling>
          <c:orientation val="minMax"/>
        </c:scaling>
        <c:delete val="1"/>
        <c:axPos val="b"/>
        <c:numFmt formatCode="General" sourceLinked="1"/>
        <c:majorTickMark val="out"/>
        <c:minorTickMark val="none"/>
        <c:tickLblPos val="nextTo"/>
        <c:crossAx val="59133471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CN" altLang="en-US"/>
              <a:t>真实反应训练时间与损失</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0"/>
          <c:order val="0"/>
          <c:tx>
            <c:strRef>
              <c:f>数据处理!$P$4</c:f>
              <c:strCache>
                <c:ptCount val="1"/>
                <c:pt idx="0">
                  <c:v>训练时间(s)</c:v>
                </c:pt>
              </c:strCache>
            </c:strRef>
          </c:tx>
          <c:spPr>
            <a:solidFill>
              <a:schemeClr val="accent1"/>
            </a:solidFill>
            <a:ln>
              <a:noFill/>
            </a:ln>
            <a:effectLst/>
          </c:spPr>
          <c:invertIfNegative val="0"/>
          <c:cat>
            <c:strRef>
              <c:f>数据处理!$O$18:$O$22</c:f>
              <c:strCache>
                <c:ptCount val="5"/>
                <c:pt idx="0">
                  <c:v>Qwen2.5-Omni</c:v>
                </c:pt>
                <c:pt idx="1">
                  <c:v>Qwen2.5-Math</c:v>
                </c:pt>
                <c:pt idx="2">
                  <c:v>Llama-3.2</c:v>
                </c:pt>
                <c:pt idx="3">
                  <c:v>Gemma-3</c:v>
                </c:pt>
                <c:pt idx="4">
                  <c:v>DeepSeek-R1-Distill</c:v>
                </c:pt>
              </c:strCache>
            </c:strRef>
          </c:cat>
          <c:val>
            <c:numRef>
              <c:f>数据处理!$P$18:$P$22</c:f>
              <c:numCache>
                <c:formatCode>General</c:formatCode>
                <c:ptCount val="5"/>
                <c:pt idx="0">
                  <c:v>23011</c:v>
                </c:pt>
                <c:pt idx="1">
                  <c:v>11857</c:v>
                </c:pt>
                <c:pt idx="2">
                  <c:v>15480</c:v>
                </c:pt>
                <c:pt idx="3">
                  <c:v>11935</c:v>
                </c:pt>
                <c:pt idx="4">
                  <c:v>11756</c:v>
                </c:pt>
              </c:numCache>
            </c:numRef>
          </c:val>
          <c:extLst>
            <c:ext xmlns:c16="http://schemas.microsoft.com/office/drawing/2014/chart" uri="{C3380CC4-5D6E-409C-BE32-E72D297353CC}">
              <c16:uniqueId val="{00000000-5118-4315-8D87-2C6300E93CCB}"/>
            </c:ext>
          </c:extLst>
        </c:ser>
        <c:dLbls>
          <c:showLegendKey val="0"/>
          <c:showVal val="0"/>
          <c:showCatName val="0"/>
          <c:showSerName val="0"/>
          <c:showPercent val="0"/>
          <c:showBubbleSize val="0"/>
        </c:dLbls>
        <c:gapWidth val="219"/>
        <c:axId val="591340127"/>
        <c:axId val="591345119"/>
      </c:barChart>
      <c:lineChart>
        <c:grouping val="standard"/>
        <c:varyColors val="0"/>
        <c:ser>
          <c:idx val="1"/>
          <c:order val="1"/>
          <c:tx>
            <c:strRef>
              <c:f>数据处理!$Q$4</c:f>
              <c:strCache>
                <c:ptCount val="1"/>
                <c:pt idx="0">
                  <c:v>训练损失</c:v>
                </c:pt>
              </c:strCache>
            </c:strRef>
          </c:tx>
          <c:spPr>
            <a:ln w="28575" cap="rnd">
              <a:solidFill>
                <a:schemeClr val="accent2"/>
              </a:solidFill>
              <a:round/>
            </a:ln>
            <a:effectLst/>
          </c:spPr>
          <c:marker>
            <c:symbol val="none"/>
          </c:marker>
          <c:cat>
            <c:strRef>
              <c:f>数据处理!$O$18:$O$22</c:f>
              <c:strCache>
                <c:ptCount val="5"/>
                <c:pt idx="0">
                  <c:v>Qwen2.5-Omni</c:v>
                </c:pt>
                <c:pt idx="1">
                  <c:v>Qwen2.5-Math</c:v>
                </c:pt>
                <c:pt idx="2">
                  <c:v>Llama-3.2</c:v>
                </c:pt>
                <c:pt idx="3">
                  <c:v>Gemma-3</c:v>
                </c:pt>
                <c:pt idx="4">
                  <c:v>DeepSeek-R1-Distill</c:v>
                </c:pt>
              </c:strCache>
            </c:strRef>
          </c:cat>
          <c:val>
            <c:numRef>
              <c:f>数据处理!$Q$18:$Q$22</c:f>
              <c:numCache>
                <c:formatCode>0.000</c:formatCode>
                <c:ptCount val="5"/>
                <c:pt idx="0">
                  <c:v>4.3999999999999997E-2</c:v>
                </c:pt>
                <c:pt idx="1">
                  <c:v>0.06</c:v>
                </c:pt>
                <c:pt idx="2">
                  <c:v>4.3999999999999997E-2</c:v>
                </c:pt>
                <c:pt idx="3">
                  <c:v>6.0999999999999999E-2</c:v>
                </c:pt>
                <c:pt idx="4">
                  <c:v>6.8000000000000005E-2</c:v>
                </c:pt>
              </c:numCache>
            </c:numRef>
          </c:val>
          <c:smooth val="0"/>
          <c:extLst>
            <c:ext xmlns:c16="http://schemas.microsoft.com/office/drawing/2014/chart" uri="{C3380CC4-5D6E-409C-BE32-E72D297353CC}">
              <c16:uniqueId val="{00000001-5118-4315-8D87-2C6300E93CCB}"/>
            </c:ext>
          </c:extLst>
        </c:ser>
        <c:dLbls>
          <c:showLegendKey val="0"/>
          <c:showVal val="0"/>
          <c:showCatName val="0"/>
          <c:showSerName val="0"/>
          <c:showPercent val="0"/>
          <c:showBubbleSize val="0"/>
        </c:dLbls>
        <c:marker val="1"/>
        <c:smooth val="0"/>
        <c:axId val="591356351"/>
        <c:axId val="591334719"/>
      </c:lineChart>
      <c:catAx>
        <c:axId val="59134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zh-CN"/>
          </a:p>
        </c:txPr>
        <c:crossAx val="591345119"/>
        <c:crosses val="autoZero"/>
        <c:auto val="1"/>
        <c:lblAlgn val="ctr"/>
        <c:lblOffset val="100"/>
        <c:noMultiLvlLbl val="0"/>
      </c:catAx>
      <c:valAx>
        <c:axId val="591345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591340127"/>
        <c:crosses val="autoZero"/>
        <c:crossBetween val="between"/>
      </c:valAx>
      <c:valAx>
        <c:axId val="591334719"/>
        <c:scaling>
          <c:orientation val="minMax"/>
        </c:scaling>
        <c:delete val="0"/>
        <c:axPos val="r"/>
        <c:numFmt formatCode="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591356351"/>
        <c:crosses val="max"/>
        <c:crossBetween val="between"/>
      </c:valAx>
      <c:catAx>
        <c:axId val="591356351"/>
        <c:scaling>
          <c:orientation val="minMax"/>
        </c:scaling>
        <c:delete val="1"/>
        <c:axPos val="b"/>
        <c:numFmt formatCode="General" sourceLinked="1"/>
        <c:majorTickMark val="out"/>
        <c:minorTickMark val="none"/>
        <c:tickLblPos val="nextTo"/>
        <c:crossAx val="59133471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CN" altLang="en-US"/>
              <a:t>相对误差分布</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0"/>
          <c:order val="0"/>
          <c:tx>
            <c:strRef>
              <c:f>数据处理!$C$31</c:f>
              <c:strCache>
                <c:ptCount val="1"/>
                <c:pt idx="0">
                  <c:v>0到0.3</c:v>
                </c:pt>
              </c:strCache>
            </c:strRef>
          </c:tx>
          <c:spPr>
            <a:solidFill>
              <a:schemeClr val="accent1"/>
            </a:solidFill>
            <a:ln>
              <a:noFill/>
            </a:ln>
            <a:effectLst/>
          </c:spPr>
          <c:invertIfNegative val="0"/>
          <c:cat>
            <c:strRef>
              <c:f>数据处理!$B$32:$B$36</c:f>
              <c:strCache>
                <c:ptCount val="5"/>
                <c:pt idx="0">
                  <c:v>Qwen2.5-Omni</c:v>
                </c:pt>
                <c:pt idx="1">
                  <c:v>Qwen2.5-Math</c:v>
                </c:pt>
                <c:pt idx="2">
                  <c:v>Llama-3.2</c:v>
                </c:pt>
                <c:pt idx="3">
                  <c:v>Gemma-3</c:v>
                </c:pt>
                <c:pt idx="4">
                  <c:v>DeepSeek-R1-Distill</c:v>
                </c:pt>
              </c:strCache>
            </c:strRef>
          </c:cat>
          <c:val>
            <c:numRef>
              <c:f>数据处理!$C$32:$C$36</c:f>
              <c:numCache>
                <c:formatCode>General</c:formatCode>
                <c:ptCount val="5"/>
                <c:pt idx="0">
                  <c:v>60</c:v>
                </c:pt>
                <c:pt idx="1">
                  <c:v>51</c:v>
                </c:pt>
                <c:pt idx="2">
                  <c:v>49</c:v>
                </c:pt>
                <c:pt idx="3">
                  <c:v>41</c:v>
                </c:pt>
                <c:pt idx="4">
                  <c:v>58</c:v>
                </c:pt>
              </c:numCache>
            </c:numRef>
          </c:val>
          <c:extLst>
            <c:ext xmlns:c16="http://schemas.microsoft.com/office/drawing/2014/chart" uri="{C3380CC4-5D6E-409C-BE32-E72D297353CC}">
              <c16:uniqueId val="{00000000-4168-4667-8A85-A67025E0BB62}"/>
            </c:ext>
          </c:extLst>
        </c:ser>
        <c:ser>
          <c:idx val="1"/>
          <c:order val="1"/>
          <c:tx>
            <c:strRef>
              <c:f>数据处理!$D$31</c:f>
              <c:strCache>
                <c:ptCount val="1"/>
                <c:pt idx="0">
                  <c:v>0.3到0.7</c:v>
                </c:pt>
              </c:strCache>
            </c:strRef>
          </c:tx>
          <c:spPr>
            <a:solidFill>
              <a:schemeClr val="accent2"/>
            </a:solidFill>
            <a:ln>
              <a:noFill/>
            </a:ln>
            <a:effectLst/>
          </c:spPr>
          <c:invertIfNegative val="0"/>
          <c:cat>
            <c:strRef>
              <c:f>数据处理!$B$32:$B$36</c:f>
              <c:strCache>
                <c:ptCount val="5"/>
                <c:pt idx="0">
                  <c:v>Qwen2.5-Omni</c:v>
                </c:pt>
                <c:pt idx="1">
                  <c:v>Qwen2.5-Math</c:v>
                </c:pt>
                <c:pt idx="2">
                  <c:v>Llama-3.2</c:v>
                </c:pt>
                <c:pt idx="3">
                  <c:v>Gemma-3</c:v>
                </c:pt>
                <c:pt idx="4">
                  <c:v>DeepSeek-R1-Distill</c:v>
                </c:pt>
              </c:strCache>
            </c:strRef>
          </c:cat>
          <c:val>
            <c:numRef>
              <c:f>数据处理!$D$32:$D$36</c:f>
              <c:numCache>
                <c:formatCode>General</c:formatCode>
                <c:ptCount val="5"/>
                <c:pt idx="0">
                  <c:v>12</c:v>
                </c:pt>
                <c:pt idx="1">
                  <c:v>16</c:v>
                </c:pt>
                <c:pt idx="2">
                  <c:v>16</c:v>
                </c:pt>
                <c:pt idx="3">
                  <c:v>20</c:v>
                </c:pt>
                <c:pt idx="4">
                  <c:v>11</c:v>
                </c:pt>
              </c:numCache>
            </c:numRef>
          </c:val>
          <c:extLst>
            <c:ext xmlns:c16="http://schemas.microsoft.com/office/drawing/2014/chart" uri="{C3380CC4-5D6E-409C-BE32-E72D297353CC}">
              <c16:uniqueId val="{00000001-4168-4667-8A85-A67025E0BB62}"/>
            </c:ext>
          </c:extLst>
        </c:ser>
        <c:ser>
          <c:idx val="2"/>
          <c:order val="2"/>
          <c:tx>
            <c:strRef>
              <c:f>数据处理!$E$31</c:f>
              <c:strCache>
                <c:ptCount val="1"/>
                <c:pt idx="0">
                  <c:v>0.7到1</c:v>
                </c:pt>
              </c:strCache>
            </c:strRef>
          </c:tx>
          <c:spPr>
            <a:solidFill>
              <a:schemeClr val="accent3"/>
            </a:solidFill>
            <a:ln>
              <a:noFill/>
            </a:ln>
            <a:effectLst/>
          </c:spPr>
          <c:invertIfNegative val="0"/>
          <c:cat>
            <c:strRef>
              <c:f>数据处理!$B$32:$B$36</c:f>
              <c:strCache>
                <c:ptCount val="5"/>
                <c:pt idx="0">
                  <c:v>Qwen2.5-Omni</c:v>
                </c:pt>
                <c:pt idx="1">
                  <c:v>Qwen2.5-Math</c:v>
                </c:pt>
                <c:pt idx="2">
                  <c:v>Llama-3.2</c:v>
                </c:pt>
                <c:pt idx="3">
                  <c:v>Gemma-3</c:v>
                </c:pt>
                <c:pt idx="4">
                  <c:v>DeepSeek-R1-Distill</c:v>
                </c:pt>
              </c:strCache>
            </c:strRef>
          </c:cat>
          <c:val>
            <c:numRef>
              <c:f>数据处理!$E$32:$E$36</c:f>
              <c:numCache>
                <c:formatCode>General</c:formatCode>
                <c:ptCount val="5"/>
                <c:pt idx="0">
                  <c:v>6</c:v>
                </c:pt>
                <c:pt idx="1">
                  <c:v>7</c:v>
                </c:pt>
                <c:pt idx="2">
                  <c:v>12</c:v>
                </c:pt>
                <c:pt idx="3">
                  <c:v>13</c:v>
                </c:pt>
                <c:pt idx="4">
                  <c:v>3</c:v>
                </c:pt>
              </c:numCache>
            </c:numRef>
          </c:val>
          <c:extLst>
            <c:ext xmlns:c16="http://schemas.microsoft.com/office/drawing/2014/chart" uri="{C3380CC4-5D6E-409C-BE32-E72D297353CC}">
              <c16:uniqueId val="{00000002-4168-4667-8A85-A67025E0BB62}"/>
            </c:ext>
          </c:extLst>
        </c:ser>
        <c:ser>
          <c:idx val="3"/>
          <c:order val="3"/>
          <c:tx>
            <c:strRef>
              <c:f>数据处理!$F$31</c:f>
              <c:strCache>
                <c:ptCount val="1"/>
                <c:pt idx="0">
                  <c:v>大于1</c:v>
                </c:pt>
              </c:strCache>
            </c:strRef>
          </c:tx>
          <c:spPr>
            <a:solidFill>
              <a:schemeClr val="accent4"/>
            </a:solidFill>
            <a:ln>
              <a:noFill/>
            </a:ln>
            <a:effectLst/>
          </c:spPr>
          <c:invertIfNegative val="0"/>
          <c:cat>
            <c:strRef>
              <c:f>数据处理!$B$32:$B$36</c:f>
              <c:strCache>
                <c:ptCount val="5"/>
                <c:pt idx="0">
                  <c:v>Qwen2.5-Omni</c:v>
                </c:pt>
                <c:pt idx="1">
                  <c:v>Qwen2.5-Math</c:v>
                </c:pt>
                <c:pt idx="2">
                  <c:v>Llama-3.2</c:v>
                </c:pt>
                <c:pt idx="3">
                  <c:v>Gemma-3</c:v>
                </c:pt>
                <c:pt idx="4">
                  <c:v>DeepSeek-R1-Distill</c:v>
                </c:pt>
              </c:strCache>
            </c:strRef>
          </c:cat>
          <c:val>
            <c:numRef>
              <c:f>数据处理!$F$32:$F$36</c:f>
              <c:numCache>
                <c:formatCode>General</c:formatCode>
                <c:ptCount val="5"/>
                <c:pt idx="0">
                  <c:v>10</c:v>
                </c:pt>
                <c:pt idx="1">
                  <c:v>14</c:v>
                </c:pt>
                <c:pt idx="2">
                  <c:v>11</c:v>
                </c:pt>
                <c:pt idx="3">
                  <c:v>14</c:v>
                </c:pt>
                <c:pt idx="4">
                  <c:v>16</c:v>
                </c:pt>
              </c:numCache>
            </c:numRef>
          </c:val>
          <c:extLst>
            <c:ext xmlns:c16="http://schemas.microsoft.com/office/drawing/2014/chart" uri="{C3380CC4-5D6E-409C-BE32-E72D297353CC}">
              <c16:uniqueId val="{00000003-4168-4667-8A85-A67025E0BB62}"/>
            </c:ext>
          </c:extLst>
        </c:ser>
        <c:dLbls>
          <c:showLegendKey val="0"/>
          <c:showVal val="0"/>
          <c:showCatName val="0"/>
          <c:showSerName val="0"/>
          <c:showPercent val="0"/>
          <c:showBubbleSize val="0"/>
        </c:dLbls>
        <c:gapWidth val="219"/>
        <c:overlap val="-27"/>
        <c:axId val="434222991"/>
        <c:axId val="434213839"/>
      </c:barChart>
      <c:catAx>
        <c:axId val="434222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zh-CN"/>
          </a:p>
        </c:txPr>
        <c:crossAx val="434213839"/>
        <c:crosses val="autoZero"/>
        <c:auto val="1"/>
        <c:lblAlgn val="ctr"/>
        <c:lblOffset val="100"/>
        <c:noMultiLvlLbl val="0"/>
      </c:catAx>
      <c:valAx>
        <c:axId val="434213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342229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radarChart>
        <c:radarStyle val="marker"/>
        <c:varyColors val="0"/>
        <c:ser>
          <c:idx val="0"/>
          <c:order val="0"/>
          <c:tx>
            <c:strRef>
              <c:f>数据处理!$K$64</c:f>
              <c:strCache>
                <c:ptCount val="1"/>
                <c:pt idx="0">
                  <c:v>Qwen2.5-Omni</c:v>
                </c:pt>
              </c:strCache>
            </c:strRef>
          </c:tx>
          <c:spPr>
            <a:ln w="28575" cap="rnd">
              <a:solidFill>
                <a:schemeClr val="accent1"/>
              </a:solidFill>
              <a:round/>
            </a:ln>
            <a:effectLst/>
          </c:spPr>
          <c:marker>
            <c:symbol val="none"/>
          </c:marker>
          <c:cat>
            <c:strRef>
              <c:f>数据处理!$J$65:$J$71</c:f>
              <c:strCache>
                <c:ptCount val="7"/>
                <c:pt idx="0">
                  <c:v>P</c:v>
                </c:pt>
                <c:pt idx="1">
                  <c:v>R</c:v>
                </c:pt>
                <c:pt idx="2">
                  <c:v>F1</c:v>
                </c:pt>
                <c:pt idx="3">
                  <c:v>BLEU-4</c:v>
                </c:pt>
                <c:pt idx="4">
                  <c:v>rogue-l</c:v>
                </c:pt>
                <c:pt idx="5">
                  <c:v>Relative Error</c:v>
                </c:pt>
                <c:pt idx="6">
                  <c:v>Training Loss</c:v>
                </c:pt>
              </c:strCache>
            </c:strRef>
          </c:cat>
          <c:val>
            <c:numRef>
              <c:f>数据处理!$K$65:$K$71</c:f>
              <c:numCache>
                <c:formatCode>0.000</c:formatCode>
                <c:ptCount val="7"/>
                <c:pt idx="0">
                  <c:v>0.99596283170912003</c:v>
                </c:pt>
                <c:pt idx="1">
                  <c:v>0.99606838226318362</c:v>
                </c:pt>
                <c:pt idx="2">
                  <c:v>0.99619594083891971</c:v>
                </c:pt>
                <c:pt idx="3" formatCode="General">
                  <c:v>0.97699999999999998</c:v>
                </c:pt>
                <c:pt idx="4" formatCode="General">
                  <c:v>0.99199999999999999</c:v>
                </c:pt>
                <c:pt idx="5" formatCode="General">
                  <c:v>0</c:v>
                </c:pt>
                <c:pt idx="6">
                  <c:v>0.08</c:v>
                </c:pt>
              </c:numCache>
            </c:numRef>
          </c:val>
          <c:extLst>
            <c:ext xmlns:c16="http://schemas.microsoft.com/office/drawing/2014/chart" uri="{C3380CC4-5D6E-409C-BE32-E72D297353CC}">
              <c16:uniqueId val="{00000000-D4B2-4F6B-B16B-E76B226B6F1B}"/>
            </c:ext>
          </c:extLst>
        </c:ser>
        <c:ser>
          <c:idx val="1"/>
          <c:order val="1"/>
          <c:tx>
            <c:strRef>
              <c:f>数据处理!$L$64</c:f>
              <c:strCache>
                <c:ptCount val="1"/>
                <c:pt idx="0">
                  <c:v>Qwen2.5-Math</c:v>
                </c:pt>
              </c:strCache>
            </c:strRef>
          </c:tx>
          <c:spPr>
            <a:ln w="28575" cap="rnd">
              <a:solidFill>
                <a:schemeClr val="accent2"/>
              </a:solidFill>
              <a:round/>
            </a:ln>
            <a:effectLst/>
          </c:spPr>
          <c:marker>
            <c:symbol val="none"/>
          </c:marker>
          <c:cat>
            <c:strRef>
              <c:f>数据处理!$J$65:$J$71</c:f>
              <c:strCache>
                <c:ptCount val="7"/>
                <c:pt idx="0">
                  <c:v>P</c:v>
                </c:pt>
                <c:pt idx="1">
                  <c:v>R</c:v>
                </c:pt>
                <c:pt idx="2">
                  <c:v>F1</c:v>
                </c:pt>
                <c:pt idx="3">
                  <c:v>BLEU-4</c:v>
                </c:pt>
                <c:pt idx="4">
                  <c:v>rogue-l</c:v>
                </c:pt>
                <c:pt idx="5">
                  <c:v>Relative Error</c:v>
                </c:pt>
                <c:pt idx="6">
                  <c:v>Training Loss</c:v>
                </c:pt>
              </c:strCache>
            </c:strRef>
          </c:cat>
          <c:val>
            <c:numRef>
              <c:f>数据处理!$L$65:$L$71</c:f>
              <c:numCache>
                <c:formatCode>0.000</c:formatCode>
                <c:ptCount val="7"/>
                <c:pt idx="0">
                  <c:v>0.99727540347311228</c:v>
                </c:pt>
                <c:pt idx="1">
                  <c:v>0.99701445036464265</c:v>
                </c:pt>
                <c:pt idx="2">
                  <c:v>0.99676674670643273</c:v>
                </c:pt>
                <c:pt idx="3" formatCode="General">
                  <c:v>0.97799999999999998</c:v>
                </c:pt>
                <c:pt idx="4" formatCode="General">
                  <c:v>0.99199999999999999</c:v>
                </c:pt>
                <c:pt idx="5" formatCode="General">
                  <c:v>0</c:v>
                </c:pt>
                <c:pt idx="6">
                  <c:v>3.8399999999999997E-2</c:v>
                </c:pt>
              </c:numCache>
            </c:numRef>
          </c:val>
          <c:extLst>
            <c:ext xmlns:c16="http://schemas.microsoft.com/office/drawing/2014/chart" uri="{C3380CC4-5D6E-409C-BE32-E72D297353CC}">
              <c16:uniqueId val="{00000001-D4B2-4F6B-B16B-E76B226B6F1B}"/>
            </c:ext>
          </c:extLst>
        </c:ser>
        <c:ser>
          <c:idx val="2"/>
          <c:order val="2"/>
          <c:tx>
            <c:strRef>
              <c:f>数据处理!$M$64</c:f>
              <c:strCache>
                <c:ptCount val="1"/>
                <c:pt idx="0">
                  <c:v>Llama-3.2</c:v>
                </c:pt>
              </c:strCache>
            </c:strRef>
          </c:tx>
          <c:spPr>
            <a:ln w="28575" cap="rnd">
              <a:solidFill>
                <a:schemeClr val="accent3"/>
              </a:solidFill>
              <a:round/>
            </a:ln>
            <a:effectLst/>
          </c:spPr>
          <c:marker>
            <c:symbol val="none"/>
          </c:marker>
          <c:cat>
            <c:strRef>
              <c:f>数据处理!$J$65:$J$71</c:f>
              <c:strCache>
                <c:ptCount val="7"/>
                <c:pt idx="0">
                  <c:v>P</c:v>
                </c:pt>
                <c:pt idx="1">
                  <c:v>R</c:v>
                </c:pt>
                <c:pt idx="2">
                  <c:v>F1</c:v>
                </c:pt>
                <c:pt idx="3">
                  <c:v>BLEU-4</c:v>
                </c:pt>
                <c:pt idx="4">
                  <c:v>rogue-l</c:v>
                </c:pt>
                <c:pt idx="5">
                  <c:v>Relative Error</c:v>
                </c:pt>
                <c:pt idx="6">
                  <c:v>Training Loss</c:v>
                </c:pt>
              </c:strCache>
            </c:strRef>
          </c:cat>
          <c:val>
            <c:numRef>
              <c:f>数据处理!$M$65:$M$71</c:f>
              <c:numCache>
                <c:formatCode>0.000</c:formatCode>
                <c:ptCount val="7"/>
                <c:pt idx="0">
                  <c:v>0.99743474655681186</c:v>
                </c:pt>
                <c:pt idx="1">
                  <c:v>0.99709899822870895</c:v>
                </c:pt>
                <c:pt idx="2">
                  <c:v>0.99677523109647959</c:v>
                </c:pt>
                <c:pt idx="3" formatCode="General">
                  <c:v>0.98199999999999998</c:v>
                </c:pt>
                <c:pt idx="4" formatCode="General">
                  <c:v>0.99199999999999999</c:v>
                </c:pt>
                <c:pt idx="5" formatCode="General">
                  <c:v>0</c:v>
                </c:pt>
                <c:pt idx="6">
                  <c:v>2.5399999999999999E-2</c:v>
                </c:pt>
              </c:numCache>
            </c:numRef>
          </c:val>
          <c:extLst>
            <c:ext xmlns:c16="http://schemas.microsoft.com/office/drawing/2014/chart" uri="{C3380CC4-5D6E-409C-BE32-E72D297353CC}">
              <c16:uniqueId val="{00000002-D4B2-4F6B-B16B-E76B226B6F1B}"/>
            </c:ext>
          </c:extLst>
        </c:ser>
        <c:ser>
          <c:idx val="3"/>
          <c:order val="3"/>
          <c:tx>
            <c:strRef>
              <c:f>数据处理!$N$64</c:f>
              <c:strCache>
                <c:ptCount val="1"/>
                <c:pt idx="0">
                  <c:v>Gemma-3</c:v>
                </c:pt>
              </c:strCache>
            </c:strRef>
          </c:tx>
          <c:spPr>
            <a:ln w="28575" cap="rnd">
              <a:solidFill>
                <a:schemeClr val="accent4"/>
              </a:solidFill>
              <a:round/>
            </a:ln>
            <a:effectLst/>
          </c:spPr>
          <c:marker>
            <c:symbol val="none"/>
          </c:marker>
          <c:cat>
            <c:strRef>
              <c:f>数据处理!$J$65:$J$71</c:f>
              <c:strCache>
                <c:ptCount val="7"/>
                <c:pt idx="0">
                  <c:v>P</c:v>
                </c:pt>
                <c:pt idx="1">
                  <c:v>R</c:v>
                </c:pt>
                <c:pt idx="2">
                  <c:v>F1</c:v>
                </c:pt>
                <c:pt idx="3">
                  <c:v>BLEU-4</c:v>
                </c:pt>
                <c:pt idx="4">
                  <c:v>rogue-l</c:v>
                </c:pt>
                <c:pt idx="5">
                  <c:v>Relative Error</c:v>
                </c:pt>
                <c:pt idx="6">
                  <c:v>Training Loss</c:v>
                </c:pt>
              </c:strCache>
            </c:strRef>
          </c:cat>
          <c:val>
            <c:numRef>
              <c:f>数据处理!$N$65:$N$71</c:f>
              <c:numCache>
                <c:formatCode>0.000</c:formatCode>
                <c:ptCount val="7"/>
                <c:pt idx="0">
                  <c:v>0.99692602488729687</c:v>
                </c:pt>
                <c:pt idx="1">
                  <c:v>0.9968295693397522</c:v>
                </c:pt>
                <c:pt idx="2">
                  <c:v>0.99674810568491623</c:v>
                </c:pt>
                <c:pt idx="3" formatCode="General">
                  <c:v>0.97799999999999998</c:v>
                </c:pt>
                <c:pt idx="4" formatCode="General">
                  <c:v>0.99199999999999999</c:v>
                </c:pt>
                <c:pt idx="5" formatCode="General">
                  <c:v>0</c:v>
                </c:pt>
                <c:pt idx="6">
                  <c:v>4.1500000000000002E-2</c:v>
                </c:pt>
              </c:numCache>
            </c:numRef>
          </c:val>
          <c:extLst>
            <c:ext xmlns:c16="http://schemas.microsoft.com/office/drawing/2014/chart" uri="{C3380CC4-5D6E-409C-BE32-E72D297353CC}">
              <c16:uniqueId val="{00000003-D4B2-4F6B-B16B-E76B226B6F1B}"/>
            </c:ext>
          </c:extLst>
        </c:ser>
        <c:ser>
          <c:idx val="4"/>
          <c:order val="4"/>
          <c:tx>
            <c:strRef>
              <c:f>数据处理!$O$64</c:f>
              <c:strCache>
                <c:ptCount val="1"/>
                <c:pt idx="0">
                  <c:v>DeepSeek-R1-Distill</c:v>
                </c:pt>
              </c:strCache>
            </c:strRef>
          </c:tx>
          <c:spPr>
            <a:ln w="28575" cap="rnd">
              <a:solidFill>
                <a:schemeClr val="accent5"/>
              </a:solidFill>
              <a:round/>
            </a:ln>
            <a:effectLst/>
          </c:spPr>
          <c:marker>
            <c:symbol val="none"/>
          </c:marker>
          <c:dLbls>
            <c:dLbl>
              <c:idx val="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4B2-4F6B-B16B-E76B226B6F1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数据处理!$J$65:$J$71</c:f>
              <c:strCache>
                <c:ptCount val="7"/>
                <c:pt idx="0">
                  <c:v>P</c:v>
                </c:pt>
                <c:pt idx="1">
                  <c:v>R</c:v>
                </c:pt>
                <c:pt idx="2">
                  <c:v>F1</c:v>
                </c:pt>
                <c:pt idx="3">
                  <c:v>BLEU-4</c:v>
                </c:pt>
                <c:pt idx="4">
                  <c:v>rogue-l</c:v>
                </c:pt>
                <c:pt idx="5">
                  <c:v>Relative Error</c:v>
                </c:pt>
                <c:pt idx="6">
                  <c:v>Training Loss</c:v>
                </c:pt>
              </c:strCache>
            </c:strRef>
          </c:cat>
          <c:val>
            <c:numRef>
              <c:f>数据处理!$O$65:$O$71</c:f>
              <c:numCache>
                <c:formatCode>0.000</c:formatCode>
                <c:ptCount val="7"/>
                <c:pt idx="0">
                  <c:v>0.96877436108059356</c:v>
                </c:pt>
                <c:pt idx="1">
                  <c:v>0.915704884131749</c:v>
                </c:pt>
                <c:pt idx="2">
                  <c:v>0.88750714626577165</c:v>
                </c:pt>
                <c:pt idx="3" formatCode="General">
                  <c:v>0.78300000000000003</c:v>
                </c:pt>
                <c:pt idx="4" formatCode="General">
                  <c:v>0.83499999999999996</c:v>
                </c:pt>
                <c:pt idx="5" formatCode="General">
                  <c:v>0</c:v>
                </c:pt>
                <c:pt idx="6">
                  <c:v>0.135238738270366</c:v>
                </c:pt>
              </c:numCache>
            </c:numRef>
          </c:val>
          <c:extLst>
            <c:ext xmlns:c16="http://schemas.microsoft.com/office/drawing/2014/chart" uri="{C3380CC4-5D6E-409C-BE32-E72D297353CC}">
              <c16:uniqueId val="{00000004-D4B2-4F6B-B16B-E76B226B6F1B}"/>
            </c:ext>
          </c:extLst>
        </c:ser>
        <c:dLbls>
          <c:showLegendKey val="0"/>
          <c:showVal val="0"/>
          <c:showCatName val="0"/>
          <c:showSerName val="0"/>
          <c:showPercent val="0"/>
          <c:showBubbleSize val="0"/>
        </c:dLbls>
        <c:axId val="345603632"/>
        <c:axId val="345586576"/>
      </c:radarChart>
      <c:catAx>
        <c:axId val="345603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345586576"/>
        <c:crosses val="autoZero"/>
        <c:auto val="1"/>
        <c:lblAlgn val="ctr"/>
        <c:lblOffset val="100"/>
        <c:noMultiLvlLbl val="0"/>
      </c:catAx>
      <c:valAx>
        <c:axId val="34558657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3456036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266700</xdr:colOff>
      <xdr:row>10</xdr:row>
      <xdr:rowOff>33337</xdr:rowOff>
    </xdr:from>
    <xdr:to>
      <xdr:col>6</xdr:col>
      <xdr:colOff>276225</xdr:colOff>
      <xdr:row>25</xdr:row>
      <xdr:rowOff>61912</xdr:rowOff>
    </xdr:to>
    <xdr:graphicFrame macro="">
      <xdr:nvGraphicFramePr>
        <xdr:cNvPr id="2" name="图表 1">
          <a:extLst>
            <a:ext uri="{FF2B5EF4-FFF2-40B4-BE49-F238E27FC236}">
              <a16:creationId xmlns:a16="http://schemas.microsoft.com/office/drawing/2014/main" id="{638CD039-2782-41A0-BDB3-B34DFF9587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80962</xdr:colOff>
      <xdr:row>14</xdr:row>
      <xdr:rowOff>85725</xdr:rowOff>
    </xdr:from>
    <xdr:to>
      <xdr:col>12</xdr:col>
      <xdr:colOff>185737</xdr:colOff>
      <xdr:row>29</xdr:row>
      <xdr:rowOff>114300</xdr:rowOff>
    </xdr:to>
    <xdr:graphicFrame macro="">
      <xdr:nvGraphicFramePr>
        <xdr:cNvPr id="3" name="图表 2">
          <a:extLst>
            <a:ext uri="{FF2B5EF4-FFF2-40B4-BE49-F238E27FC236}">
              <a16:creationId xmlns:a16="http://schemas.microsoft.com/office/drawing/2014/main" id="{B456C33E-F3E0-4BA0-8483-6DB73ED026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371475</xdr:colOff>
      <xdr:row>24</xdr:row>
      <xdr:rowOff>85725</xdr:rowOff>
    </xdr:from>
    <xdr:to>
      <xdr:col>18</xdr:col>
      <xdr:colOff>657225</xdr:colOff>
      <xdr:row>39</xdr:row>
      <xdr:rowOff>114300</xdr:rowOff>
    </xdr:to>
    <xdr:graphicFrame macro="">
      <xdr:nvGraphicFramePr>
        <xdr:cNvPr id="4" name="图表 3">
          <a:extLst>
            <a:ext uri="{FF2B5EF4-FFF2-40B4-BE49-F238E27FC236}">
              <a16:creationId xmlns:a16="http://schemas.microsoft.com/office/drawing/2014/main" id="{2D64481B-F63F-4BAF-B9D2-BF68298664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381000</xdr:colOff>
      <xdr:row>38</xdr:row>
      <xdr:rowOff>38100</xdr:rowOff>
    </xdr:from>
    <xdr:to>
      <xdr:col>6</xdr:col>
      <xdr:colOff>390525</xdr:colOff>
      <xdr:row>53</xdr:row>
      <xdr:rowOff>85725</xdr:rowOff>
    </xdr:to>
    <xdr:graphicFrame macro="">
      <xdr:nvGraphicFramePr>
        <xdr:cNvPr id="5" name="图表 4">
          <a:extLst>
            <a:ext uri="{FF2B5EF4-FFF2-40B4-BE49-F238E27FC236}">
              <a16:creationId xmlns:a16="http://schemas.microsoft.com/office/drawing/2014/main" id="{4B603E1E-42B8-4895-AF32-AB28D8CF75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317500</xdr:colOff>
      <xdr:row>56</xdr:row>
      <xdr:rowOff>64052</xdr:rowOff>
    </xdr:from>
    <xdr:to>
      <xdr:col>20</xdr:col>
      <xdr:colOff>427935</xdr:colOff>
      <xdr:row>71</xdr:row>
      <xdr:rowOff>156818</xdr:rowOff>
    </xdr:to>
    <xdr:graphicFrame macro="">
      <xdr:nvGraphicFramePr>
        <xdr:cNvPr id="8" name="图表 7">
          <a:extLst>
            <a:ext uri="{FF2B5EF4-FFF2-40B4-BE49-F238E27FC236}">
              <a16:creationId xmlns:a16="http://schemas.microsoft.com/office/drawing/2014/main" id="{702F7E3E-244E-4A99-87B5-627CF09793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13DAF-8AA2-4D56-A56C-501E7851F518}">
  <dimension ref="A1:M93"/>
  <sheetViews>
    <sheetView tabSelected="1" topLeftCell="A61" workbookViewId="0">
      <selection activeCell="G91" sqref="G91"/>
    </sheetView>
  </sheetViews>
  <sheetFormatPr defaultRowHeight="14" x14ac:dyDescent="0.3"/>
  <cols>
    <col min="1" max="9" width="8.6640625" style="2"/>
    <col min="10" max="10" width="15.08203125" style="2" customWidth="1"/>
    <col min="11" max="12" width="8.6640625" style="2"/>
    <col min="13" max="13" width="14.58203125" style="2" customWidth="1"/>
  </cols>
  <sheetData>
    <row r="1" spans="1:13" x14ac:dyDescent="0.3">
      <c r="A1" s="1" t="s">
        <v>265</v>
      </c>
      <c r="B1" s="1" t="s">
        <v>264</v>
      </c>
      <c r="C1" s="1" t="s">
        <v>263</v>
      </c>
      <c r="D1" s="1" t="s">
        <v>262</v>
      </c>
      <c r="E1" s="1" t="s">
        <v>261</v>
      </c>
      <c r="F1" s="1" t="s">
        <v>260</v>
      </c>
      <c r="G1" s="1" t="s">
        <v>259</v>
      </c>
    </row>
    <row r="2" spans="1:13" x14ac:dyDescent="0.3">
      <c r="A2" s="28" t="s">
        <v>2371</v>
      </c>
      <c r="B2" s="2" t="s">
        <v>2343</v>
      </c>
      <c r="C2" s="2" t="s">
        <v>1357</v>
      </c>
      <c r="D2" s="2">
        <v>0.98872941732406616</v>
      </c>
      <c r="E2" s="2">
        <v>0.98872941732406616</v>
      </c>
      <c r="F2" s="2">
        <v>0.98872941732406616</v>
      </c>
      <c r="G2" s="2">
        <v>8.6147642395638727E-3</v>
      </c>
      <c r="H2" s="2">
        <f>FIND("using",B2)</f>
        <v>1176</v>
      </c>
      <c r="I2" s="29" t="str">
        <f>MID(B2,H2+LEN("using "),LEN(B2))</f>
        <v>carbon steel as the reactor material.</v>
      </c>
      <c r="J2" s="29" t="str">
        <f>LEFT(I2,FIND(" ",I2,FIND(" ",I2)+1)-1)</f>
        <v>carbon steel</v>
      </c>
      <c r="K2" s="2">
        <f>FIND("using",C2)</f>
        <v>1176</v>
      </c>
      <c r="L2" s="29" t="str">
        <f>MID(C2,K2+LEN("using "),LEN(C2))</f>
        <v xml:space="preserve">carbon steel as the reactor material.
</v>
      </c>
      <c r="M2" s="29" t="str">
        <f>LEFT(L2,FIND(" ",L2,FIND(" ",L2)+1)-1)</f>
        <v>carbon steel</v>
      </c>
    </row>
    <row r="3" spans="1:13" x14ac:dyDescent="0.3">
      <c r="A3" s="28" t="s">
        <v>2372</v>
      </c>
      <c r="B3" s="2" t="s">
        <v>2374</v>
      </c>
      <c r="C3" s="2" t="s">
        <v>1356</v>
      </c>
      <c r="D3" s="2">
        <v>0.9788215160369873</v>
      </c>
      <c r="E3" s="2">
        <v>0.97995024919509888</v>
      </c>
      <c r="F3" s="2">
        <v>0.9793856143951416</v>
      </c>
      <c r="G3" s="2">
        <v>0.1107446554875626</v>
      </c>
      <c r="H3" s="2">
        <f t="shared" ref="H3:H66" si="0">FIND("using",B3)</f>
        <v>1189</v>
      </c>
      <c r="I3" s="29" t="str">
        <f t="shared" ref="I3:I66" si="1">MID(B3,H3+LEN("using "),LEN(B3))</f>
        <v>carbon steel as the reactor material.</v>
      </c>
      <c r="J3" s="29" t="str">
        <f t="shared" ref="J3:J66" si="2">LEFT(I3,FIND(" ",I3,FIND(" ",I3)+1)-1)</f>
        <v>carbon steel</v>
      </c>
      <c r="K3" s="2">
        <f t="shared" ref="K3:K66" si="3">FIND("using",C3)</f>
        <v>1189</v>
      </c>
      <c r="L3" s="29" t="str">
        <f t="shared" ref="L3:L66" si="4">MID(C3,K3+LEN("using "),LEN(C3))</f>
        <v xml:space="preserve">carbon steel as the reactor material.
</v>
      </c>
      <c r="M3" s="29" t="str">
        <f t="shared" ref="M3:M66" si="5">LEFT(L3,FIND(" ",L3,FIND(" ",L3)+1)-1)</f>
        <v>carbon steel</v>
      </c>
    </row>
    <row r="4" spans="1:13" x14ac:dyDescent="0.3">
      <c r="A4" s="30" t="s">
        <v>1355</v>
      </c>
      <c r="B4" s="2" t="s">
        <v>2029</v>
      </c>
      <c r="C4" s="2" t="s">
        <v>1354</v>
      </c>
      <c r="D4" s="2">
        <v>0.97984176874160767</v>
      </c>
      <c r="E4" s="2">
        <v>0.97974878549575806</v>
      </c>
      <c r="F4" s="2">
        <v>0.97979527711868286</v>
      </c>
      <c r="G4" s="2">
        <v>2.996377747005521E-3</v>
      </c>
      <c r="H4" s="2">
        <f t="shared" si="0"/>
        <v>1190</v>
      </c>
      <c r="I4" s="29" t="str">
        <f t="shared" si="1"/>
        <v>carbon steel as the reactor material.</v>
      </c>
      <c r="J4" s="29" t="str">
        <f t="shared" si="2"/>
        <v>carbon steel</v>
      </c>
      <c r="K4" s="2">
        <f t="shared" si="3"/>
        <v>1191</v>
      </c>
      <c r="L4" s="29" t="str">
        <f t="shared" si="4"/>
        <v xml:space="preserve">carbon steel as the reactor material.
</v>
      </c>
      <c r="M4" s="29" t="str">
        <f t="shared" si="5"/>
        <v>carbon steel</v>
      </c>
    </row>
    <row r="5" spans="1:13" x14ac:dyDescent="0.3">
      <c r="A5" s="28" t="s">
        <v>2373</v>
      </c>
      <c r="B5" s="2" t="s">
        <v>2375</v>
      </c>
      <c r="C5" s="2" t="s">
        <v>1353</v>
      </c>
      <c r="D5" s="2">
        <v>0.97601073980331421</v>
      </c>
      <c r="E5" s="2">
        <v>0.97661656141281128</v>
      </c>
      <c r="F5" s="2">
        <v>0.97631353139877319</v>
      </c>
      <c r="G5" s="2">
        <v>5.6024960045125582E-2</v>
      </c>
      <c r="H5" s="2">
        <f t="shared" si="0"/>
        <v>1123</v>
      </c>
      <c r="I5" s="29" t="str">
        <f t="shared" si="1"/>
        <v>carbon steel as the reactor material.</v>
      </c>
      <c r="J5" s="29" t="str">
        <f t="shared" si="2"/>
        <v>carbon steel</v>
      </c>
      <c r="K5" s="2">
        <f t="shared" si="3"/>
        <v>1121</v>
      </c>
      <c r="L5" s="29" t="str">
        <f t="shared" si="4"/>
        <v xml:space="preserve">carbon steel as the reactor material.
</v>
      </c>
      <c r="M5" s="29" t="str">
        <f t="shared" si="5"/>
        <v>carbon steel</v>
      </c>
    </row>
    <row r="6" spans="1:13" x14ac:dyDescent="0.3">
      <c r="A6" s="2" t="s">
        <v>1352</v>
      </c>
      <c r="B6" s="2" t="s">
        <v>2028</v>
      </c>
      <c r="C6" s="2" t="s">
        <v>1351</v>
      </c>
      <c r="D6" s="2">
        <v>0.9782099723815918</v>
      </c>
      <c r="E6" s="2">
        <v>0.97688090801239014</v>
      </c>
      <c r="F6" s="2">
        <v>0.97754502296447754</v>
      </c>
      <c r="G6" s="2">
        <v>0.1530628555310046</v>
      </c>
      <c r="H6" s="2">
        <f t="shared" si="0"/>
        <v>1123</v>
      </c>
      <c r="I6" s="29" t="str">
        <f t="shared" si="1"/>
        <v>carbon steel as the reactor material.</v>
      </c>
      <c r="J6" s="29" t="str">
        <f t="shared" si="2"/>
        <v>carbon steel</v>
      </c>
      <c r="K6" s="2">
        <f t="shared" si="3"/>
        <v>1117</v>
      </c>
      <c r="L6" s="29" t="str">
        <f t="shared" si="4"/>
        <v xml:space="preserve">carbon steel as the reactor material.
</v>
      </c>
      <c r="M6" s="29" t="str">
        <f t="shared" si="5"/>
        <v>carbon steel</v>
      </c>
    </row>
    <row r="7" spans="1:13" x14ac:dyDescent="0.3">
      <c r="A7" s="2" t="s">
        <v>1350</v>
      </c>
      <c r="B7" s="2" t="s">
        <v>2027</v>
      </c>
      <c r="C7" s="2" t="s">
        <v>1349</v>
      </c>
      <c r="D7" s="2">
        <v>0.96940839290618896</v>
      </c>
      <c r="E7" s="2">
        <v>0.96965861320495605</v>
      </c>
      <c r="F7" s="2">
        <v>0.96953344345092773</v>
      </c>
      <c r="G7" s="2">
        <v>0.1953499177925514</v>
      </c>
      <c r="H7" s="2">
        <f t="shared" si="0"/>
        <v>1190</v>
      </c>
      <c r="I7" s="29" t="str">
        <f t="shared" si="1"/>
        <v>carbon steel as the reactor material.</v>
      </c>
      <c r="J7" s="29" t="str">
        <f t="shared" si="2"/>
        <v>carbon steel</v>
      </c>
      <c r="K7" s="2">
        <f t="shared" si="3"/>
        <v>1188</v>
      </c>
      <c r="L7" s="29" t="str">
        <f t="shared" si="4"/>
        <v xml:space="preserve">carbon steel as the reactor material.
</v>
      </c>
      <c r="M7" s="29" t="str">
        <f t="shared" si="5"/>
        <v>carbon steel</v>
      </c>
    </row>
    <row r="8" spans="1:13" x14ac:dyDescent="0.3">
      <c r="A8" s="2" t="s">
        <v>1348</v>
      </c>
      <c r="B8" s="2" t="s">
        <v>2026</v>
      </c>
      <c r="C8" s="2" t="s">
        <v>1347</v>
      </c>
      <c r="D8" s="2">
        <v>0.97322529554367065</v>
      </c>
      <c r="E8" s="2">
        <v>0.97352594137191772</v>
      </c>
      <c r="F8" s="2">
        <v>0.97337555885314941</v>
      </c>
      <c r="G8" s="2">
        <v>0.36559255226146842</v>
      </c>
      <c r="H8" s="2">
        <f t="shared" si="0"/>
        <v>1180</v>
      </c>
      <c r="I8" s="29" t="str">
        <f t="shared" si="1"/>
        <v>carbon steel as the reactor material.</v>
      </c>
      <c r="J8" s="29" t="str">
        <f t="shared" si="2"/>
        <v>carbon steel</v>
      </c>
      <c r="K8" s="2">
        <f t="shared" si="3"/>
        <v>1180</v>
      </c>
      <c r="L8" s="29" t="str">
        <f t="shared" si="4"/>
        <v xml:space="preserve">carbon steel as the reactor material.
</v>
      </c>
      <c r="M8" s="29" t="str">
        <f t="shared" si="5"/>
        <v>carbon steel</v>
      </c>
    </row>
    <row r="9" spans="1:13" x14ac:dyDescent="0.3">
      <c r="A9" s="2" t="s">
        <v>1346</v>
      </c>
      <c r="B9" s="2" t="s">
        <v>2025</v>
      </c>
      <c r="C9" s="2" t="s">
        <v>1345</v>
      </c>
      <c r="D9" s="2">
        <v>0.98774492740631104</v>
      </c>
      <c r="E9" s="2">
        <v>0.9877699613571167</v>
      </c>
      <c r="F9" s="2">
        <v>0.98775744438171387</v>
      </c>
      <c r="G9" s="2">
        <v>0.26797633996431158</v>
      </c>
      <c r="H9" s="2">
        <f t="shared" si="0"/>
        <v>1184</v>
      </c>
      <c r="I9" s="29" t="str">
        <f t="shared" si="1"/>
        <v>carbon steel as the reactor material.</v>
      </c>
      <c r="J9" s="29" t="str">
        <f t="shared" si="2"/>
        <v>carbon steel</v>
      </c>
      <c r="K9" s="2">
        <f t="shared" si="3"/>
        <v>1184</v>
      </c>
      <c r="L9" s="29" t="str">
        <f t="shared" si="4"/>
        <v xml:space="preserve">carbon steel as the reactor material.
</v>
      </c>
      <c r="M9" s="29" t="str">
        <f t="shared" si="5"/>
        <v>carbon steel</v>
      </c>
    </row>
    <row r="10" spans="1:13" x14ac:dyDescent="0.3">
      <c r="A10" s="2" t="s">
        <v>1344</v>
      </c>
      <c r="B10" s="2" t="s">
        <v>2024</v>
      </c>
      <c r="C10" s="2" t="s">
        <v>1343</v>
      </c>
      <c r="D10" s="2">
        <v>0.97837471961975098</v>
      </c>
      <c r="E10" s="2">
        <v>0.97837841510772705</v>
      </c>
      <c r="F10" s="2">
        <v>0.97837656736373901</v>
      </c>
      <c r="G10" s="2">
        <v>1.3448049101271351E-2</v>
      </c>
      <c r="H10" s="2">
        <f t="shared" si="0"/>
        <v>1180</v>
      </c>
      <c r="I10" s="29" t="str">
        <f t="shared" si="1"/>
        <v>carbon steel as the reactor material.</v>
      </c>
      <c r="J10" s="29" t="str">
        <f t="shared" si="2"/>
        <v>carbon steel</v>
      </c>
      <c r="K10" s="2">
        <f t="shared" si="3"/>
        <v>1179</v>
      </c>
      <c r="L10" s="29" t="str">
        <f t="shared" si="4"/>
        <v xml:space="preserve">carbon steel as the reactor material.
</v>
      </c>
      <c r="M10" s="29" t="str">
        <f t="shared" si="5"/>
        <v>carbon steel</v>
      </c>
    </row>
    <row r="11" spans="1:13" x14ac:dyDescent="0.3">
      <c r="A11" s="2" t="s">
        <v>1342</v>
      </c>
      <c r="B11" s="2" t="s">
        <v>2023</v>
      </c>
      <c r="C11" s="2" t="s">
        <v>1341</v>
      </c>
      <c r="D11" s="2">
        <v>0.98825860023498535</v>
      </c>
      <c r="E11" s="2">
        <v>0.98821163177490234</v>
      </c>
      <c r="F11" s="2">
        <v>0.98823511600494385</v>
      </c>
      <c r="G11" s="2">
        <v>2.7724843132698129E-2</v>
      </c>
      <c r="H11" s="2">
        <f t="shared" si="0"/>
        <v>1170</v>
      </c>
      <c r="I11" s="29" t="str">
        <f t="shared" si="1"/>
        <v>carbon steel as the reactor material.</v>
      </c>
      <c r="J11" s="29" t="str">
        <f t="shared" si="2"/>
        <v>carbon steel</v>
      </c>
      <c r="K11" s="2">
        <f t="shared" si="3"/>
        <v>1170</v>
      </c>
      <c r="L11" s="29" t="str">
        <f t="shared" si="4"/>
        <v xml:space="preserve">carbon steel as the reactor material.
</v>
      </c>
      <c r="M11" s="29" t="str">
        <f t="shared" si="5"/>
        <v>carbon steel</v>
      </c>
    </row>
    <row r="12" spans="1:13" x14ac:dyDescent="0.3">
      <c r="A12" s="2" t="s">
        <v>1340</v>
      </c>
      <c r="B12" s="2" t="s">
        <v>2022</v>
      </c>
      <c r="C12" s="2" t="s">
        <v>1339</v>
      </c>
      <c r="D12" s="2">
        <v>0.97567665576934814</v>
      </c>
      <c r="E12" s="2">
        <v>0.97600412368774414</v>
      </c>
      <c r="F12" s="2">
        <v>0.97584033012390137</v>
      </c>
      <c r="G12" s="2">
        <v>0.1710379843066982</v>
      </c>
      <c r="H12" s="2">
        <f t="shared" si="0"/>
        <v>1180</v>
      </c>
      <c r="I12" s="29" t="str">
        <f t="shared" si="1"/>
        <v>carbon steel as the reactor material.</v>
      </c>
      <c r="J12" s="29" t="str">
        <f t="shared" si="2"/>
        <v>carbon steel</v>
      </c>
      <c r="K12" s="2">
        <f t="shared" si="3"/>
        <v>1180</v>
      </c>
      <c r="L12" s="29" t="str">
        <f t="shared" si="4"/>
        <v xml:space="preserve">carbon steel as the reactor material.
</v>
      </c>
      <c r="M12" s="29" t="str">
        <f t="shared" si="5"/>
        <v>carbon steel</v>
      </c>
    </row>
    <row r="13" spans="1:13" x14ac:dyDescent="0.3">
      <c r="A13" s="2" t="s">
        <v>1338</v>
      </c>
      <c r="B13" s="2" t="s">
        <v>2021</v>
      </c>
      <c r="C13" s="2" t="s">
        <v>1337</v>
      </c>
      <c r="D13" s="2">
        <v>0.97751957178115845</v>
      </c>
      <c r="E13" s="2">
        <v>0.9768373966217041</v>
      </c>
      <c r="F13" s="2">
        <v>0.97717839479446411</v>
      </c>
      <c r="G13" s="2">
        <v>0.18468124958191179</v>
      </c>
      <c r="H13" s="2">
        <f t="shared" si="0"/>
        <v>1181</v>
      </c>
      <c r="I13" s="29" t="str">
        <f t="shared" si="1"/>
        <v>carbon steel as the reactor material.</v>
      </c>
      <c r="J13" s="29" t="str">
        <f t="shared" si="2"/>
        <v>carbon steel</v>
      </c>
      <c r="K13" s="2">
        <f t="shared" si="3"/>
        <v>1176</v>
      </c>
      <c r="L13" s="29" t="str">
        <f t="shared" si="4"/>
        <v xml:space="preserve">carbon steel as the reactor material.
</v>
      </c>
      <c r="M13" s="29" t="str">
        <f t="shared" si="5"/>
        <v>carbon steel</v>
      </c>
    </row>
    <row r="14" spans="1:13" x14ac:dyDescent="0.3">
      <c r="A14" s="2" t="s">
        <v>1336</v>
      </c>
      <c r="B14" s="2" t="s">
        <v>2020</v>
      </c>
      <c r="C14" s="2" t="s">
        <v>1335</v>
      </c>
      <c r="D14" s="2">
        <v>0.97468364238739014</v>
      </c>
      <c r="E14" s="2">
        <v>0.97465002536773682</v>
      </c>
      <c r="F14" s="2">
        <v>0.97466683387756348</v>
      </c>
      <c r="G14" s="2">
        <v>0.1248777803305141</v>
      </c>
      <c r="H14" s="2">
        <f t="shared" si="0"/>
        <v>1191</v>
      </c>
      <c r="I14" s="29" t="str">
        <f t="shared" si="1"/>
        <v>carbon steel as the reactor material.</v>
      </c>
      <c r="J14" s="29" t="str">
        <f t="shared" si="2"/>
        <v>carbon steel</v>
      </c>
      <c r="K14" s="2">
        <f t="shared" si="3"/>
        <v>1186</v>
      </c>
      <c r="L14" s="29" t="str">
        <f t="shared" si="4"/>
        <v xml:space="preserve">carbon steel as the reactor material.
</v>
      </c>
      <c r="M14" s="29" t="str">
        <f t="shared" si="5"/>
        <v>carbon steel</v>
      </c>
    </row>
    <row r="15" spans="1:13" x14ac:dyDescent="0.3">
      <c r="A15" s="2" t="s">
        <v>1334</v>
      </c>
      <c r="B15" s="2" t="s">
        <v>2019</v>
      </c>
      <c r="C15" s="2" t="s">
        <v>1333</v>
      </c>
      <c r="D15" s="2">
        <v>0.97719454765319824</v>
      </c>
      <c r="E15" s="2">
        <v>0.9775843620300293</v>
      </c>
      <c r="F15" s="2">
        <v>0.97738939523696899</v>
      </c>
      <c r="G15" s="2">
        <v>0.31383676225551171</v>
      </c>
      <c r="H15" s="2">
        <f t="shared" si="0"/>
        <v>1135</v>
      </c>
      <c r="I15" s="29" t="str">
        <f t="shared" si="1"/>
        <v>carbon steel as the reactor material.</v>
      </c>
      <c r="J15" s="29" t="str">
        <f t="shared" si="2"/>
        <v>carbon steel</v>
      </c>
      <c r="K15" s="2">
        <f t="shared" si="3"/>
        <v>1136</v>
      </c>
      <c r="L15" s="29" t="str">
        <f t="shared" si="4"/>
        <v xml:space="preserve">carbon steel as the reactor material.
</v>
      </c>
      <c r="M15" s="29" t="str">
        <f t="shared" si="5"/>
        <v>carbon steel</v>
      </c>
    </row>
    <row r="16" spans="1:13" x14ac:dyDescent="0.3">
      <c r="A16" s="2" t="s">
        <v>1332</v>
      </c>
      <c r="B16" s="2" t="s">
        <v>2018</v>
      </c>
      <c r="C16" s="2" t="s">
        <v>1331</v>
      </c>
      <c r="D16" s="2">
        <v>0.98067700862884521</v>
      </c>
      <c r="E16" s="2">
        <v>0.98076379299163818</v>
      </c>
      <c r="F16" s="2">
        <v>0.9807204008102417</v>
      </c>
      <c r="G16" s="2">
        <v>0.18834089373612581</v>
      </c>
      <c r="H16" s="2">
        <f t="shared" si="0"/>
        <v>1185</v>
      </c>
      <c r="I16" s="29" t="str">
        <f t="shared" si="1"/>
        <v>carbon steel as the reactor material.</v>
      </c>
      <c r="J16" s="29" t="str">
        <f t="shared" si="2"/>
        <v>carbon steel</v>
      </c>
      <c r="K16" s="2">
        <f t="shared" si="3"/>
        <v>1184</v>
      </c>
      <c r="L16" s="29" t="str">
        <f t="shared" si="4"/>
        <v xml:space="preserve">carbon steel as the reactor material.
</v>
      </c>
      <c r="M16" s="29" t="str">
        <f t="shared" si="5"/>
        <v>carbon steel</v>
      </c>
    </row>
    <row r="17" spans="1:13" x14ac:dyDescent="0.3">
      <c r="A17" s="2" t="s">
        <v>1330</v>
      </c>
      <c r="B17" s="2" t="s">
        <v>2017</v>
      </c>
      <c r="C17" s="2" t="s">
        <v>1329</v>
      </c>
      <c r="D17" s="2">
        <v>0.97141820192337036</v>
      </c>
      <c r="E17" s="2">
        <v>0.97176307439804077</v>
      </c>
      <c r="F17" s="2">
        <v>0.97159057855606079</v>
      </c>
      <c r="G17" s="2">
        <v>0.37014630843965263</v>
      </c>
      <c r="H17" s="2">
        <f t="shared" si="0"/>
        <v>1188</v>
      </c>
      <c r="I17" s="29" t="str">
        <f t="shared" si="1"/>
        <v>carbon steel as the reactor material.</v>
      </c>
      <c r="J17" s="29" t="str">
        <f t="shared" si="2"/>
        <v>carbon steel</v>
      </c>
      <c r="K17" s="2">
        <f t="shared" si="3"/>
        <v>1191</v>
      </c>
      <c r="L17" s="29" t="str">
        <f t="shared" si="4"/>
        <v xml:space="preserve">carbon steel as the reactor material.
</v>
      </c>
      <c r="M17" s="29" t="str">
        <f t="shared" si="5"/>
        <v>carbon steel</v>
      </c>
    </row>
    <row r="18" spans="1:13" x14ac:dyDescent="0.3">
      <c r="A18" s="2" t="s">
        <v>1328</v>
      </c>
      <c r="B18" s="2" t="s">
        <v>2016</v>
      </c>
      <c r="C18" s="2" t="s">
        <v>1327</v>
      </c>
      <c r="D18" s="2">
        <v>0.97854036092758179</v>
      </c>
      <c r="E18" s="2">
        <v>0.97845399379730225</v>
      </c>
      <c r="F18" s="2">
        <v>0.9784972071647644</v>
      </c>
      <c r="G18" s="2">
        <v>0.1097318768619663</v>
      </c>
      <c r="H18" s="2">
        <f t="shared" si="0"/>
        <v>1182</v>
      </c>
      <c r="I18" s="29" t="str">
        <f t="shared" si="1"/>
        <v>carbon steel as the reactor material.</v>
      </c>
      <c r="J18" s="29" t="str">
        <f t="shared" si="2"/>
        <v>carbon steel</v>
      </c>
      <c r="K18" s="2">
        <f t="shared" si="3"/>
        <v>1182</v>
      </c>
      <c r="L18" s="29" t="str">
        <f t="shared" si="4"/>
        <v xml:space="preserve">carbon steel as the reactor material.
</v>
      </c>
      <c r="M18" s="29" t="str">
        <f t="shared" si="5"/>
        <v>carbon steel</v>
      </c>
    </row>
    <row r="19" spans="1:13" x14ac:dyDescent="0.3">
      <c r="A19" s="2" t="s">
        <v>1326</v>
      </c>
      <c r="B19" s="2" t="s">
        <v>2015</v>
      </c>
      <c r="C19" s="2" t="s">
        <v>1325</v>
      </c>
      <c r="D19" s="2">
        <v>0.98099339008331299</v>
      </c>
      <c r="E19" s="2">
        <v>0.98108184337615967</v>
      </c>
      <c r="F19" s="2">
        <v>0.98103761672973633</v>
      </c>
      <c r="G19" s="2">
        <v>0.58770390124106653</v>
      </c>
      <c r="H19" s="2">
        <f t="shared" si="0"/>
        <v>1123</v>
      </c>
      <c r="I19" s="29" t="str">
        <f t="shared" si="1"/>
        <v>carbon steel as the reactor material.</v>
      </c>
      <c r="J19" s="29" t="str">
        <f t="shared" si="2"/>
        <v>carbon steel</v>
      </c>
      <c r="K19" s="2">
        <f t="shared" si="3"/>
        <v>1118</v>
      </c>
      <c r="L19" s="29" t="str">
        <f t="shared" si="4"/>
        <v xml:space="preserve">carbon steel as the reactor material.
</v>
      </c>
      <c r="M19" s="29" t="str">
        <f t="shared" si="5"/>
        <v>carbon steel</v>
      </c>
    </row>
    <row r="20" spans="1:13" x14ac:dyDescent="0.3">
      <c r="A20" s="2" t="s">
        <v>1324</v>
      </c>
      <c r="B20" s="2" t="s">
        <v>2014</v>
      </c>
      <c r="C20" s="2" t="s">
        <v>1323</v>
      </c>
      <c r="D20" s="2">
        <v>0.98973113298416138</v>
      </c>
      <c r="E20" s="2">
        <v>0.98978418111801147</v>
      </c>
      <c r="F20" s="2">
        <v>0.98975765705108643</v>
      </c>
      <c r="G20" s="2">
        <v>0.1780957862038943</v>
      </c>
      <c r="H20" s="2">
        <f t="shared" si="0"/>
        <v>1181</v>
      </c>
      <c r="I20" s="29" t="str">
        <f t="shared" si="1"/>
        <v>carbon steel as the reactor material.</v>
      </c>
      <c r="J20" s="29" t="str">
        <f t="shared" si="2"/>
        <v>carbon steel</v>
      </c>
      <c r="K20" s="2">
        <f t="shared" si="3"/>
        <v>1181</v>
      </c>
      <c r="L20" s="29" t="str">
        <f t="shared" si="4"/>
        <v xml:space="preserve">carbon steel as the reactor material.
</v>
      </c>
      <c r="M20" s="29" t="str">
        <f t="shared" si="5"/>
        <v>carbon steel</v>
      </c>
    </row>
    <row r="21" spans="1:13" x14ac:dyDescent="0.3">
      <c r="A21" s="2" t="s">
        <v>1322</v>
      </c>
      <c r="B21" s="2" t="s">
        <v>2013</v>
      </c>
      <c r="C21" s="2" t="s">
        <v>1321</v>
      </c>
      <c r="D21" s="2">
        <v>0.9771994948387146</v>
      </c>
      <c r="E21" s="2">
        <v>0.97762978076934814</v>
      </c>
      <c r="F21" s="2">
        <v>0.97741460800170898</v>
      </c>
      <c r="G21" s="2">
        <v>7.7556235170519461E-2</v>
      </c>
      <c r="H21" s="2">
        <f t="shared" si="0"/>
        <v>1183</v>
      </c>
      <c r="I21" s="29" t="str">
        <f t="shared" si="1"/>
        <v>carbon steel as the reactor material.</v>
      </c>
      <c r="J21" s="29" t="str">
        <f t="shared" si="2"/>
        <v>carbon steel</v>
      </c>
      <c r="K21" s="2">
        <f t="shared" si="3"/>
        <v>1183</v>
      </c>
      <c r="L21" s="29" t="str">
        <f t="shared" si="4"/>
        <v xml:space="preserve">carbon steel as the reactor material.
</v>
      </c>
      <c r="M21" s="29" t="str">
        <f t="shared" si="5"/>
        <v>carbon steel</v>
      </c>
    </row>
    <row r="22" spans="1:13" x14ac:dyDescent="0.3">
      <c r="A22" s="2" t="s">
        <v>1320</v>
      </c>
      <c r="B22" s="2" t="s">
        <v>2012</v>
      </c>
      <c r="C22" s="2" t="s">
        <v>1319</v>
      </c>
      <c r="D22" s="2">
        <v>0.96165663003921509</v>
      </c>
      <c r="E22" s="2">
        <v>0.9610142707824707</v>
      </c>
      <c r="F22" s="2">
        <v>0.96133536100387573</v>
      </c>
      <c r="G22" s="2">
        <v>0.37779495105615668</v>
      </c>
      <c r="H22" s="2">
        <f t="shared" si="0"/>
        <v>1183</v>
      </c>
      <c r="I22" s="29" t="str">
        <f t="shared" si="1"/>
        <v>carbon steel as the reactor material.</v>
      </c>
      <c r="J22" s="29" t="str">
        <f t="shared" si="2"/>
        <v>carbon steel</v>
      </c>
      <c r="K22" s="2">
        <f t="shared" si="3"/>
        <v>1186</v>
      </c>
      <c r="L22" s="29" t="str">
        <f t="shared" si="4"/>
        <v xml:space="preserve">carbon steel as the reactor material.
</v>
      </c>
      <c r="M22" s="29" t="str">
        <f t="shared" si="5"/>
        <v>carbon steel</v>
      </c>
    </row>
    <row r="23" spans="1:13" x14ac:dyDescent="0.3">
      <c r="A23" s="2" t="s">
        <v>1318</v>
      </c>
      <c r="B23" s="2" t="s">
        <v>2011</v>
      </c>
      <c r="C23" s="2" t="s">
        <v>1317</v>
      </c>
      <c r="D23" s="2">
        <v>0.97676944732666016</v>
      </c>
      <c r="E23" s="2">
        <v>0.97694933414459229</v>
      </c>
      <c r="F23" s="2">
        <v>0.97685939073562622</v>
      </c>
      <c r="G23" s="2">
        <v>2.6514418424617849E-2</v>
      </c>
      <c r="H23" s="2">
        <f t="shared" si="0"/>
        <v>1168</v>
      </c>
      <c r="I23" s="29" t="str">
        <f t="shared" si="1"/>
        <v>carbon steel as the reactor material.</v>
      </c>
      <c r="J23" s="29" t="str">
        <f t="shared" si="2"/>
        <v>carbon steel</v>
      </c>
      <c r="K23" s="2">
        <f t="shared" si="3"/>
        <v>1175</v>
      </c>
      <c r="L23" s="29" t="str">
        <f t="shared" si="4"/>
        <v xml:space="preserve">carbon steel as the reactor material.
</v>
      </c>
      <c r="M23" s="29" t="str">
        <f t="shared" si="5"/>
        <v>carbon steel</v>
      </c>
    </row>
    <row r="24" spans="1:13" x14ac:dyDescent="0.3">
      <c r="A24" s="2" t="s">
        <v>1316</v>
      </c>
      <c r="B24" s="2" t="s">
        <v>2010</v>
      </c>
      <c r="C24" s="2" t="s">
        <v>1315</v>
      </c>
      <c r="D24" s="2">
        <v>0.9787445068359375</v>
      </c>
      <c r="E24" s="2">
        <v>0.97798693180084229</v>
      </c>
      <c r="F24" s="2">
        <v>0.97836560010910034</v>
      </c>
      <c r="G24" s="2">
        <v>0.58484750162232324</v>
      </c>
      <c r="H24" s="2">
        <f t="shared" si="0"/>
        <v>1176</v>
      </c>
      <c r="I24" s="29" t="str">
        <f t="shared" si="1"/>
        <v>carbon steel as the reactor material.</v>
      </c>
      <c r="J24" s="29" t="str">
        <f t="shared" si="2"/>
        <v>carbon steel</v>
      </c>
      <c r="K24" s="2">
        <f t="shared" si="3"/>
        <v>1173</v>
      </c>
      <c r="L24" s="29" t="str">
        <f t="shared" si="4"/>
        <v xml:space="preserve">carbon steel as the reactor material.
</v>
      </c>
      <c r="M24" s="29" t="str">
        <f t="shared" si="5"/>
        <v>carbon steel</v>
      </c>
    </row>
    <row r="25" spans="1:13" x14ac:dyDescent="0.3">
      <c r="A25" s="2" t="s">
        <v>1314</v>
      </c>
      <c r="B25" s="2" t="s">
        <v>2009</v>
      </c>
      <c r="C25" s="2" t="s">
        <v>1313</v>
      </c>
      <c r="D25" s="2">
        <v>0.97549611330032349</v>
      </c>
      <c r="E25" s="2">
        <v>0.97540491819381714</v>
      </c>
      <c r="F25" s="2">
        <v>0.97545051574707031</v>
      </c>
      <c r="G25" s="2">
        <v>0.31335774544796802</v>
      </c>
      <c r="H25" s="2">
        <f t="shared" si="0"/>
        <v>1180</v>
      </c>
      <c r="I25" s="29" t="str">
        <f t="shared" si="1"/>
        <v>carbon steel as the reactor material.</v>
      </c>
      <c r="J25" s="29" t="str">
        <f t="shared" si="2"/>
        <v>carbon steel</v>
      </c>
      <c r="K25" s="2">
        <f t="shared" si="3"/>
        <v>1180</v>
      </c>
      <c r="L25" s="29" t="str">
        <f t="shared" si="4"/>
        <v xml:space="preserve">carbon steel as the reactor material.
</v>
      </c>
      <c r="M25" s="29" t="str">
        <f t="shared" si="5"/>
        <v>carbon steel</v>
      </c>
    </row>
    <row r="26" spans="1:13" x14ac:dyDescent="0.3">
      <c r="A26" s="2" t="s">
        <v>1312</v>
      </c>
      <c r="B26" s="2" t="s">
        <v>2008</v>
      </c>
      <c r="C26" s="2" t="s">
        <v>1311</v>
      </c>
      <c r="D26" s="2">
        <v>0.97710913419723511</v>
      </c>
      <c r="E26" s="2">
        <v>0.97698390483856201</v>
      </c>
      <c r="F26" s="2">
        <v>0.97704654932022095</v>
      </c>
      <c r="G26" s="2">
        <v>4.398361371018563E-2</v>
      </c>
      <c r="H26" s="2">
        <f t="shared" si="0"/>
        <v>1191</v>
      </c>
      <c r="I26" s="29" t="str">
        <f t="shared" si="1"/>
        <v>carbon steel as the reactor material.</v>
      </c>
      <c r="J26" s="29" t="str">
        <f t="shared" si="2"/>
        <v>carbon steel</v>
      </c>
      <c r="K26" s="2">
        <f t="shared" si="3"/>
        <v>1191</v>
      </c>
      <c r="L26" s="29" t="str">
        <f t="shared" si="4"/>
        <v xml:space="preserve">carbon steel as the reactor material.
</v>
      </c>
      <c r="M26" s="29" t="str">
        <f t="shared" si="5"/>
        <v>carbon steel</v>
      </c>
    </row>
    <row r="27" spans="1:13" x14ac:dyDescent="0.3">
      <c r="A27" s="2" t="s">
        <v>1310</v>
      </c>
      <c r="B27" s="2" t="s">
        <v>2007</v>
      </c>
      <c r="C27" s="2" t="s">
        <v>1309</v>
      </c>
      <c r="D27" s="2">
        <v>0.96377182006835938</v>
      </c>
      <c r="E27" s="2">
        <v>0.96356552839279175</v>
      </c>
      <c r="F27" s="2">
        <v>0.96366864442825317</v>
      </c>
      <c r="G27" s="2">
        <v>3.9986481538851502E-2</v>
      </c>
      <c r="H27" s="2">
        <f t="shared" si="0"/>
        <v>1181</v>
      </c>
      <c r="I27" s="29" t="str">
        <f t="shared" si="1"/>
        <v>carbon steel as the reactor material.</v>
      </c>
      <c r="J27" s="29" t="str">
        <f t="shared" si="2"/>
        <v>carbon steel</v>
      </c>
      <c r="K27" s="2">
        <f t="shared" si="3"/>
        <v>1187</v>
      </c>
      <c r="L27" s="29" t="str">
        <f t="shared" si="4"/>
        <v xml:space="preserve">carbon steel as the reactor material.
</v>
      </c>
      <c r="M27" s="29" t="str">
        <f t="shared" si="5"/>
        <v>carbon steel</v>
      </c>
    </row>
    <row r="28" spans="1:13" x14ac:dyDescent="0.3">
      <c r="A28" s="2" t="s">
        <v>1308</v>
      </c>
      <c r="B28" s="2" t="s">
        <v>2006</v>
      </c>
      <c r="C28" s="2" t="s">
        <v>1307</v>
      </c>
      <c r="D28" s="2">
        <v>0.9752497673034668</v>
      </c>
      <c r="E28" s="2">
        <v>0.97560983896255493</v>
      </c>
      <c r="F28" s="2">
        <v>0.97542983293533325</v>
      </c>
      <c r="G28" s="2">
        <v>0.13961308428807351</v>
      </c>
      <c r="H28" s="2">
        <f t="shared" si="0"/>
        <v>1185</v>
      </c>
      <c r="I28" s="29" t="str">
        <f t="shared" si="1"/>
        <v>carbon steel as the reactor material.</v>
      </c>
      <c r="J28" s="29" t="str">
        <f t="shared" si="2"/>
        <v>carbon steel</v>
      </c>
      <c r="K28" s="2">
        <f t="shared" si="3"/>
        <v>1185</v>
      </c>
      <c r="L28" s="29" t="str">
        <f t="shared" si="4"/>
        <v xml:space="preserve">carbon steel as the reactor material.
</v>
      </c>
      <c r="M28" s="29" t="str">
        <f t="shared" si="5"/>
        <v>carbon steel</v>
      </c>
    </row>
    <row r="29" spans="1:13" x14ac:dyDescent="0.3">
      <c r="A29" s="2" t="s">
        <v>1306</v>
      </c>
      <c r="B29" s="2" t="s">
        <v>2005</v>
      </c>
      <c r="C29" s="2" t="s">
        <v>1305</v>
      </c>
      <c r="D29" s="2">
        <v>0.9844200611114502</v>
      </c>
      <c r="E29" s="2">
        <v>0.98444229364395142</v>
      </c>
      <c r="F29" s="2">
        <v>0.98443120718002319</v>
      </c>
      <c r="G29" s="2">
        <v>5.5582314667301933</v>
      </c>
      <c r="H29" s="2">
        <f t="shared" si="0"/>
        <v>1181</v>
      </c>
      <c r="I29" s="29" t="str">
        <f t="shared" si="1"/>
        <v>carbon steel as the reactor material.</v>
      </c>
      <c r="J29" s="29" t="str">
        <f t="shared" si="2"/>
        <v>carbon steel</v>
      </c>
      <c r="K29" s="2">
        <f t="shared" si="3"/>
        <v>1181</v>
      </c>
      <c r="L29" s="29" t="str">
        <f t="shared" si="4"/>
        <v xml:space="preserve">carbon steel as the reactor material.
</v>
      </c>
      <c r="M29" s="29" t="str">
        <f t="shared" si="5"/>
        <v>carbon steel</v>
      </c>
    </row>
    <row r="30" spans="1:13" x14ac:dyDescent="0.3">
      <c r="A30" s="2" t="s">
        <v>1304</v>
      </c>
      <c r="B30" s="2" t="s">
        <v>2004</v>
      </c>
      <c r="C30" s="2" t="s">
        <v>1303</v>
      </c>
      <c r="D30" s="2">
        <v>0.98312580585479736</v>
      </c>
      <c r="E30" s="2">
        <v>0.98338031768798828</v>
      </c>
      <c r="F30" s="2">
        <v>0.98325306177139282</v>
      </c>
      <c r="G30" s="2">
        <v>0.11684730541416399</v>
      </c>
      <c r="H30" s="2">
        <f t="shared" si="0"/>
        <v>1185</v>
      </c>
      <c r="I30" s="29" t="str">
        <f t="shared" si="1"/>
        <v>carbon steel as the reactor material.</v>
      </c>
      <c r="J30" s="29" t="str">
        <f t="shared" si="2"/>
        <v>carbon steel</v>
      </c>
      <c r="K30" s="2">
        <f t="shared" si="3"/>
        <v>1187</v>
      </c>
      <c r="L30" s="29" t="str">
        <f t="shared" si="4"/>
        <v xml:space="preserve">carbon steel as the reactor material.
</v>
      </c>
      <c r="M30" s="29" t="str">
        <f t="shared" si="5"/>
        <v>carbon steel</v>
      </c>
    </row>
    <row r="31" spans="1:13" x14ac:dyDescent="0.3">
      <c r="A31" s="2" t="s">
        <v>1302</v>
      </c>
      <c r="B31" s="2" t="s">
        <v>2003</v>
      </c>
      <c r="C31" s="2" t="s">
        <v>1301</v>
      </c>
      <c r="D31" s="2">
        <v>0.98429441452026367</v>
      </c>
      <c r="E31" s="2">
        <v>0.98425799608230591</v>
      </c>
      <c r="F31" s="2">
        <v>0.98427623510360718</v>
      </c>
      <c r="G31" s="2">
        <v>0.13934260939705581</v>
      </c>
      <c r="H31" s="2">
        <f t="shared" si="0"/>
        <v>1171</v>
      </c>
      <c r="I31" s="29" t="str">
        <f t="shared" si="1"/>
        <v>carbon steel as the reactor material.</v>
      </c>
      <c r="J31" s="29" t="str">
        <f t="shared" si="2"/>
        <v>carbon steel</v>
      </c>
      <c r="K31" s="2">
        <f t="shared" si="3"/>
        <v>1174</v>
      </c>
      <c r="L31" s="29" t="str">
        <f t="shared" si="4"/>
        <v xml:space="preserve">carbon steel as the reactor material.
</v>
      </c>
      <c r="M31" s="29" t="str">
        <f t="shared" si="5"/>
        <v>carbon steel</v>
      </c>
    </row>
    <row r="32" spans="1:13" x14ac:dyDescent="0.3">
      <c r="A32" s="2" t="s">
        <v>1300</v>
      </c>
      <c r="B32" s="2" t="s">
        <v>2002</v>
      </c>
      <c r="C32" s="2" t="s">
        <v>1299</v>
      </c>
      <c r="D32" s="2">
        <v>0.95729422569274902</v>
      </c>
      <c r="E32" s="2">
        <v>0.96471983194351196</v>
      </c>
      <c r="F32" s="2">
        <v>0.96099275350570679</v>
      </c>
      <c r="G32" s="2">
        <v>4.2867830423940143</v>
      </c>
      <c r="H32" s="2">
        <f t="shared" si="0"/>
        <v>938</v>
      </c>
      <c r="I32" s="29" t="str">
        <f t="shared" si="1"/>
        <v>stainless steel as the reactor material.</v>
      </c>
      <c r="J32" s="29" t="str">
        <f t="shared" si="2"/>
        <v>stainless steel</v>
      </c>
      <c r="K32" s="2">
        <f t="shared" si="3"/>
        <v>935</v>
      </c>
      <c r="L32" s="29" t="str">
        <f t="shared" si="4"/>
        <v xml:space="preserve">stainless steel as the reactor material.
</v>
      </c>
      <c r="M32" s="29" t="str">
        <f t="shared" si="5"/>
        <v>stainless steel</v>
      </c>
    </row>
    <row r="33" spans="1:13" x14ac:dyDescent="0.3">
      <c r="A33" s="2" t="s">
        <v>1298</v>
      </c>
      <c r="B33" s="2" t="s">
        <v>2001</v>
      </c>
      <c r="C33" s="2" t="s">
        <v>1297</v>
      </c>
      <c r="D33" s="2">
        <v>0.96815234422683716</v>
      </c>
      <c r="E33" s="2">
        <v>0.97394084930419922</v>
      </c>
      <c r="F33" s="2">
        <v>0.97103798389434814</v>
      </c>
      <c r="G33" s="2">
        <v>0.28881889763779528</v>
      </c>
      <c r="H33" s="2">
        <f t="shared" si="0"/>
        <v>953</v>
      </c>
      <c r="I33" s="29" t="str">
        <f t="shared" si="1"/>
        <v>stainless steel as the reactor material.</v>
      </c>
      <c r="J33" s="29" t="str">
        <f t="shared" si="2"/>
        <v>stainless steel</v>
      </c>
      <c r="K33" s="2">
        <f t="shared" si="3"/>
        <v>954</v>
      </c>
      <c r="L33" s="29" t="str">
        <f t="shared" si="4"/>
        <v xml:space="preserve">stainless steel as the reactor material.
</v>
      </c>
      <c r="M33" s="29" t="str">
        <f t="shared" si="5"/>
        <v>stainless steel</v>
      </c>
    </row>
    <row r="34" spans="1:13" x14ac:dyDescent="0.3">
      <c r="A34" s="2" t="s">
        <v>1296</v>
      </c>
      <c r="B34" s="2" t="s">
        <v>2000</v>
      </c>
      <c r="C34" s="2" t="s">
        <v>1295</v>
      </c>
      <c r="D34" s="2">
        <v>0.972908616065979</v>
      </c>
      <c r="E34" s="2">
        <v>0.97588729858398438</v>
      </c>
      <c r="F34" s="2">
        <v>0.97439569234848022</v>
      </c>
      <c r="G34" s="2">
        <v>0.50695998011434262</v>
      </c>
      <c r="H34" s="2">
        <f t="shared" si="0"/>
        <v>940</v>
      </c>
      <c r="I34" s="29" t="str">
        <f t="shared" si="1"/>
        <v>stainless steel as the reactor material.</v>
      </c>
      <c r="J34" s="29" t="str">
        <f t="shared" si="2"/>
        <v>stainless steel</v>
      </c>
      <c r="K34" s="2">
        <f t="shared" si="3"/>
        <v>934</v>
      </c>
      <c r="L34" s="29" t="str">
        <f t="shared" si="4"/>
        <v xml:space="preserve">stainless steel as the reactor material.
</v>
      </c>
      <c r="M34" s="29" t="str">
        <f t="shared" si="5"/>
        <v>stainless steel</v>
      </c>
    </row>
    <row r="35" spans="1:13" x14ac:dyDescent="0.3">
      <c r="A35" s="2" t="s">
        <v>1294</v>
      </c>
      <c r="B35" s="2" t="s">
        <v>1999</v>
      </c>
      <c r="C35" s="2" t="s">
        <v>1293</v>
      </c>
      <c r="D35" s="2">
        <v>0.95733088254928589</v>
      </c>
      <c r="E35" s="2">
        <v>0.96641045808792114</v>
      </c>
      <c r="F35" s="2">
        <v>0.96184927225112915</v>
      </c>
      <c r="G35" s="2">
        <v>3.0005797101449279</v>
      </c>
      <c r="H35" s="2">
        <f t="shared" si="0"/>
        <v>933</v>
      </c>
      <c r="I35" s="29" t="str">
        <f t="shared" si="1"/>
        <v>stainless steel as the reactor material.</v>
      </c>
      <c r="J35" s="29" t="str">
        <f t="shared" si="2"/>
        <v>stainless steel</v>
      </c>
      <c r="K35" s="2">
        <f t="shared" si="3"/>
        <v>933</v>
      </c>
      <c r="L35" s="29" t="str">
        <f t="shared" si="4"/>
        <v xml:space="preserve">stainless steel as the reactor material.
</v>
      </c>
      <c r="M35" s="29" t="str">
        <f t="shared" si="5"/>
        <v>stainless steel</v>
      </c>
    </row>
    <row r="36" spans="1:13" x14ac:dyDescent="0.3">
      <c r="A36" s="2" t="s">
        <v>1292</v>
      </c>
      <c r="B36" s="2" t="s">
        <v>1998</v>
      </c>
      <c r="C36" s="2" t="s">
        <v>1291</v>
      </c>
      <c r="D36" s="2">
        <v>0.98988300561904907</v>
      </c>
      <c r="E36" s="2">
        <v>0.98988300561904907</v>
      </c>
      <c r="F36" s="2">
        <v>0.98988300561904907</v>
      </c>
      <c r="G36" s="2">
        <v>0.19505384922217789</v>
      </c>
      <c r="H36" s="2">
        <f t="shared" si="0"/>
        <v>954</v>
      </c>
      <c r="I36" s="29" t="str">
        <f t="shared" si="1"/>
        <v>stainless steel as the reactor material.</v>
      </c>
      <c r="J36" s="29" t="str">
        <f t="shared" si="2"/>
        <v>stainless steel</v>
      </c>
      <c r="K36" s="2">
        <f t="shared" si="3"/>
        <v>953</v>
      </c>
      <c r="L36" s="29" t="str">
        <f t="shared" si="4"/>
        <v xml:space="preserve">stainless steel as the reactor material.
</v>
      </c>
      <c r="M36" s="29" t="str">
        <f t="shared" si="5"/>
        <v>stainless steel</v>
      </c>
    </row>
    <row r="37" spans="1:13" x14ac:dyDescent="0.3">
      <c r="A37" s="2" t="s">
        <v>1290</v>
      </c>
      <c r="B37" s="2" t="s">
        <v>1997</v>
      </c>
      <c r="C37" s="2" t="s">
        <v>1289</v>
      </c>
      <c r="D37" s="2">
        <v>0.95788896083831787</v>
      </c>
      <c r="E37" s="2">
        <v>0.966746985912323</v>
      </c>
      <c r="F37" s="2">
        <v>0.96229761838912964</v>
      </c>
      <c r="G37" s="2">
        <v>11.408039647577089</v>
      </c>
      <c r="H37" s="2">
        <f t="shared" si="0"/>
        <v>943</v>
      </c>
      <c r="I37" s="29" t="str">
        <f t="shared" si="1"/>
        <v>stainless steel as the reactor material.</v>
      </c>
      <c r="J37" s="29" t="str">
        <f t="shared" si="2"/>
        <v>stainless steel</v>
      </c>
      <c r="K37" s="2">
        <f t="shared" si="3"/>
        <v>934</v>
      </c>
      <c r="L37" s="29" t="str">
        <f t="shared" si="4"/>
        <v xml:space="preserve">stainless steel as the reactor material.
</v>
      </c>
      <c r="M37" s="29" t="str">
        <f t="shared" si="5"/>
        <v>stainless steel</v>
      </c>
    </row>
    <row r="38" spans="1:13" x14ac:dyDescent="0.3">
      <c r="A38" s="2" t="s">
        <v>1288</v>
      </c>
      <c r="B38" s="2" t="s">
        <v>1996</v>
      </c>
      <c r="C38" s="2" t="s">
        <v>1287</v>
      </c>
      <c r="D38" s="2">
        <v>0.96477901935577393</v>
      </c>
      <c r="E38" s="2">
        <v>0.95840102434158325</v>
      </c>
      <c r="F38" s="2">
        <v>0.96157938241958618</v>
      </c>
      <c r="G38" s="2">
        <v>0.72703038919495289</v>
      </c>
      <c r="H38" s="2">
        <f t="shared" si="0"/>
        <v>949</v>
      </c>
      <c r="I38" s="29" t="str">
        <f t="shared" si="1"/>
        <v>stainless steel as the reactor material.</v>
      </c>
      <c r="J38" s="29" t="str">
        <f t="shared" si="2"/>
        <v>stainless steel</v>
      </c>
      <c r="K38" s="2">
        <f t="shared" si="3"/>
        <v>949</v>
      </c>
      <c r="L38" s="29" t="str">
        <f t="shared" si="4"/>
        <v xml:space="preserve">stainless steel as the reactor material.
</v>
      </c>
      <c r="M38" s="29" t="str">
        <f t="shared" si="5"/>
        <v>stainless steel</v>
      </c>
    </row>
    <row r="39" spans="1:13" x14ac:dyDescent="0.3">
      <c r="A39" s="2" t="s">
        <v>1286</v>
      </c>
      <c r="B39" s="2" t="s">
        <v>1995</v>
      </c>
      <c r="C39" s="2" t="s">
        <v>1285</v>
      </c>
      <c r="D39" s="2">
        <v>0.98622655868530273</v>
      </c>
      <c r="E39" s="2">
        <v>0.98680073022842407</v>
      </c>
      <c r="F39" s="2">
        <v>0.98651361465454102</v>
      </c>
      <c r="G39" s="2">
        <v>0.75429662635264172</v>
      </c>
      <c r="H39" s="2">
        <f t="shared" si="0"/>
        <v>949</v>
      </c>
      <c r="I39" s="29" t="str">
        <f t="shared" si="1"/>
        <v>stainless steel as the reactor material.</v>
      </c>
      <c r="J39" s="29" t="str">
        <f t="shared" si="2"/>
        <v>stainless steel</v>
      </c>
      <c r="K39" s="2">
        <f t="shared" si="3"/>
        <v>950</v>
      </c>
      <c r="L39" s="29" t="str">
        <f t="shared" si="4"/>
        <v xml:space="preserve">stainless steel as the reactor material.
</v>
      </c>
      <c r="M39" s="29" t="str">
        <f t="shared" si="5"/>
        <v>stainless steel</v>
      </c>
    </row>
    <row r="40" spans="1:13" x14ac:dyDescent="0.3">
      <c r="A40" s="2" t="s">
        <v>1284</v>
      </c>
      <c r="B40" s="2" t="s">
        <v>1994</v>
      </c>
      <c r="C40" s="2" t="s">
        <v>1283</v>
      </c>
      <c r="D40" s="2">
        <v>0.93301606178283691</v>
      </c>
      <c r="E40" s="2">
        <v>0.91484725475311279</v>
      </c>
      <c r="F40" s="2">
        <v>0.92384231090545654</v>
      </c>
      <c r="G40" s="2">
        <v>0.80550229404916796</v>
      </c>
      <c r="H40" s="2">
        <f t="shared" si="0"/>
        <v>877</v>
      </c>
      <c r="I40" s="29" t="str">
        <f t="shared" si="1"/>
        <v>in the reaction is carbon steel.</v>
      </c>
      <c r="J40" s="29" t="s">
        <v>2345</v>
      </c>
      <c r="K40" s="2">
        <f t="shared" si="3"/>
        <v>935</v>
      </c>
      <c r="L40" s="29" t="str">
        <f t="shared" si="4"/>
        <v xml:space="preserve">stainless steel as the reactor material.
</v>
      </c>
      <c r="M40" s="29" t="str">
        <f t="shared" si="5"/>
        <v>stainless steel</v>
      </c>
    </row>
    <row r="41" spans="1:13" x14ac:dyDescent="0.3">
      <c r="A41" s="2" t="s">
        <v>1282</v>
      </c>
      <c r="B41" s="2" t="s">
        <v>1993</v>
      </c>
      <c r="C41" s="2" t="s">
        <v>1281</v>
      </c>
      <c r="D41" s="2">
        <v>0.97535127401351929</v>
      </c>
      <c r="E41" s="2">
        <v>0.97213602066040039</v>
      </c>
      <c r="F41" s="2">
        <v>0.97374099493026733</v>
      </c>
      <c r="G41" s="2">
        <v>0.18270079435127981</v>
      </c>
      <c r="H41" s="2">
        <f t="shared" si="0"/>
        <v>949</v>
      </c>
      <c r="I41" s="29" t="str">
        <f t="shared" si="1"/>
        <v>stainless steel as the reactor material.</v>
      </c>
      <c r="J41" s="29" t="str">
        <f t="shared" si="2"/>
        <v>stainless steel</v>
      </c>
      <c r="K41" s="2">
        <f t="shared" si="3"/>
        <v>949</v>
      </c>
      <c r="L41" s="29" t="str">
        <f t="shared" si="4"/>
        <v xml:space="preserve">stainless steel as the reactor material.
</v>
      </c>
      <c r="M41" s="29" t="str">
        <f t="shared" si="5"/>
        <v>stainless steel</v>
      </c>
    </row>
    <row r="42" spans="1:13" x14ac:dyDescent="0.3">
      <c r="A42" s="2" t="s">
        <v>1280</v>
      </c>
      <c r="B42" s="2" t="s">
        <v>1992</v>
      </c>
      <c r="C42" s="2" t="s">
        <v>1279</v>
      </c>
      <c r="D42" s="2">
        <v>0.97393250465393066</v>
      </c>
      <c r="E42" s="2">
        <v>0.97755825519561768</v>
      </c>
      <c r="F42" s="2">
        <v>0.97574204206466675</v>
      </c>
      <c r="G42" s="2">
        <v>6.4966121960940579E-2</v>
      </c>
      <c r="H42" s="2">
        <f t="shared" si="0"/>
        <v>950</v>
      </c>
      <c r="I42" s="29" t="str">
        <f t="shared" si="1"/>
        <v>stainless steel as the reactor material.</v>
      </c>
      <c r="J42" s="29" t="str">
        <f t="shared" si="2"/>
        <v>stainless steel</v>
      </c>
      <c r="K42" s="2">
        <f t="shared" si="3"/>
        <v>950</v>
      </c>
      <c r="L42" s="29" t="str">
        <f t="shared" si="4"/>
        <v xml:space="preserve">stainless steel as the reactor material.
</v>
      </c>
      <c r="M42" s="29" t="str">
        <f t="shared" si="5"/>
        <v>stainless steel</v>
      </c>
    </row>
    <row r="43" spans="1:13" x14ac:dyDescent="0.3">
      <c r="A43" s="2" t="s">
        <v>1278</v>
      </c>
      <c r="B43" s="2" t="s">
        <v>1991</v>
      </c>
      <c r="C43" s="2" t="s">
        <v>1277</v>
      </c>
      <c r="D43" s="2">
        <v>0.95997124910354614</v>
      </c>
      <c r="E43" s="2">
        <v>0.9658626914024353</v>
      </c>
      <c r="F43" s="2">
        <v>0.96290796995162964</v>
      </c>
      <c r="G43" s="2">
        <v>1.051394204483324</v>
      </c>
      <c r="H43" s="2">
        <f t="shared" si="0"/>
        <v>951</v>
      </c>
      <c r="I43" s="29" t="str">
        <f t="shared" si="1"/>
        <v>stainless steel as the reactor material.</v>
      </c>
      <c r="J43" s="29" t="str">
        <f t="shared" si="2"/>
        <v>stainless steel</v>
      </c>
      <c r="K43" s="2">
        <f t="shared" si="3"/>
        <v>951</v>
      </c>
      <c r="L43" s="29" t="str">
        <f t="shared" si="4"/>
        <v xml:space="preserve">stainless steel as the reactor material.
</v>
      </c>
      <c r="M43" s="29" t="str">
        <f t="shared" si="5"/>
        <v>stainless steel</v>
      </c>
    </row>
    <row r="44" spans="1:13" x14ac:dyDescent="0.3">
      <c r="A44" s="2" t="s">
        <v>1276</v>
      </c>
      <c r="B44" s="2" t="s">
        <v>1990</v>
      </c>
      <c r="C44" s="2" t="s">
        <v>1275</v>
      </c>
      <c r="D44" s="2">
        <v>0.98777508735656738</v>
      </c>
      <c r="E44" s="2">
        <v>0.98758459091186523</v>
      </c>
      <c r="F44" s="2">
        <v>0.98767977952957153</v>
      </c>
      <c r="G44" s="2">
        <v>0.51280591918042107</v>
      </c>
      <c r="H44" s="2">
        <f t="shared" si="0"/>
        <v>954</v>
      </c>
      <c r="I44" s="29" t="str">
        <f t="shared" si="1"/>
        <v>stainless steel as the reactor material.</v>
      </c>
      <c r="J44" s="29" t="str">
        <f t="shared" si="2"/>
        <v>stainless steel</v>
      </c>
      <c r="K44" s="2">
        <f t="shared" si="3"/>
        <v>949</v>
      </c>
      <c r="L44" s="29" t="str">
        <f t="shared" si="4"/>
        <v xml:space="preserve">stainless steel as the reactor material.
</v>
      </c>
      <c r="M44" s="29" t="str">
        <f t="shared" si="5"/>
        <v>stainless steel</v>
      </c>
    </row>
    <row r="45" spans="1:13" x14ac:dyDescent="0.3">
      <c r="A45" s="2" t="s">
        <v>1274</v>
      </c>
      <c r="B45" s="2" t="s">
        <v>1989</v>
      </c>
      <c r="C45" s="2" t="s">
        <v>1273</v>
      </c>
      <c r="D45" s="2">
        <v>0.95758557319641113</v>
      </c>
      <c r="E45" s="2">
        <v>0.96413338184356689</v>
      </c>
      <c r="F45" s="2">
        <v>0.96084833145141602</v>
      </c>
      <c r="G45" s="2">
        <v>4.3241758241758239</v>
      </c>
      <c r="H45" s="2">
        <f t="shared" si="0"/>
        <v>955</v>
      </c>
      <c r="I45" s="29" t="str">
        <f t="shared" si="1"/>
        <v>stainless steel as the reactor material.</v>
      </c>
      <c r="J45" s="29" t="str">
        <f t="shared" si="2"/>
        <v>stainless steel</v>
      </c>
      <c r="K45" s="2">
        <f t="shared" si="3"/>
        <v>949</v>
      </c>
      <c r="L45" s="29" t="str">
        <f t="shared" si="4"/>
        <v xml:space="preserve">stainless steel as the reactor material.
</v>
      </c>
      <c r="M45" s="29" t="str">
        <f t="shared" si="5"/>
        <v>stainless steel</v>
      </c>
    </row>
    <row r="46" spans="1:13" x14ac:dyDescent="0.3">
      <c r="A46" s="2" t="s">
        <v>1272</v>
      </c>
      <c r="B46" s="2" t="s">
        <v>1988</v>
      </c>
      <c r="C46" s="2" t="s">
        <v>1271</v>
      </c>
      <c r="D46" s="2">
        <v>0.96002709865570068</v>
      </c>
      <c r="E46" s="2">
        <v>0.9657137393951416</v>
      </c>
      <c r="F46" s="2">
        <v>0.96286207437515259</v>
      </c>
      <c r="G46" s="2">
        <v>0.1117068811438785</v>
      </c>
      <c r="H46" s="2">
        <f t="shared" si="0"/>
        <v>949</v>
      </c>
      <c r="I46" s="29" t="str">
        <f t="shared" si="1"/>
        <v>stainless steel as the reactor material.</v>
      </c>
      <c r="J46" s="29" t="str">
        <f t="shared" si="2"/>
        <v>stainless steel</v>
      </c>
      <c r="K46" s="2">
        <f t="shared" si="3"/>
        <v>950</v>
      </c>
      <c r="L46" s="29" t="str">
        <f t="shared" si="4"/>
        <v xml:space="preserve">stainless steel as the reactor material.
</v>
      </c>
      <c r="M46" s="29" t="str">
        <f t="shared" si="5"/>
        <v>stainless steel</v>
      </c>
    </row>
    <row r="47" spans="1:13" x14ac:dyDescent="0.3">
      <c r="A47" s="2" t="s">
        <v>1270</v>
      </c>
      <c r="B47" s="2" t="s">
        <v>1987</v>
      </c>
      <c r="C47" s="2" t="s">
        <v>1269</v>
      </c>
      <c r="D47" s="2">
        <v>0.99164170026779175</v>
      </c>
      <c r="E47" s="2">
        <v>0.99164170026779175</v>
      </c>
      <c r="F47" s="2">
        <v>0.99164170026779175</v>
      </c>
      <c r="G47" s="2">
        <v>0.2189655172413795</v>
      </c>
      <c r="H47" s="2">
        <f t="shared" si="0"/>
        <v>953</v>
      </c>
      <c r="I47" s="29" t="str">
        <f t="shared" si="1"/>
        <v>stainless steel as the reactor material.</v>
      </c>
      <c r="J47" s="29" t="str">
        <f t="shared" si="2"/>
        <v>stainless steel</v>
      </c>
      <c r="K47" s="2">
        <f t="shared" si="3"/>
        <v>952</v>
      </c>
      <c r="L47" s="29" t="str">
        <f t="shared" si="4"/>
        <v xml:space="preserve">stainless steel as the reactor material.
</v>
      </c>
      <c r="M47" s="29" t="str">
        <f t="shared" si="5"/>
        <v>stainless steel</v>
      </c>
    </row>
    <row r="48" spans="1:13" x14ac:dyDescent="0.3">
      <c r="A48" s="2" t="s">
        <v>1268</v>
      </c>
      <c r="B48" s="2" t="s">
        <v>1986</v>
      </c>
      <c r="C48" s="2" t="s">
        <v>1267</v>
      </c>
      <c r="D48" s="2">
        <v>0.97348052263259888</v>
      </c>
      <c r="E48" s="2">
        <v>0.97005641460418701</v>
      </c>
      <c r="F48" s="2">
        <v>0.97176545858383179</v>
      </c>
      <c r="G48" s="2">
        <v>0.1020888496616653</v>
      </c>
      <c r="H48" s="2">
        <f t="shared" si="0"/>
        <v>954</v>
      </c>
      <c r="I48" s="29" t="str">
        <f t="shared" si="1"/>
        <v>stainless steel as the reactor material.</v>
      </c>
      <c r="J48" s="29" t="str">
        <f t="shared" si="2"/>
        <v>stainless steel</v>
      </c>
      <c r="K48" s="2">
        <f t="shared" si="3"/>
        <v>954</v>
      </c>
      <c r="L48" s="29" t="str">
        <f t="shared" si="4"/>
        <v xml:space="preserve">stainless steel as the reactor material.
</v>
      </c>
      <c r="M48" s="29" t="str">
        <f t="shared" si="5"/>
        <v>stainless steel</v>
      </c>
    </row>
    <row r="49" spans="1:13" x14ac:dyDescent="0.3">
      <c r="A49" s="2" t="s">
        <v>1266</v>
      </c>
      <c r="B49" s="2" t="s">
        <v>1985</v>
      </c>
      <c r="C49" s="2" t="s">
        <v>1265</v>
      </c>
      <c r="D49" s="2">
        <v>0.98660635948181152</v>
      </c>
      <c r="E49" s="2">
        <v>0.98662412166595459</v>
      </c>
      <c r="F49" s="2">
        <v>0.98661524057388306</v>
      </c>
      <c r="G49" s="2">
        <v>0.64679080824088753</v>
      </c>
      <c r="H49" s="2">
        <f t="shared" si="0"/>
        <v>939</v>
      </c>
      <c r="I49" s="29" t="str">
        <f t="shared" si="1"/>
        <v>stainless steel as the reactor material.</v>
      </c>
      <c r="J49" s="29" t="str">
        <f t="shared" si="2"/>
        <v>stainless steel</v>
      </c>
      <c r="K49" s="2">
        <f t="shared" si="3"/>
        <v>935</v>
      </c>
      <c r="L49" s="29" t="str">
        <f t="shared" si="4"/>
        <v xml:space="preserve">stainless steel as the reactor material.
</v>
      </c>
      <c r="M49" s="29" t="str">
        <f t="shared" si="5"/>
        <v>stainless steel</v>
      </c>
    </row>
    <row r="50" spans="1:13" x14ac:dyDescent="0.3">
      <c r="A50" s="2" t="s">
        <v>1264</v>
      </c>
      <c r="B50" s="2" t="s">
        <v>1984</v>
      </c>
      <c r="C50" s="2" t="s">
        <v>1263</v>
      </c>
      <c r="D50" s="2">
        <v>0.98666512966156006</v>
      </c>
      <c r="E50" s="2">
        <v>0.98666512966156006</v>
      </c>
      <c r="F50" s="2">
        <v>0.98666512966156006</v>
      </c>
      <c r="G50" s="2">
        <v>1.926310961626649E-2</v>
      </c>
      <c r="H50" s="2">
        <f t="shared" si="0"/>
        <v>933</v>
      </c>
      <c r="I50" s="29" t="str">
        <f t="shared" si="1"/>
        <v>stainless steel as the reactor material.</v>
      </c>
      <c r="J50" s="29" t="str">
        <f t="shared" si="2"/>
        <v>stainless steel</v>
      </c>
      <c r="K50" s="2">
        <f t="shared" si="3"/>
        <v>934</v>
      </c>
      <c r="L50" s="29" t="str">
        <f t="shared" si="4"/>
        <v xml:space="preserve">stainless steel as the reactor material.
</v>
      </c>
      <c r="M50" s="29" t="str">
        <f t="shared" si="5"/>
        <v>stainless steel</v>
      </c>
    </row>
    <row r="51" spans="1:13" x14ac:dyDescent="0.3">
      <c r="A51" s="2" t="s">
        <v>1262</v>
      </c>
      <c r="B51" s="2" t="s">
        <v>1983</v>
      </c>
      <c r="C51" s="2" t="s">
        <v>1261</v>
      </c>
      <c r="D51" s="2">
        <v>0.97851675748825073</v>
      </c>
      <c r="E51" s="2">
        <v>0.97489607334136963</v>
      </c>
      <c r="F51" s="2">
        <v>0.97670310735702515</v>
      </c>
      <c r="G51" s="2">
        <v>0.46296296296296302</v>
      </c>
      <c r="H51" s="2">
        <f t="shared" si="0"/>
        <v>950</v>
      </c>
      <c r="I51" s="29" t="str">
        <f t="shared" si="1"/>
        <v>stainless steel as the reactor material.</v>
      </c>
      <c r="J51" s="29" t="str">
        <f t="shared" si="2"/>
        <v>stainless steel</v>
      </c>
      <c r="K51" s="2">
        <f t="shared" si="3"/>
        <v>950</v>
      </c>
      <c r="L51" s="29" t="str">
        <f t="shared" si="4"/>
        <v xml:space="preserve">stainless steel as the reactor material.
</v>
      </c>
      <c r="M51" s="29" t="str">
        <f t="shared" si="5"/>
        <v>stainless steel</v>
      </c>
    </row>
    <row r="52" spans="1:13" x14ac:dyDescent="0.3">
      <c r="A52" s="2" t="s">
        <v>1260</v>
      </c>
      <c r="B52" s="2" t="s">
        <v>1982</v>
      </c>
      <c r="C52" s="2" t="s">
        <v>1259</v>
      </c>
      <c r="D52" s="2">
        <v>0.9580797553062439</v>
      </c>
      <c r="E52" s="2">
        <v>0.96493375301361084</v>
      </c>
      <c r="F52" s="2">
        <v>0.9614945650100708</v>
      </c>
      <c r="G52" s="2">
        <v>2.1137295081967218</v>
      </c>
      <c r="H52" s="2">
        <f t="shared" si="0"/>
        <v>954</v>
      </c>
      <c r="I52" s="29" t="str">
        <f t="shared" si="1"/>
        <v>stainless steel as the reactor material.</v>
      </c>
      <c r="J52" s="29" t="str">
        <f t="shared" si="2"/>
        <v>stainless steel</v>
      </c>
      <c r="K52" s="2">
        <f t="shared" si="3"/>
        <v>944</v>
      </c>
      <c r="L52" s="29" t="str">
        <f t="shared" si="4"/>
        <v xml:space="preserve">stainless steel as the reactor material.
</v>
      </c>
      <c r="M52" s="29" t="str">
        <f t="shared" si="5"/>
        <v>stainless steel</v>
      </c>
    </row>
    <row r="53" spans="1:13" x14ac:dyDescent="0.3">
      <c r="A53" s="2" t="s">
        <v>1258</v>
      </c>
      <c r="B53" s="2" t="s">
        <v>1981</v>
      </c>
      <c r="C53" s="2" t="s">
        <v>1257</v>
      </c>
      <c r="D53" s="2">
        <v>0.95732522010803223</v>
      </c>
      <c r="E53" s="2">
        <v>0.96367532014846802</v>
      </c>
      <c r="F53" s="2">
        <v>0.96048980951309204</v>
      </c>
      <c r="G53" s="2">
        <v>3.7716186252771622</v>
      </c>
      <c r="H53" s="2">
        <f t="shared" si="0"/>
        <v>951</v>
      </c>
      <c r="I53" s="29" t="str">
        <f t="shared" si="1"/>
        <v>stainless steel as the reactor material.</v>
      </c>
      <c r="J53" s="29" t="str">
        <f t="shared" si="2"/>
        <v>stainless steel</v>
      </c>
      <c r="K53" s="2">
        <f t="shared" si="3"/>
        <v>950</v>
      </c>
      <c r="L53" s="29" t="str">
        <f t="shared" si="4"/>
        <v xml:space="preserve">stainless steel as the reactor material.
</v>
      </c>
      <c r="M53" s="29" t="str">
        <f t="shared" si="5"/>
        <v>stainless steel</v>
      </c>
    </row>
    <row r="54" spans="1:13" x14ac:dyDescent="0.3">
      <c r="A54" s="2" t="s">
        <v>1256</v>
      </c>
      <c r="B54" s="2" t="s">
        <v>1980</v>
      </c>
      <c r="C54" s="2" t="s">
        <v>1255</v>
      </c>
      <c r="D54" s="2">
        <v>0.95536643266677856</v>
      </c>
      <c r="E54" s="2">
        <v>0.96262514591217041</v>
      </c>
      <c r="F54" s="2">
        <v>0.95898199081420898</v>
      </c>
      <c r="G54" s="2">
        <v>3.4372413793103451</v>
      </c>
      <c r="H54" s="2">
        <f t="shared" si="0"/>
        <v>950</v>
      </c>
      <c r="I54" s="29" t="str">
        <f t="shared" si="1"/>
        <v>stainless steel as the reactor material.</v>
      </c>
      <c r="J54" s="29" t="str">
        <f t="shared" si="2"/>
        <v>stainless steel</v>
      </c>
      <c r="K54" s="2">
        <f t="shared" si="3"/>
        <v>949</v>
      </c>
      <c r="L54" s="29" t="str">
        <f t="shared" si="4"/>
        <v xml:space="preserve">stainless steel as the reactor material.
</v>
      </c>
      <c r="M54" s="29" t="str">
        <f t="shared" si="5"/>
        <v>stainless steel</v>
      </c>
    </row>
    <row r="55" spans="1:13" x14ac:dyDescent="0.3">
      <c r="A55" s="2" t="s">
        <v>1254</v>
      </c>
      <c r="B55" s="2" t="s">
        <v>1979</v>
      </c>
      <c r="C55" s="2" t="s">
        <v>1253</v>
      </c>
      <c r="D55" s="2">
        <v>0.98960483074188232</v>
      </c>
      <c r="E55" s="2">
        <v>0.98960483074188232</v>
      </c>
      <c r="F55" s="2">
        <v>0.98960483074188232</v>
      </c>
      <c r="G55" s="2">
        <v>0.24454649827784161</v>
      </c>
      <c r="H55" s="2">
        <f t="shared" si="0"/>
        <v>933</v>
      </c>
      <c r="I55" s="29" t="str">
        <f t="shared" si="1"/>
        <v>stainless steel as the reactor material.</v>
      </c>
      <c r="J55" s="29" t="str">
        <f t="shared" si="2"/>
        <v>stainless steel</v>
      </c>
      <c r="K55" s="2">
        <f t="shared" si="3"/>
        <v>933</v>
      </c>
      <c r="L55" s="29" t="str">
        <f t="shared" si="4"/>
        <v xml:space="preserve">stainless steel as the reactor material.
</v>
      </c>
      <c r="M55" s="29" t="str">
        <f t="shared" si="5"/>
        <v>stainless steel</v>
      </c>
    </row>
    <row r="56" spans="1:13" x14ac:dyDescent="0.3">
      <c r="A56" s="2" t="s">
        <v>1252</v>
      </c>
      <c r="B56" s="2" t="s">
        <v>1978</v>
      </c>
      <c r="C56" s="2" t="s">
        <v>1251</v>
      </c>
      <c r="D56" s="2">
        <v>0.98015308380126953</v>
      </c>
      <c r="E56" s="2">
        <v>0.98037296533584595</v>
      </c>
      <c r="F56" s="2">
        <v>0.98026299476623535</v>
      </c>
      <c r="G56" s="2">
        <v>0.22520107238605891</v>
      </c>
      <c r="H56" s="2">
        <f t="shared" si="0"/>
        <v>954</v>
      </c>
      <c r="I56" s="29" t="str">
        <f t="shared" si="1"/>
        <v>stainless steel as the reactor material.</v>
      </c>
      <c r="J56" s="29" t="str">
        <f t="shared" si="2"/>
        <v>stainless steel</v>
      </c>
      <c r="K56" s="2">
        <f t="shared" si="3"/>
        <v>954</v>
      </c>
      <c r="L56" s="29" t="str">
        <f t="shared" si="4"/>
        <v xml:space="preserve">stainless steel as the reactor material.
</v>
      </c>
      <c r="M56" s="29" t="str">
        <f t="shared" si="5"/>
        <v>stainless steel</v>
      </c>
    </row>
    <row r="57" spans="1:13" x14ac:dyDescent="0.3">
      <c r="A57" s="2" t="s">
        <v>1250</v>
      </c>
      <c r="B57" s="2" t="s">
        <v>1977</v>
      </c>
      <c r="C57" s="2" t="s">
        <v>1249</v>
      </c>
      <c r="D57" s="2">
        <v>0.99086302518844604</v>
      </c>
      <c r="E57" s="2">
        <v>0.99081462621688843</v>
      </c>
      <c r="F57" s="2">
        <v>0.99083882570266724</v>
      </c>
      <c r="G57" s="2">
        <v>0.25318151373074338</v>
      </c>
      <c r="H57" s="2">
        <f t="shared" si="0"/>
        <v>950</v>
      </c>
      <c r="I57" s="29" t="str">
        <f t="shared" si="1"/>
        <v>stainless steel as the reactor material.</v>
      </c>
      <c r="J57" s="29" t="str">
        <f t="shared" si="2"/>
        <v>stainless steel</v>
      </c>
      <c r="K57" s="2">
        <f t="shared" si="3"/>
        <v>950</v>
      </c>
      <c r="L57" s="29" t="str">
        <f t="shared" si="4"/>
        <v xml:space="preserve">stainless steel as the reactor material.
</v>
      </c>
      <c r="M57" s="29" t="str">
        <f t="shared" si="5"/>
        <v>stainless steel</v>
      </c>
    </row>
    <row r="58" spans="1:13" x14ac:dyDescent="0.3">
      <c r="A58" s="2" t="s">
        <v>1248</v>
      </c>
      <c r="B58" s="2" t="s">
        <v>1976</v>
      </c>
      <c r="C58" s="2" t="s">
        <v>1247</v>
      </c>
      <c r="D58" s="2">
        <v>0.96953153610229492</v>
      </c>
      <c r="E58" s="2">
        <v>0.97193598747253418</v>
      </c>
      <c r="F58" s="2">
        <v>0.97073227167129517</v>
      </c>
      <c r="G58" s="2">
        <v>2.0216049382716048</v>
      </c>
      <c r="H58" s="2">
        <f t="shared" si="0"/>
        <v>950</v>
      </c>
      <c r="I58" s="29" t="str">
        <f t="shared" si="1"/>
        <v>stainless steel as the reactor material.</v>
      </c>
      <c r="J58" s="29" t="str">
        <f t="shared" si="2"/>
        <v>stainless steel</v>
      </c>
      <c r="K58" s="2">
        <f t="shared" si="3"/>
        <v>948</v>
      </c>
      <c r="L58" s="29" t="str">
        <f t="shared" si="4"/>
        <v xml:space="preserve">stainless steel as the reactor material.
</v>
      </c>
      <c r="M58" s="29" t="str">
        <f t="shared" si="5"/>
        <v>stainless steel</v>
      </c>
    </row>
    <row r="59" spans="1:13" x14ac:dyDescent="0.3">
      <c r="A59" s="2" t="s">
        <v>1246</v>
      </c>
      <c r="B59" s="2" t="s">
        <v>1975</v>
      </c>
      <c r="C59" s="2" t="s">
        <v>1245</v>
      </c>
      <c r="D59" s="2">
        <v>0.98711258172988892</v>
      </c>
      <c r="E59" s="2">
        <v>0.98693466186523438</v>
      </c>
      <c r="F59" s="2">
        <v>0.98702365159988403</v>
      </c>
      <c r="G59" s="2">
        <v>0.43018335684062059</v>
      </c>
      <c r="H59" s="2">
        <f t="shared" si="0"/>
        <v>934</v>
      </c>
      <c r="I59" s="29" t="str">
        <f t="shared" si="1"/>
        <v>stainless steel as the reactor material.</v>
      </c>
      <c r="J59" s="29" t="str">
        <f t="shared" si="2"/>
        <v>stainless steel</v>
      </c>
      <c r="K59" s="2">
        <f t="shared" si="3"/>
        <v>934</v>
      </c>
      <c r="L59" s="29" t="str">
        <f t="shared" si="4"/>
        <v xml:space="preserve">stainless steel as the reactor material.
</v>
      </c>
      <c r="M59" s="29" t="str">
        <f t="shared" si="5"/>
        <v>stainless steel</v>
      </c>
    </row>
    <row r="60" spans="1:13" x14ac:dyDescent="0.3">
      <c r="A60" s="2" t="s">
        <v>1244</v>
      </c>
      <c r="B60" s="2" t="s">
        <v>1974</v>
      </c>
      <c r="C60" s="2" t="s">
        <v>1243</v>
      </c>
      <c r="D60" s="2">
        <v>0.99021333456039429</v>
      </c>
      <c r="E60" s="2">
        <v>0.99005824327468872</v>
      </c>
      <c r="F60" s="2">
        <v>0.9901357889175415</v>
      </c>
      <c r="G60" s="2">
        <v>1.3185287994448271E-2</v>
      </c>
      <c r="H60" s="2">
        <f t="shared" si="0"/>
        <v>951</v>
      </c>
      <c r="I60" s="29" t="str">
        <f t="shared" si="1"/>
        <v>stainless steel as the reactor material.</v>
      </c>
      <c r="J60" s="29" t="str">
        <f t="shared" si="2"/>
        <v>stainless steel</v>
      </c>
      <c r="K60" s="2">
        <f t="shared" si="3"/>
        <v>951</v>
      </c>
      <c r="L60" s="29" t="str">
        <f t="shared" si="4"/>
        <v xml:space="preserve">stainless steel as the reactor material.
</v>
      </c>
      <c r="M60" s="29" t="str">
        <f t="shared" si="5"/>
        <v>stainless steel</v>
      </c>
    </row>
    <row r="61" spans="1:13" x14ac:dyDescent="0.3">
      <c r="A61" s="2" t="s">
        <v>1242</v>
      </c>
      <c r="B61" s="2" t="s">
        <v>1973</v>
      </c>
      <c r="C61" s="2" t="s">
        <v>1241</v>
      </c>
      <c r="D61" s="2">
        <v>0.97020727396011353</v>
      </c>
      <c r="E61" s="2">
        <v>0.97326052188873291</v>
      </c>
      <c r="F61" s="2">
        <v>0.97173142433166504</v>
      </c>
      <c r="G61" s="2">
        <v>0.83437602897596308</v>
      </c>
      <c r="H61" s="2">
        <f t="shared" si="0"/>
        <v>938</v>
      </c>
      <c r="I61" s="29" t="str">
        <f t="shared" si="1"/>
        <v>stainless steel as the reactor material.</v>
      </c>
      <c r="J61" s="29" t="str">
        <f t="shared" si="2"/>
        <v>stainless steel</v>
      </c>
      <c r="K61" s="2">
        <f t="shared" si="3"/>
        <v>934</v>
      </c>
      <c r="L61" s="29" t="str">
        <f t="shared" si="4"/>
        <v xml:space="preserve">stainless steel as the reactor material.
</v>
      </c>
      <c r="M61" s="29" t="str">
        <f t="shared" si="5"/>
        <v>stainless steel</v>
      </c>
    </row>
    <row r="62" spans="1:13" x14ac:dyDescent="0.3">
      <c r="A62" s="2" t="s">
        <v>1240</v>
      </c>
      <c r="B62" s="2" t="s">
        <v>1972</v>
      </c>
      <c r="C62" s="2" t="s">
        <v>1239</v>
      </c>
      <c r="D62" s="2">
        <v>0.98394215106964111</v>
      </c>
      <c r="E62" s="2">
        <v>0.98386490345001221</v>
      </c>
      <c r="F62" s="2">
        <v>0.98390352725982666</v>
      </c>
      <c r="G62" s="2">
        <v>0.20289332609506999</v>
      </c>
      <c r="H62" s="2">
        <f t="shared" si="0"/>
        <v>1354</v>
      </c>
      <c r="I62" s="29" t="str">
        <f t="shared" si="1"/>
        <v>stainless steel as the reactor material.</v>
      </c>
      <c r="J62" s="29" t="str">
        <f t="shared" si="2"/>
        <v>stainless steel</v>
      </c>
      <c r="K62" s="2">
        <f t="shared" si="3"/>
        <v>1342</v>
      </c>
      <c r="L62" s="29" t="str">
        <f t="shared" si="4"/>
        <v xml:space="preserve">stainless steel as the reactor material.
</v>
      </c>
      <c r="M62" s="29" t="str">
        <f t="shared" si="5"/>
        <v>stainless steel</v>
      </c>
    </row>
    <row r="63" spans="1:13" x14ac:dyDescent="0.3">
      <c r="A63" s="2" t="s">
        <v>1238</v>
      </c>
      <c r="B63" s="2" t="s">
        <v>1971</v>
      </c>
      <c r="C63" s="2" t="s">
        <v>1237</v>
      </c>
      <c r="D63" s="2">
        <v>0.9914555549621582</v>
      </c>
      <c r="E63" s="2">
        <v>0.99089771509170532</v>
      </c>
      <c r="F63" s="2">
        <v>0.99117660522460938</v>
      </c>
      <c r="G63" s="2">
        <v>2.4232462487377801E-2</v>
      </c>
      <c r="H63" s="2">
        <f t="shared" si="0"/>
        <v>1438</v>
      </c>
      <c r="I63" s="29" t="str">
        <f t="shared" si="1"/>
        <v>stainless steel as the reactor material.</v>
      </c>
      <c r="J63" s="29" t="str">
        <f t="shared" si="2"/>
        <v>stainless steel</v>
      </c>
      <c r="K63" s="2">
        <f t="shared" si="3"/>
        <v>1432</v>
      </c>
      <c r="L63" s="29" t="str">
        <f t="shared" si="4"/>
        <v xml:space="preserve">stainless steel as the reactor material.
</v>
      </c>
      <c r="M63" s="29" t="str">
        <f t="shared" si="5"/>
        <v>stainless steel</v>
      </c>
    </row>
    <row r="64" spans="1:13" x14ac:dyDescent="0.3">
      <c r="A64" s="2" t="s">
        <v>1236</v>
      </c>
      <c r="B64" s="2" t="s">
        <v>1970</v>
      </c>
      <c r="C64" s="2" t="s">
        <v>1235</v>
      </c>
      <c r="D64" s="2">
        <v>0.97844254970550537</v>
      </c>
      <c r="E64" s="2">
        <v>0.97763878107070923</v>
      </c>
      <c r="F64" s="2">
        <v>0.97804045677185059</v>
      </c>
      <c r="G64" s="2">
        <v>0.8819746550724743</v>
      </c>
      <c r="H64" s="2">
        <f t="shared" si="0"/>
        <v>1437</v>
      </c>
      <c r="I64" s="29" t="str">
        <f t="shared" si="1"/>
        <v>stainless steel as the reactor material.</v>
      </c>
      <c r="J64" s="29" t="str">
        <f t="shared" si="2"/>
        <v>stainless steel</v>
      </c>
      <c r="K64" s="2">
        <f t="shared" si="3"/>
        <v>1441</v>
      </c>
      <c r="L64" s="29" t="str">
        <f t="shared" si="4"/>
        <v xml:space="preserve">stainless steel as the reactor material.
</v>
      </c>
      <c r="M64" s="29" t="str">
        <f t="shared" si="5"/>
        <v>stainless steel</v>
      </c>
    </row>
    <row r="65" spans="1:13" x14ac:dyDescent="0.3">
      <c r="A65" s="2" t="s">
        <v>1234</v>
      </c>
      <c r="B65" s="2" t="s">
        <v>1969</v>
      </c>
      <c r="C65" s="2" t="s">
        <v>1233</v>
      </c>
      <c r="D65" s="2">
        <v>0.98565280437469482</v>
      </c>
      <c r="E65" s="2">
        <v>0.98512637615203857</v>
      </c>
      <c r="F65" s="2">
        <v>0.98538953065872192</v>
      </c>
      <c r="G65" s="2">
        <v>5.3459861311260223E-2</v>
      </c>
      <c r="H65" s="2">
        <f t="shared" si="0"/>
        <v>1357</v>
      </c>
      <c r="I65" s="29" t="str">
        <f t="shared" si="1"/>
        <v>stainless steel as the reactor material.</v>
      </c>
      <c r="J65" s="29" t="str">
        <f t="shared" si="2"/>
        <v>stainless steel</v>
      </c>
      <c r="K65" s="2">
        <f t="shared" si="3"/>
        <v>1361</v>
      </c>
      <c r="L65" s="29" t="str">
        <f t="shared" si="4"/>
        <v xml:space="preserve">stainless steel as the reactor material.
</v>
      </c>
      <c r="M65" s="29" t="str">
        <f t="shared" si="5"/>
        <v>stainless steel</v>
      </c>
    </row>
    <row r="66" spans="1:13" x14ac:dyDescent="0.3">
      <c r="A66" s="2" t="s">
        <v>1232</v>
      </c>
      <c r="B66" s="2" t="s">
        <v>1968</v>
      </c>
      <c r="C66" s="2" t="s">
        <v>1231</v>
      </c>
      <c r="D66" s="2">
        <v>0.99658030271530151</v>
      </c>
      <c r="E66" s="2">
        <v>0.9965968132019043</v>
      </c>
      <c r="F66" s="2">
        <v>0.99658852815628052</v>
      </c>
      <c r="G66" s="2">
        <v>3.059162604860487E-3</v>
      </c>
      <c r="H66" s="2">
        <f t="shared" si="0"/>
        <v>1448</v>
      </c>
      <c r="I66" s="29" t="str">
        <f t="shared" si="1"/>
        <v>stainless steel as the reactor material.</v>
      </c>
      <c r="J66" s="29" t="str">
        <f t="shared" si="2"/>
        <v>stainless steel</v>
      </c>
      <c r="K66" s="2">
        <f t="shared" si="3"/>
        <v>1447</v>
      </c>
      <c r="L66" s="29" t="str">
        <f t="shared" si="4"/>
        <v xml:space="preserve">stainless steel as the reactor material.
</v>
      </c>
      <c r="M66" s="29" t="str">
        <f t="shared" si="5"/>
        <v>stainless steel</v>
      </c>
    </row>
    <row r="67" spans="1:13" x14ac:dyDescent="0.3">
      <c r="A67" s="2" t="s">
        <v>1230</v>
      </c>
      <c r="B67" s="2" t="s">
        <v>1967</v>
      </c>
      <c r="C67" s="2" t="s">
        <v>1229</v>
      </c>
      <c r="D67" s="2">
        <v>0.97977745532989502</v>
      </c>
      <c r="E67" s="2">
        <v>0.97971343994140625</v>
      </c>
      <c r="F67" s="2">
        <v>0.97974544763565063</v>
      </c>
      <c r="G67" s="2">
        <v>0.14173727125614999</v>
      </c>
      <c r="H67" s="2">
        <f t="shared" ref="H67:H89" si="6">FIND("using",B67)</f>
        <v>1361</v>
      </c>
      <c r="I67" s="29" t="str">
        <f t="shared" ref="I67:I89" si="7">MID(B67,H67+LEN("using "),LEN(B67))</f>
        <v>stainless steel as the reactor material.</v>
      </c>
      <c r="J67" s="29" t="str">
        <f t="shared" ref="J67:J89" si="8">LEFT(I67,FIND(" ",I67,FIND(" ",I67)+1)-1)</f>
        <v>stainless steel</v>
      </c>
      <c r="K67" s="2">
        <f t="shared" ref="K67:K89" si="9">FIND("using",C67)</f>
        <v>1361</v>
      </c>
      <c r="L67" s="29" t="str">
        <f t="shared" ref="L67:L89" si="10">MID(C67,K67+LEN("using "),LEN(C67))</f>
        <v xml:space="preserve">stainless steel as the reactor material.
</v>
      </c>
      <c r="M67" s="29" t="str">
        <f t="shared" ref="M67:M89" si="11">LEFT(L67,FIND(" ",L67,FIND(" ",L67)+1)-1)</f>
        <v>stainless steel</v>
      </c>
    </row>
    <row r="68" spans="1:13" x14ac:dyDescent="0.3">
      <c r="A68" s="2" t="s">
        <v>1228</v>
      </c>
      <c r="B68" s="2" t="s">
        <v>1966</v>
      </c>
      <c r="C68" s="2" t="s">
        <v>1227</v>
      </c>
      <c r="D68" s="2">
        <v>0.99301028251647949</v>
      </c>
      <c r="E68" s="2">
        <v>0.99293708801269531</v>
      </c>
      <c r="F68" s="2">
        <v>0.9929736852645874</v>
      </c>
      <c r="G68" s="2">
        <v>4.0829907461827492E-2</v>
      </c>
      <c r="H68" s="2">
        <f t="shared" si="6"/>
        <v>1437</v>
      </c>
      <c r="I68" s="29" t="str">
        <f t="shared" si="7"/>
        <v>stainless steel as the reactor material.</v>
      </c>
      <c r="J68" s="29" t="str">
        <f t="shared" si="8"/>
        <v>stainless steel</v>
      </c>
      <c r="K68" s="2">
        <f t="shared" si="9"/>
        <v>1438</v>
      </c>
      <c r="L68" s="29" t="str">
        <f t="shared" si="10"/>
        <v xml:space="preserve">stainless steel as the reactor material.
</v>
      </c>
      <c r="M68" s="29" t="str">
        <f t="shared" si="11"/>
        <v>stainless steel</v>
      </c>
    </row>
    <row r="69" spans="1:13" x14ac:dyDescent="0.3">
      <c r="A69" s="2" t="s">
        <v>1226</v>
      </c>
      <c r="B69" s="2" t="s">
        <v>1965</v>
      </c>
      <c r="C69" s="2" t="s">
        <v>1225</v>
      </c>
      <c r="D69" s="2">
        <v>0.98966699838638306</v>
      </c>
      <c r="E69" s="2">
        <v>0.98962849378585815</v>
      </c>
      <c r="F69" s="2">
        <v>0.98964774608612061</v>
      </c>
      <c r="G69" s="2">
        <v>1.6588741792285151E-2</v>
      </c>
      <c r="H69" s="2">
        <f t="shared" si="6"/>
        <v>1350</v>
      </c>
      <c r="I69" s="29" t="str">
        <f t="shared" si="7"/>
        <v>stainless steel as the reactor material.</v>
      </c>
      <c r="J69" s="29" t="str">
        <f t="shared" si="8"/>
        <v>stainless steel</v>
      </c>
      <c r="K69" s="2">
        <f t="shared" si="9"/>
        <v>1352</v>
      </c>
      <c r="L69" s="29" t="str">
        <f t="shared" si="10"/>
        <v xml:space="preserve">stainless steel as the reactor material.
</v>
      </c>
      <c r="M69" s="29" t="str">
        <f t="shared" si="11"/>
        <v>stainless steel</v>
      </c>
    </row>
    <row r="70" spans="1:13" x14ac:dyDescent="0.3">
      <c r="A70" s="2" t="s">
        <v>1224</v>
      </c>
      <c r="B70" s="2" t="s">
        <v>2328</v>
      </c>
      <c r="C70" s="2" t="s">
        <v>2329</v>
      </c>
      <c r="D70" s="2">
        <v>0.96361809968948364</v>
      </c>
      <c r="E70" s="2">
        <v>0.95581614971160889</v>
      </c>
      <c r="F70" s="2">
        <v>0.95970124006271362</v>
      </c>
      <c r="G70" s="2">
        <v>0.99985779656311846</v>
      </c>
      <c r="H70" s="2">
        <f t="shared" si="6"/>
        <v>1432</v>
      </c>
      <c r="I70" s="29" t="str">
        <f t="shared" si="7"/>
        <v>stainless steel as the reactor material.</v>
      </c>
      <c r="J70" s="29" t="str">
        <f t="shared" si="8"/>
        <v>stainless steel</v>
      </c>
      <c r="K70" s="2">
        <f t="shared" si="9"/>
        <v>1348</v>
      </c>
      <c r="L70" s="29" t="str">
        <f t="shared" si="10"/>
        <v xml:space="preserve">stainless steel as the reactor material.
</v>
      </c>
      <c r="M70" s="29" t="str">
        <f t="shared" si="11"/>
        <v>stainless steel</v>
      </c>
    </row>
    <row r="71" spans="1:13" x14ac:dyDescent="0.3">
      <c r="A71" s="2" t="s">
        <v>1222</v>
      </c>
      <c r="B71" s="2" t="s">
        <v>1964</v>
      </c>
      <c r="C71" s="2" t="s">
        <v>1221</v>
      </c>
      <c r="D71" s="2">
        <v>0.97690165042877197</v>
      </c>
      <c r="E71" s="2">
        <v>0.97687321901321411</v>
      </c>
      <c r="F71" s="2">
        <v>0.97688740491867065</v>
      </c>
      <c r="G71" s="2">
        <v>8.3710928843919882E-2</v>
      </c>
      <c r="H71" s="2">
        <f t="shared" si="6"/>
        <v>1359</v>
      </c>
      <c r="I71" s="29" t="str">
        <f t="shared" si="7"/>
        <v>stainless steel as the reactor material.</v>
      </c>
      <c r="J71" s="29" t="str">
        <f t="shared" si="8"/>
        <v>stainless steel</v>
      </c>
      <c r="K71" s="2">
        <f t="shared" si="9"/>
        <v>1359</v>
      </c>
      <c r="L71" s="29" t="str">
        <f t="shared" si="10"/>
        <v xml:space="preserve">stainless steel as the reactor material.
</v>
      </c>
      <c r="M71" s="29" t="str">
        <f t="shared" si="11"/>
        <v>stainless steel</v>
      </c>
    </row>
    <row r="72" spans="1:13" x14ac:dyDescent="0.3">
      <c r="A72" s="2" t="s">
        <v>1220</v>
      </c>
      <c r="B72" s="2" t="s">
        <v>1963</v>
      </c>
      <c r="C72" s="2" t="s">
        <v>1219</v>
      </c>
      <c r="D72" s="2">
        <v>0.986236572265625</v>
      </c>
      <c r="E72" s="2">
        <v>0.98617100715637207</v>
      </c>
      <c r="F72" s="2">
        <v>0.98620378971099854</v>
      </c>
      <c r="G72" s="2">
        <v>0.1635010159706794</v>
      </c>
      <c r="H72" s="2">
        <f t="shared" si="6"/>
        <v>1355</v>
      </c>
      <c r="I72" s="29" t="str">
        <f t="shared" si="7"/>
        <v>stainless steel as the reactor material.</v>
      </c>
      <c r="J72" s="29" t="str">
        <f t="shared" si="8"/>
        <v>stainless steel</v>
      </c>
      <c r="K72" s="2">
        <f t="shared" si="9"/>
        <v>1355</v>
      </c>
      <c r="L72" s="29" t="str">
        <f t="shared" si="10"/>
        <v xml:space="preserve">stainless steel as the reactor material.
</v>
      </c>
      <c r="M72" s="29" t="str">
        <f t="shared" si="11"/>
        <v>stainless steel</v>
      </c>
    </row>
    <row r="73" spans="1:13" x14ac:dyDescent="0.3">
      <c r="A73" s="2" t="s">
        <v>1218</v>
      </c>
      <c r="B73" s="2" t="s">
        <v>1962</v>
      </c>
      <c r="C73" s="2" t="s">
        <v>1217</v>
      </c>
      <c r="D73" s="2">
        <v>0.99247860908508301</v>
      </c>
      <c r="E73" s="2">
        <v>0.99274802207946777</v>
      </c>
      <c r="F73" s="2">
        <v>0.99261331558227539</v>
      </c>
      <c r="G73" s="2">
        <v>8.5761568400136382E-3</v>
      </c>
      <c r="H73" s="2">
        <f t="shared" si="6"/>
        <v>1431</v>
      </c>
      <c r="I73" s="29" t="str">
        <f t="shared" si="7"/>
        <v>stainless steel as the reactor material.</v>
      </c>
      <c r="J73" s="29" t="str">
        <f t="shared" si="8"/>
        <v>stainless steel</v>
      </c>
      <c r="K73" s="2">
        <f t="shared" si="9"/>
        <v>1434</v>
      </c>
      <c r="L73" s="29" t="str">
        <f t="shared" si="10"/>
        <v xml:space="preserve">stainless steel as the reactor material.
</v>
      </c>
      <c r="M73" s="29" t="str">
        <f t="shared" si="11"/>
        <v>stainless steel</v>
      </c>
    </row>
    <row r="74" spans="1:13" x14ac:dyDescent="0.3">
      <c r="A74" s="2" t="s">
        <v>1216</v>
      </c>
      <c r="B74" s="2" t="s">
        <v>1961</v>
      </c>
      <c r="C74" s="2" t="s">
        <v>1215</v>
      </c>
      <c r="D74" s="2">
        <v>0.99407708644866943</v>
      </c>
      <c r="E74" s="2">
        <v>0.99414932727813721</v>
      </c>
      <c r="F74" s="2">
        <v>0.99411320686340332</v>
      </c>
      <c r="G74" s="2">
        <v>4.2210841261922809E-2</v>
      </c>
      <c r="H74" s="2">
        <f t="shared" si="6"/>
        <v>1435</v>
      </c>
      <c r="I74" s="29" t="str">
        <f t="shared" si="7"/>
        <v>stainless steel as the reactor material.</v>
      </c>
      <c r="J74" s="29" t="str">
        <f t="shared" si="8"/>
        <v>stainless steel</v>
      </c>
      <c r="K74" s="2">
        <f t="shared" si="9"/>
        <v>1435</v>
      </c>
      <c r="L74" s="29" t="str">
        <f t="shared" si="10"/>
        <v xml:space="preserve">stainless steel as the reactor material.
</v>
      </c>
      <c r="M74" s="29" t="str">
        <f t="shared" si="11"/>
        <v>stainless steel</v>
      </c>
    </row>
    <row r="75" spans="1:13" x14ac:dyDescent="0.3">
      <c r="A75" s="2" t="s">
        <v>1214</v>
      </c>
      <c r="B75" s="2" t="s">
        <v>1960</v>
      </c>
      <c r="C75" s="2" t="s">
        <v>1213</v>
      </c>
      <c r="D75" s="2">
        <v>0.98035478591918945</v>
      </c>
      <c r="E75" s="2">
        <v>0.98086589574813843</v>
      </c>
      <c r="F75" s="2">
        <v>0.980610191822052</v>
      </c>
      <c r="G75" s="2">
        <v>5.4536136517033547E-2</v>
      </c>
      <c r="H75" s="2">
        <f t="shared" si="6"/>
        <v>1359</v>
      </c>
      <c r="I75" s="29" t="str">
        <f t="shared" si="7"/>
        <v>stainless steel as the reactor material.</v>
      </c>
      <c r="J75" s="29" t="str">
        <f t="shared" si="8"/>
        <v>stainless steel</v>
      </c>
      <c r="K75" s="2">
        <f t="shared" si="9"/>
        <v>1355</v>
      </c>
      <c r="L75" s="29" t="str">
        <f t="shared" si="10"/>
        <v xml:space="preserve">stainless steel as the reactor material.
</v>
      </c>
      <c r="M75" s="29" t="str">
        <f t="shared" si="11"/>
        <v>stainless steel</v>
      </c>
    </row>
    <row r="76" spans="1:13" x14ac:dyDescent="0.3">
      <c r="A76" s="2" t="s">
        <v>1212</v>
      </c>
      <c r="B76" s="2" t="s">
        <v>1959</v>
      </c>
      <c r="C76" s="2" t="s">
        <v>1211</v>
      </c>
      <c r="D76" s="2">
        <v>0.99540114402770996</v>
      </c>
      <c r="E76" s="2">
        <v>0.99581074714660645</v>
      </c>
      <c r="F76" s="2">
        <v>0.99560588598251343</v>
      </c>
      <c r="G76" s="2">
        <v>1.095838298547502E-2</v>
      </c>
      <c r="H76" s="2">
        <f t="shared" si="6"/>
        <v>1438</v>
      </c>
      <c r="I76" s="29" t="str">
        <f t="shared" si="7"/>
        <v>stainless steel as the reactor material.</v>
      </c>
      <c r="J76" s="29" t="str">
        <f t="shared" si="8"/>
        <v>stainless steel</v>
      </c>
      <c r="K76" s="2">
        <f t="shared" si="9"/>
        <v>1438</v>
      </c>
      <c r="L76" s="29" t="str">
        <f t="shared" si="10"/>
        <v xml:space="preserve">stainless steel as the reactor material.
</v>
      </c>
      <c r="M76" s="29" t="str">
        <f t="shared" si="11"/>
        <v>stainless steel</v>
      </c>
    </row>
    <row r="77" spans="1:13" x14ac:dyDescent="0.3">
      <c r="A77" s="2" t="s">
        <v>1210</v>
      </c>
      <c r="B77" s="2" t="s">
        <v>1958</v>
      </c>
      <c r="C77" s="2" t="s">
        <v>1209</v>
      </c>
      <c r="D77" s="2">
        <v>0.995261549949646</v>
      </c>
      <c r="E77" s="2">
        <v>0.99566924571990967</v>
      </c>
      <c r="F77" s="2">
        <v>0.99546533823013306</v>
      </c>
      <c r="G77" s="2">
        <v>2.5534216495926641E-3</v>
      </c>
      <c r="H77" s="2">
        <f t="shared" si="6"/>
        <v>1430</v>
      </c>
      <c r="I77" s="29" t="str">
        <f t="shared" si="7"/>
        <v>stainless steel as the reactor material.</v>
      </c>
      <c r="J77" s="29" t="str">
        <f t="shared" si="8"/>
        <v>stainless steel</v>
      </c>
      <c r="K77" s="2">
        <f t="shared" si="9"/>
        <v>1434</v>
      </c>
      <c r="L77" s="29" t="str">
        <f t="shared" si="10"/>
        <v xml:space="preserve">stainless steel as the reactor material.
</v>
      </c>
      <c r="M77" s="29" t="str">
        <f t="shared" si="11"/>
        <v>stainless steel</v>
      </c>
    </row>
    <row r="78" spans="1:13" x14ac:dyDescent="0.3">
      <c r="A78" s="2" t="s">
        <v>1208</v>
      </c>
      <c r="B78" s="2" t="s">
        <v>1957</v>
      </c>
      <c r="C78" s="2" t="s">
        <v>1207</v>
      </c>
      <c r="D78" s="2">
        <v>0.97961127758026123</v>
      </c>
      <c r="E78" s="2">
        <v>0.98050415515899658</v>
      </c>
      <c r="F78" s="2">
        <v>0.98005753755569458</v>
      </c>
      <c r="G78" s="2">
        <v>7.0243462578899962E-2</v>
      </c>
      <c r="H78" s="2">
        <f t="shared" si="6"/>
        <v>1357</v>
      </c>
      <c r="I78" s="29" t="str">
        <f t="shared" si="7"/>
        <v>stainless steel as the reactor material.</v>
      </c>
      <c r="J78" s="29" t="str">
        <f t="shared" si="8"/>
        <v>stainless steel</v>
      </c>
      <c r="K78" s="2">
        <f t="shared" si="9"/>
        <v>1356</v>
      </c>
      <c r="L78" s="29" t="str">
        <f t="shared" si="10"/>
        <v xml:space="preserve">stainless steel as the reactor material.
</v>
      </c>
      <c r="M78" s="29" t="str">
        <f t="shared" si="11"/>
        <v>stainless steel</v>
      </c>
    </row>
    <row r="79" spans="1:13" x14ac:dyDescent="0.3">
      <c r="A79" s="2" t="s">
        <v>1206</v>
      </c>
      <c r="B79" s="2" t="s">
        <v>1956</v>
      </c>
      <c r="C79" s="2" t="s">
        <v>1205</v>
      </c>
      <c r="D79" s="2">
        <v>0.98536825180053711</v>
      </c>
      <c r="E79" s="2">
        <v>0.9839058518409729</v>
      </c>
      <c r="F79" s="2">
        <v>0.98463654518127441</v>
      </c>
      <c r="G79" s="2">
        <v>3.2609707414402243E-2</v>
      </c>
      <c r="H79" s="2">
        <f t="shared" si="6"/>
        <v>1438</v>
      </c>
      <c r="I79" s="29" t="str">
        <f t="shared" si="7"/>
        <v>stainless steel as the reactor material.</v>
      </c>
      <c r="J79" s="29" t="str">
        <f t="shared" si="8"/>
        <v>stainless steel</v>
      </c>
      <c r="K79" s="2">
        <f t="shared" si="9"/>
        <v>1438</v>
      </c>
      <c r="L79" s="29" t="str">
        <f t="shared" si="10"/>
        <v xml:space="preserve">stainless steel as the reactor material.
</v>
      </c>
      <c r="M79" s="29" t="str">
        <f t="shared" si="11"/>
        <v>stainless steel</v>
      </c>
    </row>
    <row r="80" spans="1:13" x14ac:dyDescent="0.3">
      <c r="A80" s="2" t="s">
        <v>1204</v>
      </c>
      <c r="B80" s="2" t="s">
        <v>1955</v>
      </c>
      <c r="C80" s="2" t="s">
        <v>1203</v>
      </c>
      <c r="D80" s="2">
        <v>0.97730183601379395</v>
      </c>
      <c r="E80" s="2">
        <v>0.97834682464599609</v>
      </c>
      <c r="F80" s="2">
        <v>0.97782409191131592</v>
      </c>
      <c r="G80" s="2">
        <v>1.5960324616771961E-2</v>
      </c>
      <c r="H80" s="2">
        <f t="shared" si="6"/>
        <v>1357</v>
      </c>
      <c r="I80" s="29" t="str">
        <f t="shared" si="7"/>
        <v>stainless steel as the reactor material.</v>
      </c>
      <c r="J80" s="29" t="str">
        <f t="shared" si="8"/>
        <v>stainless steel</v>
      </c>
      <c r="K80" s="2">
        <f t="shared" si="9"/>
        <v>1356</v>
      </c>
      <c r="L80" s="29" t="str">
        <f t="shared" si="10"/>
        <v xml:space="preserve">stainless steel as the reactor material.
</v>
      </c>
      <c r="M80" s="29" t="str">
        <f t="shared" si="11"/>
        <v>stainless steel</v>
      </c>
    </row>
    <row r="81" spans="1:13" x14ac:dyDescent="0.3">
      <c r="A81" s="2" t="s">
        <v>1202</v>
      </c>
      <c r="B81" s="2" t="s">
        <v>1954</v>
      </c>
      <c r="C81" s="2" t="s">
        <v>1201</v>
      </c>
      <c r="D81" s="2">
        <v>0.9942055344581604</v>
      </c>
      <c r="E81" s="2">
        <v>0.9944571852684021</v>
      </c>
      <c r="F81" s="2">
        <v>0.99433135986328125</v>
      </c>
      <c r="G81" s="2">
        <v>2.9154919456761009E-2</v>
      </c>
      <c r="H81" s="2">
        <f t="shared" si="6"/>
        <v>1438</v>
      </c>
      <c r="I81" s="29" t="str">
        <f t="shared" si="7"/>
        <v>stainless steel as the reactor material.</v>
      </c>
      <c r="J81" s="29" t="str">
        <f t="shared" si="8"/>
        <v>stainless steel</v>
      </c>
      <c r="K81" s="2">
        <f t="shared" si="9"/>
        <v>1436</v>
      </c>
      <c r="L81" s="29" t="str">
        <f t="shared" si="10"/>
        <v xml:space="preserve">stainless steel as the reactor material.
</v>
      </c>
      <c r="M81" s="29" t="str">
        <f t="shared" si="11"/>
        <v>stainless steel</v>
      </c>
    </row>
    <row r="82" spans="1:13" x14ac:dyDescent="0.3">
      <c r="A82" s="2" t="s">
        <v>1200</v>
      </c>
      <c r="B82" s="2" t="s">
        <v>1953</v>
      </c>
      <c r="C82" s="2" t="s">
        <v>1199</v>
      </c>
      <c r="D82" s="2">
        <v>0.98257815837860107</v>
      </c>
      <c r="E82" s="2">
        <v>0.9820859432220459</v>
      </c>
      <c r="F82" s="2">
        <v>0.98233199119567871</v>
      </c>
      <c r="G82" s="2">
        <v>2.6307913018233091E-2</v>
      </c>
      <c r="H82" s="2">
        <f t="shared" si="6"/>
        <v>1438</v>
      </c>
      <c r="I82" s="29" t="str">
        <f t="shared" si="7"/>
        <v>stainless steel as the reactor material.</v>
      </c>
      <c r="J82" s="29" t="str">
        <f t="shared" si="8"/>
        <v>stainless steel</v>
      </c>
      <c r="K82" s="2">
        <f t="shared" si="9"/>
        <v>1429</v>
      </c>
      <c r="L82" s="29" t="str">
        <f t="shared" si="10"/>
        <v xml:space="preserve">stainless steel as the reactor material.
</v>
      </c>
      <c r="M82" s="29" t="str">
        <f t="shared" si="11"/>
        <v>stainless steel</v>
      </c>
    </row>
    <row r="83" spans="1:13" x14ac:dyDescent="0.3">
      <c r="A83" s="2" t="s">
        <v>1198</v>
      </c>
      <c r="B83" s="2" t="s">
        <v>1952</v>
      </c>
      <c r="C83" s="2" t="s">
        <v>1197</v>
      </c>
      <c r="D83" s="2">
        <v>0.99274933338165283</v>
      </c>
      <c r="E83" s="2">
        <v>0.99298262596130371</v>
      </c>
      <c r="F83" s="2">
        <v>0.99286597967147827</v>
      </c>
      <c r="G83" s="2">
        <v>1.856213413748465E-2</v>
      </c>
      <c r="H83" s="2">
        <f t="shared" si="6"/>
        <v>1361</v>
      </c>
      <c r="I83" s="29" t="str">
        <f t="shared" si="7"/>
        <v>stainless steel as the reactor material.</v>
      </c>
      <c r="J83" s="29" t="str">
        <f t="shared" si="8"/>
        <v>stainless steel</v>
      </c>
      <c r="K83" s="2">
        <f t="shared" si="9"/>
        <v>1359</v>
      </c>
      <c r="L83" s="29" t="str">
        <f t="shared" si="10"/>
        <v xml:space="preserve">stainless steel as the reactor material.
</v>
      </c>
      <c r="M83" s="29" t="str">
        <f t="shared" si="11"/>
        <v>stainless steel</v>
      </c>
    </row>
    <row r="84" spans="1:13" x14ac:dyDescent="0.3">
      <c r="A84" s="2" t="s">
        <v>1196</v>
      </c>
      <c r="B84" s="2" t="s">
        <v>1951</v>
      </c>
      <c r="C84" s="2" t="s">
        <v>1195</v>
      </c>
      <c r="D84" s="2">
        <v>0.96799594163894653</v>
      </c>
      <c r="E84" s="2">
        <v>0.96957623958587646</v>
      </c>
      <c r="F84" s="2">
        <v>0.96878540515899658</v>
      </c>
      <c r="G84" s="2">
        <v>1.6051917032941419E-2</v>
      </c>
      <c r="H84" s="2">
        <f t="shared" si="6"/>
        <v>1430</v>
      </c>
      <c r="I84" s="29" t="str">
        <f t="shared" si="7"/>
        <v>stainless steel as the reactor material.</v>
      </c>
      <c r="J84" s="29" t="str">
        <f t="shared" si="8"/>
        <v>stainless steel</v>
      </c>
      <c r="K84" s="2">
        <f t="shared" si="9"/>
        <v>1432</v>
      </c>
      <c r="L84" s="29" t="str">
        <f t="shared" si="10"/>
        <v xml:space="preserve">stainless steel as the reactor material.
</v>
      </c>
      <c r="M84" s="29" t="str">
        <f t="shared" si="11"/>
        <v>stainless steel</v>
      </c>
    </row>
    <row r="85" spans="1:13" x14ac:dyDescent="0.3">
      <c r="A85" s="2" t="s">
        <v>1194</v>
      </c>
      <c r="B85" s="2" t="s">
        <v>1950</v>
      </c>
      <c r="C85" s="2" t="s">
        <v>1193</v>
      </c>
      <c r="D85" s="2">
        <v>0.99032461643218994</v>
      </c>
      <c r="E85" s="2">
        <v>0.99039363861083984</v>
      </c>
      <c r="F85" s="2">
        <v>0.99035912752151489</v>
      </c>
      <c r="G85" s="2">
        <v>6.634525313464092E-3</v>
      </c>
      <c r="H85" s="2">
        <f t="shared" si="6"/>
        <v>1428</v>
      </c>
      <c r="I85" s="29" t="str">
        <f t="shared" si="7"/>
        <v>stainless steel as the reactor material.</v>
      </c>
      <c r="J85" s="29" t="str">
        <f t="shared" si="8"/>
        <v>stainless steel</v>
      </c>
      <c r="K85" s="2">
        <f t="shared" si="9"/>
        <v>1432</v>
      </c>
      <c r="L85" s="29" t="str">
        <f t="shared" si="10"/>
        <v xml:space="preserve">stainless steel as the reactor material.
</v>
      </c>
      <c r="M85" s="29" t="str">
        <f t="shared" si="11"/>
        <v>stainless steel</v>
      </c>
    </row>
    <row r="86" spans="1:13" x14ac:dyDescent="0.3">
      <c r="A86" s="2" t="s">
        <v>1192</v>
      </c>
      <c r="B86" s="2" t="s">
        <v>1949</v>
      </c>
      <c r="C86" s="2" t="s">
        <v>1191</v>
      </c>
      <c r="D86" s="2">
        <v>0.98014974594116211</v>
      </c>
      <c r="E86" s="2">
        <v>0.98161214590072632</v>
      </c>
      <c r="F86" s="2">
        <v>0.98088037967681885</v>
      </c>
      <c r="G86" s="2">
        <v>4.818852673078719E-2</v>
      </c>
      <c r="H86" s="2">
        <f t="shared" si="6"/>
        <v>1439</v>
      </c>
      <c r="I86" s="29" t="str">
        <f t="shared" si="7"/>
        <v>stainless steel as the reactor material.</v>
      </c>
      <c r="J86" s="29" t="str">
        <f t="shared" si="8"/>
        <v>stainless steel</v>
      </c>
      <c r="K86" s="2">
        <f t="shared" si="9"/>
        <v>1439</v>
      </c>
      <c r="L86" s="29" t="str">
        <f t="shared" si="10"/>
        <v xml:space="preserve">stainless steel as the reactor material.
</v>
      </c>
      <c r="M86" s="29" t="str">
        <f t="shared" si="11"/>
        <v>stainless steel</v>
      </c>
    </row>
    <row r="87" spans="1:13" x14ac:dyDescent="0.3">
      <c r="A87" s="2" t="s">
        <v>1190</v>
      </c>
      <c r="B87" s="2" t="s">
        <v>1948</v>
      </c>
      <c r="C87" s="2" t="s">
        <v>1189</v>
      </c>
      <c r="D87" s="2">
        <v>0.98302441835403442</v>
      </c>
      <c r="E87" s="2">
        <v>0.98222619295120239</v>
      </c>
      <c r="F87" s="2">
        <v>0.98262512683868408</v>
      </c>
      <c r="G87" s="2">
        <v>9.1769711591444467E-3</v>
      </c>
      <c r="H87" s="2" t="e">
        <f t="shared" si="6"/>
        <v>#VALUE!</v>
      </c>
      <c r="I87" s="29" t="e">
        <f t="shared" si="7"/>
        <v>#VALUE!</v>
      </c>
      <c r="J87" s="29" t="s">
        <v>2344</v>
      </c>
      <c r="K87" s="2">
        <f t="shared" si="9"/>
        <v>1442</v>
      </c>
      <c r="L87" s="29" t="str">
        <f t="shared" si="10"/>
        <v xml:space="preserve">stainless steel as the reactor material.
</v>
      </c>
      <c r="M87" s="29" t="str">
        <f t="shared" si="11"/>
        <v>stainless steel</v>
      </c>
    </row>
    <row r="88" spans="1:13" x14ac:dyDescent="0.3">
      <c r="A88" s="2" t="s">
        <v>1188</v>
      </c>
      <c r="B88" s="2" t="s">
        <v>1947</v>
      </c>
      <c r="C88" s="2" t="s">
        <v>1187</v>
      </c>
      <c r="D88" s="2">
        <v>0.97685086727142334</v>
      </c>
      <c r="E88" s="2">
        <v>0.97745364904403687</v>
      </c>
      <c r="F88" s="2">
        <v>0.97715222835540771</v>
      </c>
      <c r="G88" s="2">
        <v>4.7667502105713917E-2</v>
      </c>
      <c r="H88" s="2">
        <f t="shared" si="6"/>
        <v>1432</v>
      </c>
      <c r="I88" s="29" t="str">
        <f t="shared" si="7"/>
        <v>stainless steel as the reactor material.</v>
      </c>
      <c r="J88" s="29" t="str">
        <f t="shared" si="8"/>
        <v>stainless steel</v>
      </c>
      <c r="K88" s="2">
        <f t="shared" si="9"/>
        <v>1430</v>
      </c>
      <c r="L88" s="29" t="str">
        <f t="shared" si="10"/>
        <v xml:space="preserve">stainless steel as the reactor material.
</v>
      </c>
      <c r="M88" s="29" t="str">
        <f t="shared" si="11"/>
        <v>stainless steel</v>
      </c>
    </row>
    <row r="89" spans="1:13" x14ac:dyDescent="0.3">
      <c r="A89" s="2" t="s">
        <v>1186</v>
      </c>
      <c r="B89" s="2" t="s">
        <v>1946</v>
      </c>
      <c r="C89" s="2" t="s">
        <v>1185</v>
      </c>
      <c r="D89" s="2">
        <v>0.99158233404159546</v>
      </c>
      <c r="E89" s="2">
        <v>0.99186241626739502</v>
      </c>
      <c r="F89" s="2">
        <v>0.99172234535217285</v>
      </c>
      <c r="G89" s="2">
        <v>0.1244245972077465</v>
      </c>
      <c r="H89" s="2">
        <f t="shared" si="6"/>
        <v>1366</v>
      </c>
      <c r="I89" s="29" t="str">
        <f t="shared" si="7"/>
        <v>stainless steel as the reactor material.</v>
      </c>
      <c r="J89" s="29" t="str">
        <f t="shared" si="8"/>
        <v>stainless steel</v>
      </c>
      <c r="K89" s="2">
        <f t="shared" si="9"/>
        <v>1367</v>
      </c>
      <c r="L89" s="29" t="str">
        <f t="shared" si="10"/>
        <v xml:space="preserve">stainless steel as the reactor material.
</v>
      </c>
      <c r="M89" s="29" t="str">
        <f t="shared" si="11"/>
        <v>stainless steel</v>
      </c>
    </row>
    <row r="90" spans="1:13" x14ac:dyDescent="0.3">
      <c r="D90" s="2">
        <f>AVERAGE(D2:D89)</f>
        <v>0.97835212471810251</v>
      </c>
      <c r="E90" s="2">
        <f>AVERAGE(E2:E89)</f>
        <v>0.97884384204040875</v>
      </c>
      <c r="F90" s="2">
        <f>AVERAGE(F2:F89)</f>
        <v>0.97859493236650119</v>
      </c>
      <c r="G90" s="2">
        <v>0.20599999999999999</v>
      </c>
      <c r="M90" s="29">
        <f>86/88</f>
        <v>0.97727272727272729</v>
      </c>
    </row>
    <row r="91" spans="1:13" x14ac:dyDescent="0.3">
      <c r="G91" s="2">
        <v>60</v>
      </c>
    </row>
    <row r="92" spans="1:13" x14ac:dyDescent="0.3">
      <c r="G92" s="2">
        <v>88</v>
      </c>
    </row>
    <row r="93" spans="1:13" x14ac:dyDescent="0.3">
      <c r="G93" s="2">
        <f>G91/G92</f>
        <v>0.68181818181818177</v>
      </c>
    </row>
  </sheetData>
  <autoFilter ref="A1:G90" xr:uid="{A3313DAF-8AA2-4D56-A56C-501E7851F518}"/>
  <phoneticPr fontId="1"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2964E-D009-43D5-89AB-F81B9041453D}">
  <sheetPr filterMode="1"/>
  <dimension ref="A1:M90"/>
  <sheetViews>
    <sheetView topLeftCell="A63" workbookViewId="0">
      <selection activeCell="G2" sqref="G2:G89"/>
    </sheetView>
  </sheetViews>
  <sheetFormatPr defaultRowHeight="14" x14ac:dyDescent="0.3"/>
  <cols>
    <col min="10" max="10" width="16.25" customWidth="1"/>
  </cols>
  <sheetData>
    <row r="1" spans="1:13" x14ac:dyDescent="0.3">
      <c r="A1" s="1" t="s">
        <v>265</v>
      </c>
      <c r="B1" s="1" t="s">
        <v>264</v>
      </c>
      <c r="C1" s="1" t="s">
        <v>263</v>
      </c>
      <c r="D1" s="1" t="s">
        <v>262</v>
      </c>
      <c r="E1" s="1" t="s">
        <v>261</v>
      </c>
      <c r="F1" s="1" t="s">
        <v>260</v>
      </c>
      <c r="G1" s="1" t="s">
        <v>259</v>
      </c>
    </row>
    <row r="2" spans="1:13" x14ac:dyDescent="0.3">
      <c r="A2" t="s">
        <v>1446</v>
      </c>
      <c r="B2" t="s">
        <v>2116</v>
      </c>
      <c r="C2" t="s">
        <v>1357</v>
      </c>
      <c r="D2">
        <v>0.97028034925460815</v>
      </c>
      <c r="E2">
        <v>0.97215890884399414</v>
      </c>
      <c r="F2">
        <v>0.97121870517730713</v>
      </c>
      <c r="G2">
        <v>0.35444256060120061</v>
      </c>
      <c r="H2">
        <f>FIND("using",B2)</f>
        <v>1176</v>
      </c>
      <c r="I2" s="18" t="str">
        <f>MID(B2,H2+LEN("using "),LEN(B2))</f>
        <v>carbon steel as the reactor material.</v>
      </c>
      <c r="J2" s="18" t="str">
        <f>LEFT(I2,FIND(" ",I2,FIND(" ",I2)+1)-1)</f>
        <v>carbon steel</v>
      </c>
      <c r="K2">
        <f>FIND("using",C2)</f>
        <v>1176</v>
      </c>
      <c r="L2" s="18" t="str">
        <f>MID(C2,K2+LEN("using "),LEN(C2))</f>
        <v xml:space="preserve">carbon steel as the reactor material.
</v>
      </c>
      <c r="M2" s="18" t="str">
        <f>LEFT(L2,FIND(" ",L2,FIND(" ",L2)+1)-1)</f>
        <v>carbon steel</v>
      </c>
    </row>
    <row r="3" spans="1:13" x14ac:dyDescent="0.3">
      <c r="A3" t="s">
        <v>1445</v>
      </c>
      <c r="B3" t="s">
        <v>2115</v>
      </c>
      <c r="C3" t="s">
        <v>1356</v>
      </c>
      <c r="D3">
        <v>0.97772812843322754</v>
      </c>
      <c r="E3">
        <v>0.97784644365310669</v>
      </c>
      <c r="F3">
        <v>0.9777873158454895</v>
      </c>
      <c r="G3">
        <v>0.30527118117517849</v>
      </c>
      <c r="H3">
        <f t="shared" ref="H3:H66" si="0">FIND("using",B3)</f>
        <v>1186</v>
      </c>
      <c r="I3" s="18" t="str">
        <f t="shared" ref="I3:I66" si="1">MID(B3,H3+LEN("using "),LEN(B3))</f>
        <v>carbon steel as the reactor material.</v>
      </c>
      <c r="J3" s="18" t="str">
        <f t="shared" ref="J3:J66" si="2">LEFT(I3,FIND(" ",I3,FIND(" ",I3)+1)-1)</f>
        <v>carbon steel</v>
      </c>
      <c r="K3">
        <f t="shared" ref="K3:K66" si="3">FIND("using",C3)</f>
        <v>1189</v>
      </c>
      <c r="L3" s="18" t="str">
        <f t="shared" ref="L3:L66" si="4">MID(C3,K3+LEN("using "),LEN(C3))</f>
        <v xml:space="preserve">carbon steel as the reactor material.
</v>
      </c>
      <c r="M3" s="18" t="str">
        <f t="shared" ref="M3:M66" si="5">LEFT(L3,FIND(" ",L3,FIND(" ",L3)+1)-1)</f>
        <v>carbon steel</v>
      </c>
    </row>
    <row r="4" spans="1:13" x14ac:dyDescent="0.3">
      <c r="A4" t="s">
        <v>1444</v>
      </c>
      <c r="B4" t="s">
        <v>2114</v>
      </c>
      <c r="C4" t="s">
        <v>1354</v>
      </c>
      <c r="D4">
        <v>0.98022890090942383</v>
      </c>
      <c r="E4">
        <v>0.97973394393920898</v>
      </c>
      <c r="F4">
        <v>0.97998136281967163</v>
      </c>
      <c r="G4">
        <v>0.1309174548783065</v>
      </c>
      <c r="H4">
        <f t="shared" si="0"/>
        <v>1191</v>
      </c>
      <c r="I4" s="18" t="str">
        <f t="shared" si="1"/>
        <v>carbon steel as the reactor material.</v>
      </c>
      <c r="J4" s="18" t="str">
        <f t="shared" si="2"/>
        <v>carbon steel</v>
      </c>
      <c r="K4">
        <f t="shared" si="3"/>
        <v>1191</v>
      </c>
      <c r="L4" s="18" t="str">
        <f t="shared" si="4"/>
        <v xml:space="preserve">carbon steel as the reactor material.
</v>
      </c>
      <c r="M4" s="18" t="str">
        <f t="shared" si="5"/>
        <v>carbon steel</v>
      </c>
    </row>
    <row r="5" spans="1:13" x14ac:dyDescent="0.3">
      <c r="A5" t="s">
        <v>1443</v>
      </c>
      <c r="B5" t="s">
        <v>2113</v>
      </c>
      <c r="C5" t="s">
        <v>1353</v>
      </c>
      <c r="D5">
        <v>0.97103035449981689</v>
      </c>
      <c r="E5">
        <v>0.97153913974761963</v>
      </c>
      <c r="F5">
        <v>0.97128468751907349</v>
      </c>
      <c r="G5">
        <v>0.27356750023502868</v>
      </c>
      <c r="H5">
        <f t="shared" si="0"/>
        <v>1123</v>
      </c>
      <c r="I5" s="18" t="str">
        <f t="shared" si="1"/>
        <v>carbon steel as the reactor material.</v>
      </c>
      <c r="J5" s="18" t="str">
        <f t="shared" si="2"/>
        <v>carbon steel</v>
      </c>
      <c r="K5">
        <f t="shared" si="3"/>
        <v>1121</v>
      </c>
      <c r="L5" s="18" t="str">
        <f t="shared" si="4"/>
        <v xml:space="preserve">carbon steel as the reactor material.
</v>
      </c>
      <c r="M5" s="18" t="str">
        <f t="shared" si="5"/>
        <v>carbon steel</v>
      </c>
    </row>
    <row r="6" spans="1:13" x14ac:dyDescent="0.3">
      <c r="A6" t="s">
        <v>1442</v>
      </c>
      <c r="B6" t="s">
        <v>2112</v>
      </c>
      <c r="C6" t="s">
        <v>1351</v>
      </c>
      <c r="D6">
        <v>0.97440123558044434</v>
      </c>
      <c r="E6">
        <v>0.97441637516021729</v>
      </c>
      <c r="F6">
        <v>0.97440880537033081</v>
      </c>
      <c r="G6">
        <v>0.93587513516054721</v>
      </c>
      <c r="H6">
        <f t="shared" si="0"/>
        <v>1118</v>
      </c>
      <c r="I6" s="18" t="str">
        <f t="shared" si="1"/>
        <v>carbon steel as the reactor material.</v>
      </c>
      <c r="J6" s="18" t="str">
        <f t="shared" si="2"/>
        <v>carbon steel</v>
      </c>
      <c r="K6">
        <f t="shared" si="3"/>
        <v>1117</v>
      </c>
      <c r="L6" s="18" t="str">
        <f t="shared" si="4"/>
        <v xml:space="preserve">carbon steel as the reactor material.
</v>
      </c>
      <c r="M6" s="18" t="str">
        <f t="shared" si="5"/>
        <v>carbon steel</v>
      </c>
    </row>
    <row r="7" spans="1:13" x14ac:dyDescent="0.3">
      <c r="A7" t="s">
        <v>1441</v>
      </c>
      <c r="B7" t="s">
        <v>2111</v>
      </c>
      <c r="C7" t="s">
        <v>1349</v>
      </c>
      <c r="D7">
        <v>0.96704864501953125</v>
      </c>
      <c r="E7">
        <v>0.96693593263626099</v>
      </c>
      <c r="F7">
        <v>0.96699231863021851</v>
      </c>
      <c r="G7">
        <v>0.50255557938380147</v>
      </c>
      <c r="H7">
        <f t="shared" si="0"/>
        <v>1189</v>
      </c>
      <c r="I7" s="18" t="str">
        <f t="shared" si="1"/>
        <v>carbon steel as the reactor material.</v>
      </c>
      <c r="J7" s="18" t="str">
        <f t="shared" si="2"/>
        <v>carbon steel</v>
      </c>
      <c r="K7">
        <f t="shared" si="3"/>
        <v>1188</v>
      </c>
      <c r="L7" s="18" t="str">
        <f t="shared" si="4"/>
        <v xml:space="preserve">carbon steel as the reactor material.
</v>
      </c>
      <c r="M7" s="18" t="str">
        <f t="shared" si="5"/>
        <v>carbon steel</v>
      </c>
    </row>
    <row r="8" spans="1:13" x14ac:dyDescent="0.3">
      <c r="A8" t="s">
        <v>1440</v>
      </c>
      <c r="B8" t="s">
        <v>2110</v>
      </c>
      <c r="C8" t="s">
        <v>1347</v>
      </c>
      <c r="D8">
        <v>0.98612779378890991</v>
      </c>
      <c r="E8">
        <v>0.98627501726150513</v>
      </c>
      <c r="F8">
        <v>0.98620140552520752</v>
      </c>
      <c r="G8">
        <v>0.16200671768837899</v>
      </c>
      <c r="H8">
        <f t="shared" si="0"/>
        <v>1176</v>
      </c>
      <c r="I8" s="18" t="str">
        <f t="shared" si="1"/>
        <v>carbon steel as the reactor material.</v>
      </c>
      <c r="J8" s="18" t="str">
        <f t="shared" si="2"/>
        <v>carbon steel</v>
      </c>
      <c r="K8">
        <f t="shared" si="3"/>
        <v>1180</v>
      </c>
      <c r="L8" s="18" t="str">
        <f t="shared" si="4"/>
        <v xml:space="preserve">carbon steel as the reactor material.
</v>
      </c>
      <c r="M8" s="18" t="str">
        <f t="shared" si="5"/>
        <v>carbon steel</v>
      </c>
    </row>
    <row r="9" spans="1:13" x14ac:dyDescent="0.3">
      <c r="A9" t="s">
        <v>1439</v>
      </c>
      <c r="B9" t="s">
        <v>2109</v>
      </c>
      <c r="C9" t="s">
        <v>1345</v>
      </c>
      <c r="D9">
        <v>0.97670853137969971</v>
      </c>
      <c r="E9">
        <v>0.97663873434066772</v>
      </c>
      <c r="F9">
        <v>0.9766736626625061</v>
      </c>
      <c r="G9">
        <v>0.46333685810587533</v>
      </c>
      <c r="H9">
        <f t="shared" si="0"/>
        <v>1182</v>
      </c>
      <c r="I9" s="18" t="str">
        <f t="shared" si="1"/>
        <v>carbon steel as the reactor material.</v>
      </c>
      <c r="J9" s="18" t="str">
        <f t="shared" si="2"/>
        <v>carbon steel</v>
      </c>
      <c r="K9">
        <f t="shared" si="3"/>
        <v>1184</v>
      </c>
      <c r="L9" s="18" t="str">
        <f t="shared" si="4"/>
        <v xml:space="preserve">carbon steel as the reactor material.
</v>
      </c>
      <c r="M9" s="18" t="str">
        <f t="shared" si="5"/>
        <v>carbon steel</v>
      </c>
    </row>
    <row r="10" spans="1:13" x14ac:dyDescent="0.3">
      <c r="A10" t="s">
        <v>1438</v>
      </c>
      <c r="B10" t="s">
        <v>2108</v>
      </c>
      <c r="C10" t="s">
        <v>1343</v>
      </c>
      <c r="D10">
        <v>0.9712444543838501</v>
      </c>
      <c r="E10">
        <v>0.97133553028106689</v>
      </c>
      <c r="F10">
        <v>0.9712899923324585</v>
      </c>
      <c r="G10">
        <v>1.9684348969750021E-2</v>
      </c>
      <c r="H10">
        <f t="shared" si="0"/>
        <v>1180</v>
      </c>
      <c r="I10" s="18" t="str">
        <f t="shared" si="1"/>
        <v>carbon steel as the reactor material.</v>
      </c>
      <c r="J10" s="18" t="str">
        <f t="shared" si="2"/>
        <v>carbon steel</v>
      </c>
      <c r="K10">
        <f t="shared" si="3"/>
        <v>1179</v>
      </c>
      <c r="L10" s="18" t="str">
        <f t="shared" si="4"/>
        <v xml:space="preserve">carbon steel as the reactor material.
</v>
      </c>
      <c r="M10" s="18" t="str">
        <f t="shared" si="5"/>
        <v>carbon steel</v>
      </c>
    </row>
    <row r="11" spans="1:13" x14ac:dyDescent="0.3">
      <c r="A11" t="s">
        <v>1437</v>
      </c>
      <c r="B11" t="s">
        <v>2107</v>
      </c>
      <c r="C11" t="s">
        <v>1341</v>
      </c>
      <c r="D11">
        <v>0.98906946182250977</v>
      </c>
      <c r="E11">
        <v>0.98885971307754517</v>
      </c>
      <c r="F11">
        <v>0.98896461725234985</v>
      </c>
      <c r="G11">
        <v>0.23913548686962591</v>
      </c>
      <c r="H11">
        <f t="shared" si="0"/>
        <v>1168</v>
      </c>
      <c r="I11" s="18" t="str">
        <f t="shared" si="1"/>
        <v>carbon steel as the reactor material.</v>
      </c>
      <c r="J11" s="18" t="str">
        <f t="shared" si="2"/>
        <v>carbon steel</v>
      </c>
      <c r="K11">
        <f t="shared" si="3"/>
        <v>1170</v>
      </c>
      <c r="L11" s="18" t="str">
        <f t="shared" si="4"/>
        <v xml:space="preserve">carbon steel as the reactor material.
</v>
      </c>
      <c r="M11" s="18" t="str">
        <f t="shared" si="5"/>
        <v>carbon steel</v>
      </c>
    </row>
    <row r="12" spans="1:13" x14ac:dyDescent="0.3">
      <c r="A12" t="s">
        <v>1436</v>
      </c>
      <c r="B12" t="s">
        <v>2106</v>
      </c>
      <c r="C12" t="s">
        <v>1339</v>
      </c>
      <c r="D12">
        <v>0.97791415452957153</v>
      </c>
      <c r="E12">
        <v>0.97849607467651367</v>
      </c>
      <c r="F12">
        <v>0.97820508480072021</v>
      </c>
      <c r="G12">
        <v>9.9535717194754486E-2</v>
      </c>
      <c r="H12">
        <f t="shared" si="0"/>
        <v>1179</v>
      </c>
      <c r="I12" s="18" t="str">
        <f t="shared" si="1"/>
        <v>carbon steel as the reactor material.</v>
      </c>
      <c r="J12" s="18" t="str">
        <f t="shared" si="2"/>
        <v>carbon steel</v>
      </c>
      <c r="K12">
        <f t="shared" si="3"/>
        <v>1180</v>
      </c>
      <c r="L12" s="18" t="str">
        <f t="shared" si="4"/>
        <v xml:space="preserve">carbon steel as the reactor material.
</v>
      </c>
      <c r="M12" s="18" t="str">
        <f t="shared" si="5"/>
        <v>carbon steel</v>
      </c>
    </row>
    <row r="13" spans="1:13" x14ac:dyDescent="0.3">
      <c r="A13" t="s">
        <v>1435</v>
      </c>
      <c r="B13" t="s">
        <v>2105</v>
      </c>
      <c r="C13" t="s">
        <v>1337</v>
      </c>
      <c r="D13">
        <v>0.97551238536834717</v>
      </c>
      <c r="E13">
        <v>0.97458624839782715</v>
      </c>
      <c r="F13">
        <v>0.97504907846450806</v>
      </c>
      <c r="G13">
        <v>0.33798247374406309</v>
      </c>
      <c r="H13">
        <f t="shared" si="0"/>
        <v>1181</v>
      </c>
      <c r="I13" s="18" t="str">
        <f t="shared" si="1"/>
        <v>carbon steel as the reactor material.</v>
      </c>
      <c r="J13" s="18" t="str">
        <f t="shared" si="2"/>
        <v>carbon steel</v>
      </c>
      <c r="K13">
        <f t="shared" si="3"/>
        <v>1176</v>
      </c>
      <c r="L13" s="18" t="str">
        <f t="shared" si="4"/>
        <v xml:space="preserve">carbon steel as the reactor material.
</v>
      </c>
      <c r="M13" s="18" t="str">
        <f t="shared" si="5"/>
        <v>carbon steel</v>
      </c>
    </row>
    <row r="14" spans="1:13" hidden="1" x14ac:dyDescent="0.3">
      <c r="A14" t="s">
        <v>1434</v>
      </c>
      <c r="B14" t="s">
        <v>2104</v>
      </c>
      <c r="C14" t="s">
        <v>1335</v>
      </c>
      <c r="D14">
        <v>0.83334809541702271</v>
      </c>
      <c r="E14">
        <v>0.84191858768463135</v>
      </c>
      <c r="F14">
        <v>0.83761143684387207</v>
      </c>
      <c r="G14">
        <v>3.242598697392113</v>
      </c>
      <c r="H14">
        <f t="shared" si="0"/>
        <v>1086</v>
      </c>
      <c r="I14" s="18" t="str">
        <f t="shared" si="1"/>
        <v>carbon steel as the reactor material.</v>
      </c>
      <c r="J14" s="18" t="str">
        <f t="shared" si="2"/>
        <v>carbon steel</v>
      </c>
      <c r="K14">
        <f t="shared" si="3"/>
        <v>1186</v>
      </c>
      <c r="L14" s="18" t="str">
        <f t="shared" si="4"/>
        <v xml:space="preserve">carbon steel as the reactor material.
</v>
      </c>
      <c r="M14" s="18" t="str">
        <f t="shared" si="5"/>
        <v>carbon steel</v>
      </c>
    </row>
    <row r="15" spans="1:13" x14ac:dyDescent="0.3">
      <c r="A15" t="s">
        <v>1433</v>
      </c>
      <c r="B15" t="s">
        <v>2103</v>
      </c>
      <c r="C15" t="s">
        <v>1333</v>
      </c>
      <c r="D15">
        <v>0.97667604684829712</v>
      </c>
      <c r="E15">
        <v>0.97719740867614746</v>
      </c>
      <c r="F15">
        <v>0.9769366979598999</v>
      </c>
      <c r="G15">
        <v>0.74247889418798341</v>
      </c>
      <c r="H15">
        <f t="shared" si="0"/>
        <v>1133</v>
      </c>
      <c r="I15" s="18" t="str">
        <f t="shared" si="1"/>
        <v>carbon steel as the reactor material.</v>
      </c>
      <c r="J15" s="18" t="str">
        <f t="shared" si="2"/>
        <v>carbon steel</v>
      </c>
      <c r="K15">
        <f t="shared" si="3"/>
        <v>1136</v>
      </c>
      <c r="L15" s="18" t="str">
        <f t="shared" si="4"/>
        <v xml:space="preserve">carbon steel as the reactor material.
</v>
      </c>
      <c r="M15" s="18" t="str">
        <f t="shared" si="5"/>
        <v>carbon steel</v>
      </c>
    </row>
    <row r="16" spans="1:13" x14ac:dyDescent="0.3">
      <c r="A16" t="s">
        <v>1432</v>
      </c>
      <c r="B16" t="s">
        <v>2102</v>
      </c>
      <c r="C16" t="s">
        <v>1331</v>
      </c>
      <c r="D16">
        <v>0.98510569334030151</v>
      </c>
      <c r="E16">
        <v>0.98518139123916626</v>
      </c>
      <c r="F16">
        <v>0.98514354228973389</v>
      </c>
      <c r="G16">
        <v>0.25416465592124299</v>
      </c>
      <c r="H16">
        <f t="shared" si="0"/>
        <v>1186</v>
      </c>
      <c r="I16" s="18" t="str">
        <f t="shared" si="1"/>
        <v>carbon steel as the reactor material.</v>
      </c>
      <c r="J16" s="18" t="str">
        <f t="shared" si="2"/>
        <v>carbon steel</v>
      </c>
      <c r="K16">
        <f t="shared" si="3"/>
        <v>1184</v>
      </c>
      <c r="L16" s="18" t="str">
        <f t="shared" si="4"/>
        <v xml:space="preserve">carbon steel as the reactor material.
</v>
      </c>
      <c r="M16" s="18" t="str">
        <f t="shared" si="5"/>
        <v>carbon steel</v>
      </c>
    </row>
    <row r="17" spans="1:13" x14ac:dyDescent="0.3">
      <c r="A17" t="s">
        <v>1431</v>
      </c>
      <c r="B17" t="s">
        <v>2101</v>
      </c>
      <c r="C17" t="s">
        <v>1329</v>
      </c>
      <c r="D17">
        <v>0.9726177453994751</v>
      </c>
      <c r="E17">
        <v>0.97495859861373901</v>
      </c>
      <c r="F17">
        <v>0.97378677129745483</v>
      </c>
      <c r="G17">
        <v>0.99207781030676878</v>
      </c>
      <c r="H17">
        <f t="shared" si="0"/>
        <v>1194</v>
      </c>
      <c r="I17" s="18" t="str">
        <f t="shared" si="1"/>
        <v>carbon steel as the reactor material.</v>
      </c>
      <c r="J17" s="18" t="str">
        <f t="shared" si="2"/>
        <v>carbon steel</v>
      </c>
      <c r="K17">
        <f t="shared" si="3"/>
        <v>1191</v>
      </c>
      <c r="L17" s="18" t="str">
        <f t="shared" si="4"/>
        <v xml:space="preserve">carbon steel as the reactor material.
</v>
      </c>
      <c r="M17" s="18" t="str">
        <f t="shared" si="5"/>
        <v>carbon steel</v>
      </c>
    </row>
    <row r="18" spans="1:13" x14ac:dyDescent="0.3">
      <c r="A18" t="s">
        <v>1430</v>
      </c>
      <c r="B18" t="s">
        <v>2100</v>
      </c>
      <c r="C18" t="s">
        <v>1327</v>
      </c>
      <c r="D18">
        <v>0.98714733123779297</v>
      </c>
      <c r="E18">
        <v>0.98714733123779297</v>
      </c>
      <c r="F18">
        <v>0.98714733123779297</v>
      </c>
      <c r="G18">
        <v>0.2817123709452824</v>
      </c>
      <c r="H18">
        <f t="shared" si="0"/>
        <v>1182</v>
      </c>
      <c r="I18" s="18" t="str">
        <f t="shared" si="1"/>
        <v>carbon steel as the reactor material.</v>
      </c>
      <c r="J18" s="18" t="str">
        <f t="shared" si="2"/>
        <v>carbon steel</v>
      </c>
      <c r="K18">
        <f t="shared" si="3"/>
        <v>1182</v>
      </c>
      <c r="L18" s="18" t="str">
        <f t="shared" si="4"/>
        <v xml:space="preserve">carbon steel as the reactor material.
</v>
      </c>
      <c r="M18" s="18" t="str">
        <f t="shared" si="5"/>
        <v>carbon steel</v>
      </c>
    </row>
    <row r="19" spans="1:13" x14ac:dyDescent="0.3">
      <c r="A19" t="s">
        <v>1429</v>
      </c>
      <c r="B19" t="s">
        <v>2099</v>
      </c>
      <c r="C19" t="s">
        <v>1325</v>
      </c>
      <c r="D19">
        <v>0.96738189458847046</v>
      </c>
      <c r="E19">
        <v>0.93924444913864136</v>
      </c>
      <c r="F19">
        <v>0.95310556888580322</v>
      </c>
      <c r="G19">
        <v>0.2171972759626345</v>
      </c>
      <c r="H19" t="e">
        <f t="shared" si="0"/>
        <v>#VALUE!</v>
      </c>
      <c r="I19" s="18" t="e">
        <f t="shared" si="1"/>
        <v>#VALUE!</v>
      </c>
      <c r="J19" s="18" t="s">
        <v>2345</v>
      </c>
      <c r="K19">
        <f t="shared" si="3"/>
        <v>1118</v>
      </c>
      <c r="L19" s="18" t="str">
        <f t="shared" si="4"/>
        <v xml:space="preserve">carbon steel as the reactor material.
</v>
      </c>
      <c r="M19" s="18" t="str">
        <f t="shared" si="5"/>
        <v>carbon steel</v>
      </c>
    </row>
    <row r="20" spans="1:13" x14ac:dyDescent="0.3">
      <c r="A20" t="s">
        <v>1428</v>
      </c>
      <c r="B20" t="s">
        <v>2098</v>
      </c>
      <c r="C20" t="s">
        <v>1323</v>
      </c>
      <c r="D20">
        <v>0.98967850208282471</v>
      </c>
      <c r="E20">
        <v>0.98966681957244873</v>
      </c>
      <c r="F20">
        <v>0.98967266082763672</v>
      </c>
      <c r="G20">
        <v>0.22321461510650689</v>
      </c>
      <c r="H20">
        <f t="shared" si="0"/>
        <v>1180</v>
      </c>
      <c r="I20" s="18" t="str">
        <f t="shared" si="1"/>
        <v>carbon steel as the reactor material.</v>
      </c>
      <c r="J20" s="18" t="str">
        <f t="shared" si="2"/>
        <v>carbon steel</v>
      </c>
      <c r="K20">
        <f t="shared" si="3"/>
        <v>1181</v>
      </c>
      <c r="L20" s="18" t="str">
        <f t="shared" si="4"/>
        <v xml:space="preserve">carbon steel as the reactor material.
</v>
      </c>
      <c r="M20" s="18" t="str">
        <f t="shared" si="5"/>
        <v>carbon steel</v>
      </c>
    </row>
    <row r="21" spans="1:13" x14ac:dyDescent="0.3">
      <c r="A21" t="s">
        <v>1427</v>
      </c>
      <c r="B21" t="s">
        <v>2097</v>
      </c>
      <c r="C21" t="s">
        <v>1321</v>
      </c>
      <c r="D21">
        <v>0.97532033920288086</v>
      </c>
      <c r="E21">
        <v>0.97569143772125244</v>
      </c>
      <c r="F21">
        <v>0.97550582885742188</v>
      </c>
      <c r="G21">
        <v>0.1256694133201566</v>
      </c>
      <c r="H21">
        <f t="shared" si="0"/>
        <v>1181</v>
      </c>
      <c r="I21" s="18" t="str">
        <f t="shared" si="1"/>
        <v>carbon steel as the reactor material.</v>
      </c>
      <c r="J21" s="18" t="str">
        <f t="shared" si="2"/>
        <v>carbon steel</v>
      </c>
      <c r="K21">
        <f t="shared" si="3"/>
        <v>1183</v>
      </c>
      <c r="L21" s="18" t="str">
        <f t="shared" si="4"/>
        <v xml:space="preserve">carbon steel as the reactor material.
</v>
      </c>
      <c r="M21" s="18" t="str">
        <f t="shared" si="5"/>
        <v>carbon steel</v>
      </c>
    </row>
    <row r="22" spans="1:13" x14ac:dyDescent="0.3">
      <c r="A22" t="s">
        <v>1426</v>
      </c>
      <c r="B22" t="s">
        <v>2096</v>
      </c>
      <c r="C22" t="s">
        <v>1319</v>
      </c>
      <c r="D22">
        <v>0.97762978076934814</v>
      </c>
      <c r="E22">
        <v>0.97722625732421875</v>
      </c>
      <c r="F22">
        <v>0.97742795944213867</v>
      </c>
      <c r="G22">
        <v>5.3769534604155837E-2</v>
      </c>
      <c r="H22">
        <f t="shared" si="0"/>
        <v>1186</v>
      </c>
      <c r="I22" s="18" t="str">
        <f t="shared" si="1"/>
        <v>carbon steel as the reactor material.</v>
      </c>
      <c r="J22" s="18" t="str">
        <f t="shared" si="2"/>
        <v>carbon steel</v>
      </c>
      <c r="K22">
        <f t="shared" si="3"/>
        <v>1186</v>
      </c>
      <c r="L22" s="18" t="str">
        <f t="shared" si="4"/>
        <v xml:space="preserve">carbon steel as the reactor material.
</v>
      </c>
      <c r="M22" s="18" t="str">
        <f t="shared" si="5"/>
        <v>carbon steel</v>
      </c>
    </row>
    <row r="23" spans="1:13" x14ac:dyDescent="0.3">
      <c r="A23" t="s">
        <v>1425</v>
      </c>
      <c r="B23" t="s">
        <v>2095</v>
      </c>
      <c r="C23" t="s">
        <v>1317</v>
      </c>
      <c r="D23">
        <v>0.98601061105728149</v>
      </c>
      <c r="E23">
        <v>0.98601758480072021</v>
      </c>
      <c r="F23">
        <v>0.98601406812667847</v>
      </c>
      <c r="G23">
        <v>0.78836849235533191</v>
      </c>
      <c r="H23">
        <f t="shared" si="0"/>
        <v>1177</v>
      </c>
      <c r="I23" s="18" t="str">
        <f t="shared" si="1"/>
        <v>carbon steel as the reactor material.</v>
      </c>
      <c r="J23" s="18" t="str">
        <f t="shared" si="2"/>
        <v>carbon steel</v>
      </c>
      <c r="K23">
        <f t="shared" si="3"/>
        <v>1175</v>
      </c>
      <c r="L23" s="18" t="str">
        <f t="shared" si="4"/>
        <v xml:space="preserve">carbon steel as the reactor material.
</v>
      </c>
      <c r="M23" s="18" t="str">
        <f t="shared" si="5"/>
        <v>carbon steel</v>
      </c>
    </row>
    <row r="24" spans="1:13" x14ac:dyDescent="0.3">
      <c r="A24" t="s">
        <v>1424</v>
      </c>
      <c r="B24" t="s">
        <v>2094</v>
      </c>
      <c r="C24" t="s">
        <v>1315</v>
      </c>
      <c r="D24">
        <v>0.9855964183807373</v>
      </c>
      <c r="E24">
        <v>0.98554593324661255</v>
      </c>
      <c r="F24">
        <v>0.98557120561599731</v>
      </c>
      <c r="G24">
        <v>0.19489508976854869</v>
      </c>
      <c r="H24">
        <f t="shared" si="0"/>
        <v>1176</v>
      </c>
      <c r="I24" s="18" t="str">
        <f t="shared" si="1"/>
        <v>carbon steel as the reactor material.</v>
      </c>
      <c r="J24" s="18" t="str">
        <f t="shared" si="2"/>
        <v>carbon steel</v>
      </c>
      <c r="K24">
        <f t="shared" si="3"/>
        <v>1173</v>
      </c>
      <c r="L24" s="18" t="str">
        <f t="shared" si="4"/>
        <v xml:space="preserve">carbon steel as the reactor material.
</v>
      </c>
      <c r="M24" s="18" t="str">
        <f t="shared" si="5"/>
        <v>carbon steel</v>
      </c>
    </row>
    <row r="25" spans="1:13" hidden="1" x14ac:dyDescent="0.3">
      <c r="A25" t="s">
        <v>1423</v>
      </c>
      <c r="B25" t="s">
        <v>2093</v>
      </c>
      <c r="C25" t="s">
        <v>1313</v>
      </c>
      <c r="D25">
        <v>0.9763074517250061</v>
      </c>
      <c r="E25">
        <v>0.97655928134918213</v>
      </c>
      <c r="F25">
        <v>0.97643333673477173</v>
      </c>
      <c r="G25">
        <v>1.1017842156959661</v>
      </c>
      <c r="H25">
        <f t="shared" si="0"/>
        <v>1180</v>
      </c>
      <c r="I25" s="18" t="str">
        <f t="shared" si="1"/>
        <v>carbon steel as the reactor material.</v>
      </c>
      <c r="J25" s="18" t="str">
        <f t="shared" si="2"/>
        <v>carbon steel</v>
      </c>
      <c r="K25">
        <f t="shared" si="3"/>
        <v>1180</v>
      </c>
      <c r="L25" s="18" t="str">
        <f t="shared" si="4"/>
        <v xml:space="preserve">carbon steel as the reactor material.
</v>
      </c>
      <c r="M25" s="18" t="str">
        <f t="shared" si="5"/>
        <v>carbon steel</v>
      </c>
    </row>
    <row r="26" spans="1:13" x14ac:dyDescent="0.3">
      <c r="A26" t="s">
        <v>1422</v>
      </c>
      <c r="B26" t="s">
        <v>2092</v>
      </c>
      <c r="C26" t="s">
        <v>1311</v>
      </c>
      <c r="D26">
        <v>0.97465813159942627</v>
      </c>
      <c r="E26">
        <v>0.97513890266418457</v>
      </c>
      <c r="F26">
        <v>0.97489845752716064</v>
      </c>
      <c r="G26">
        <v>0.15545159257284141</v>
      </c>
      <c r="H26">
        <f t="shared" si="0"/>
        <v>1191</v>
      </c>
      <c r="I26" s="18" t="str">
        <f t="shared" si="1"/>
        <v>carbon steel as the reactor material.</v>
      </c>
      <c r="J26" s="18" t="str">
        <f t="shared" si="2"/>
        <v>carbon steel</v>
      </c>
      <c r="K26">
        <f t="shared" si="3"/>
        <v>1191</v>
      </c>
      <c r="L26" s="18" t="str">
        <f t="shared" si="4"/>
        <v xml:space="preserve">carbon steel as the reactor material.
</v>
      </c>
      <c r="M26" s="18" t="str">
        <f t="shared" si="5"/>
        <v>carbon steel</v>
      </c>
    </row>
    <row r="27" spans="1:13" x14ac:dyDescent="0.3">
      <c r="A27" t="s">
        <v>1421</v>
      </c>
      <c r="B27" t="s">
        <v>2091</v>
      </c>
      <c r="C27" t="s">
        <v>1309</v>
      </c>
      <c r="D27">
        <v>0.98290789127349854</v>
      </c>
      <c r="E27">
        <v>0.98271679878234863</v>
      </c>
      <c r="F27">
        <v>0.98281234502792358</v>
      </c>
      <c r="G27">
        <v>0.1265778578871771</v>
      </c>
      <c r="H27">
        <f t="shared" si="0"/>
        <v>1184</v>
      </c>
      <c r="I27" s="18" t="str">
        <f t="shared" si="1"/>
        <v>carbon steel as the reactor material.</v>
      </c>
      <c r="J27" s="18" t="str">
        <f t="shared" si="2"/>
        <v>carbon steel</v>
      </c>
      <c r="K27">
        <f t="shared" si="3"/>
        <v>1187</v>
      </c>
      <c r="L27" s="18" t="str">
        <f t="shared" si="4"/>
        <v xml:space="preserve">carbon steel as the reactor material.
</v>
      </c>
      <c r="M27" s="18" t="str">
        <f t="shared" si="5"/>
        <v>carbon steel</v>
      </c>
    </row>
    <row r="28" spans="1:13" x14ac:dyDescent="0.3">
      <c r="A28" t="s">
        <v>1420</v>
      </c>
      <c r="B28" t="s">
        <v>2090</v>
      </c>
      <c r="C28" t="s">
        <v>1307</v>
      </c>
      <c r="D28">
        <v>0.97689175605773926</v>
      </c>
      <c r="E28">
        <v>0.97709465026855469</v>
      </c>
      <c r="F28">
        <v>0.97699320316314697</v>
      </c>
      <c r="G28">
        <v>0.17295697038665889</v>
      </c>
      <c r="H28">
        <f t="shared" si="0"/>
        <v>1185</v>
      </c>
      <c r="I28" s="18" t="str">
        <f t="shared" si="1"/>
        <v>carbon steel as the reactor material.</v>
      </c>
      <c r="J28" s="18" t="str">
        <f t="shared" si="2"/>
        <v>carbon steel</v>
      </c>
      <c r="K28">
        <f t="shared" si="3"/>
        <v>1185</v>
      </c>
      <c r="L28" s="18" t="str">
        <f t="shared" si="4"/>
        <v xml:space="preserve">carbon steel as the reactor material.
</v>
      </c>
      <c r="M28" s="18" t="str">
        <f t="shared" si="5"/>
        <v>carbon steel</v>
      </c>
    </row>
    <row r="29" spans="1:13" x14ac:dyDescent="0.3">
      <c r="A29" t="s">
        <v>1419</v>
      </c>
      <c r="B29" t="s">
        <v>2089</v>
      </c>
      <c r="C29" t="s">
        <v>1305</v>
      </c>
      <c r="D29">
        <v>0.98685568571090698</v>
      </c>
      <c r="E29">
        <v>0.98700952529907227</v>
      </c>
      <c r="F29">
        <v>0.98693257570266724</v>
      </c>
      <c r="G29">
        <v>0.4048955526108125</v>
      </c>
      <c r="H29">
        <f t="shared" si="0"/>
        <v>1180</v>
      </c>
      <c r="I29" s="18" t="str">
        <f t="shared" si="1"/>
        <v>carbon steel as the reactor material.</v>
      </c>
      <c r="J29" s="18" t="str">
        <f t="shared" si="2"/>
        <v>carbon steel</v>
      </c>
      <c r="K29">
        <f t="shared" si="3"/>
        <v>1181</v>
      </c>
      <c r="L29" s="18" t="str">
        <f t="shared" si="4"/>
        <v xml:space="preserve">carbon steel as the reactor material.
</v>
      </c>
      <c r="M29" s="18" t="str">
        <f t="shared" si="5"/>
        <v>carbon steel</v>
      </c>
    </row>
    <row r="30" spans="1:13" x14ac:dyDescent="0.3">
      <c r="A30" t="s">
        <v>1418</v>
      </c>
      <c r="B30" t="s">
        <v>2088</v>
      </c>
      <c r="C30" t="s">
        <v>1303</v>
      </c>
      <c r="D30">
        <v>0.97924554347991943</v>
      </c>
      <c r="E30">
        <v>0.97911334037780762</v>
      </c>
      <c r="F30">
        <v>0.97917944192886353</v>
      </c>
      <c r="G30">
        <v>5.7573914709631122E-2</v>
      </c>
      <c r="H30">
        <f t="shared" si="0"/>
        <v>1187</v>
      </c>
      <c r="I30" s="18" t="str">
        <f t="shared" si="1"/>
        <v>carbon steel as the reactor material.</v>
      </c>
      <c r="J30" s="18" t="str">
        <f t="shared" si="2"/>
        <v>carbon steel</v>
      </c>
      <c r="K30">
        <f t="shared" si="3"/>
        <v>1187</v>
      </c>
      <c r="L30" s="18" t="str">
        <f t="shared" si="4"/>
        <v xml:space="preserve">carbon steel as the reactor material.
</v>
      </c>
      <c r="M30" s="18" t="str">
        <f t="shared" si="5"/>
        <v>carbon steel</v>
      </c>
    </row>
    <row r="31" spans="1:13" x14ac:dyDescent="0.3">
      <c r="A31" t="s">
        <v>1417</v>
      </c>
      <c r="B31" t="s">
        <v>2087</v>
      </c>
      <c r="C31" t="s">
        <v>1301</v>
      </c>
      <c r="D31">
        <v>0.98276698589324951</v>
      </c>
      <c r="E31">
        <v>0.98277091979980469</v>
      </c>
      <c r="F31">
        <v>0.9827689528465271</v>
      </c>
      <c r="G31">
        <v>9.3145612201873437E-2</v>
      </c>
      <c r="H31">
        <f t="shared" si="0"/>
        <v>1179</v>
      </c>
      <c r="I31" s="18" t="str">
        <f t="shared" si="1"/>
        <v>carbon steel as the reactor material.</v>
      </c>
      <c r="J31" s="18" t="str">
        <f t="shared" si="2"/>
        <v>carbon steel</v>
      </c>
      <c r="K31">
        <f t="shared" si="3"/>
        <v>1174</v>
      </c>
      <c r="L31" s="18" t="str">
        <f t="shared" si="4"/>
        <v xml:space="preserve">carbon steel as the reactor material.
</v>
      </c>
      <c r="M31" s="18" t="str">
        <f t="shared" si="5"/>
        <v>carbon steel</v>
      </c>
    </row>
    <row r="32" spans="1:13" hidden="1" x14ac:dyDescent="0.3">
      <c r="A32" t="s">
        <v>1416</v>
      </c>
      <c r="B32" t="s">
        <v>2086</v>
      </c>
      <c r="C32" t="s">
        <v>1299</v>
      </c>
      <c r="D32">
        <v>0.9567265510559082</v>
      </c>
      <c r="E32">
        <v>0.96571856737136841</v>
      </c>
      <c r="F32">
        <v>0.96120160818099976</v>
      </c>
      <c r="G32">
        <v>3.3647132169576071</v>
      </c>
      <c r="H32">
        <f t="shared" si="0"/>
        <v>938</v>
      </c>
      <c r="I32" s="18" t="str">
        <f t="shared" si="1"/>
        <v>stainless steel as the reactor material.</v>
      </c>
      <c r="J32" s="18" t="str">
        <f t="shared" si="2"/>
        <v>stainless steel</v>
      </c>
      <c r="K32">
        <f t="shared" si="3"/>
        <v>935</v>
      </c>
      <c r="L32" s="18" t="str">
        <f t="shared" si="4"/>
        <v xml:space="preserve">stainless steel as the reactor material.
</v>
      </c>
      <c r="M32" s="18" t="str">
        <f t="shared" si="5"/>
        <v>stainless steel</v>
      </c>
    </row>
    <row r="33" spans="1:13" x14ac:dyDescent="0.3">
      <c r="A33" t="s">
        <v>1415</v>
      </c>
      <c r="B33" t="s">
        <v>2085</v>
      </c>
      <c r="C33" t="s">
        <v>1297</v>
      </c>
      <c r="D33">
        <v>0.96688920259475708</v>
      </c>
      <c r="E33">
        <v>0.9728013277053833</v>
      </c>
      <c r="F33">
        <v>0.96983623504638672</v>
      </c>
      <c r="G33">
        <v>0.50551181102362208</v>
      </c>
      <c r="H33">
        <f t="shared" si="0"/>
        <v>948</v>
      </c>
      <c r="I33" s="18" t="str">
        <f t="shared" si="1"/>
        <v>stainless steel as the reactor material.</v>
      </c>
      <c r="J33" s="18" t="str">
        <f t="shared" si="2"/>
        <v>stainless steel</v>
      </c>
      <c r="K33">
        <f t="shared" si="3"/>
        <v>954</v>
      </c>
      <c r="L33" s="18" t="str">
        <f t="shared" si="4"/>
        <v xml:space="preserve">stainless steel as the reactor material.
</v>
      </c>
      <c r="M33" s="18" t="str">
        <f t="shared" si="5"/>
        <v>stainless steel</v>
      </c>
    </row>
    <row r="34" spans="1:13" x14ac:dyDescent="0.3">
      <c r="A34" t="s">
        <v>1414</v>
      </c>
      <c r="B34" t="s">
        <v>2084</v>
      </c>
      <c r="C34" t="s">
        <v>1295</v>
      </c>
      <c r="D34">
        <v>0.97454369068145752</v>
      </c>
      <c r="E34">
        <v>0.9702686071395874</v>
      </c>
      <c r="F34">
        <v>0.97240144014358521</v>
      </c>
      <c r="G34">
        <v>0.72296793437733031</v>
      </c>
      <c r="H34">
        <f t="shared" si="0"/>
        <v>935</v>
      </c>
      <c r="I34" s="18" t="str">
        <f t="shared" si="1"/>
        <v>stainless steel as the reactor material.</v>
      </c>
      <c r="J34" s="18" t="str">
        <f t="shared" si="2"/>
        <v>stainless steel</v>
      </c>
      <c r="K34">
        <f t="shared" si="3"/>
        <v>934</v>
      </c>
      <c r="L34" s="18" t="str">
        <f t="shared" si="4"/>
        <v xml:space="preserve">stainless steel as the reactor material.
</v>
      </c>
      <c r="M34" s="18" t="str">
        <f t="shared" si="5"/>
        <v>stainless steel</v>
      </c>
    </row>
    <row r="35" spans="1:13" hidden="1" x14ac:dyDescent="0.3">
      <c r="A35" t="s">
        <v>1413</v>
      </c>
      <c r="B35" t="s">
        <v>2083</v>
      </c>
      <c r="C35" t="s">
        <v>1293</v>
      </c>
      <c r="D35">
        <v>0.95617216825485229</v>
      </c>
      <c r="E35">
        <v>0.96417474746704102</v>
      </c>
      <c r="F35">
        <v>0.96015679836273193</v>
      </c>
      <c r="G35">
        <v>1.301449275362319</v>
      </c>
      <c r="H35">
        <f t="shared" si="0"/>
        <v>934</v>
      </c>
      <c r="I35" s="18" t="str">
        <f t="shared" si="1"/>
        <v>stainless steel as the reactor material.</v>
      </c>
      <c r="J35" s="18" t="str">
        <f t="shared" si="2"/>
        <v>stainless steel</v>
      </c>
      <c r="K35">
        <f t="shared" si="3"/>
        <v>933</v>
      </c>
      <c r="L35" s="18" t="str">
        <f t="shared" si="4"/>
        <v xml:space="preserve">stainless steel as the reactor material.
</v>
      </c>
      <c r="M35" s="18" t="str">
        <f t="shared" si="5"/>
        <v>stainless steel</v>
      </c>
    </row>
    <row r="36" spans="1:13" x14ac:dyDescent="0.3">
      <c r="A36" t="s">
        <v>1412</v>
      </c>
      <c r="B36" t="s">
        <v>2082</v>
      </c>
      <c r="C36" t="s">
        <v>1291</v>
      </c>
      <c r="D36">
        <v>0.98881947994232178</v>
      </c>
      <c r="E36">
        <v>0.9887768030166626</v>
      </c>
      <c r="F36">
        <v>0.98879814147949219</v>
      </c>
      <c r="G36">
        <v>0.11567610690067801</v>
      </c>
      <c r="H36">
        <f t="shared" si="0"/>
        <v>949</v>
      </c>
      <c r="I36" s="18" t="str">
        <f t="shared" si="1"/>
        <v>stainless steel as the reactor material.</v>
      </c>
      <c r="J36" s="18" t="str">
        <f t="shared" si="2"/>
        <v>stainless steel</v>
      </c>
      <c r="K36">
        <f t="shared" si="3"/>
        <v>953</v>
      </c>
      <c r="L36" s="18" t="str">
        <f t="shared" si="4"/>
        <v xml:space="preserve">stainless steel as the reactor material.
</v>
      </c>
      <c r="M36" s="18" t="str">
        <f t="shared" si="5"/>
        <v>stainless steel</v>
      </c>
    </row>
    <row r="37" spans="1:13" hidden="1" x14ac:dyDescent="0.3">
      <c r="A37" t="s">
        <v>1411</v>
      </c>
      <c r="B37" t="s">
        <v>2081</v>
      </c>
      <c r="C37" t="s">
        <v>1289</v>
      </c>
      <c r="D37">
        <v>0.95635783672332764</v>
      </c>
      <c r="E37">
        <v>0.96507275104522705</v>
      </c>
      <c r="F37">
        <v>0.96069556474685669</v>
      </c>
      <c r="G37">
        <v>4.962555066079295</v>
      </c>
      <c r="H37">
        <f t="shared" si="0"/>
        <v>936</v>
      </c>
      <c r="I37" s="18" t="str">
        <f t="shared" si="1"/>
        <v>stainless steel as the reactor material.</v>
      </c>
      <c r="J37" s="18" t="str">
        <f t="shared" si="2"/>
        <v>stainless steel</v>
      </c>
      <c r="K37">
        <f t="shared" si="3"/>
        <v>934</v>
      </c>
      <c r="L37" s="18" t="str">
        <f t="shared" si="4"/>
        <v xml:space="preserve">stainless steel as the reactor material.
</v>
      </c>
      <c r="M37" s="18" t="str">
        <f t="shared" si="5"/>
        <v>stainless steel</v>
      </c>
    </row>
    <row r="38" spans="1:13" hidden="1" x14ac:dyDescent="0.3">
      <c r="A38" t="s">
        <v>1410</v>
      </c>
      <c r="B38" t="s">
        <v>2080</v>
      </c>
      <c r="C38" t="s">
        <v>1287</v>
      </c>
      <c r="D38">
        <v>0.96426635980606079</v>
      </c>
      <c r="E38">
        <v>0.95754456520080566</v>
      </c>
      <c r="F38">
        <v>0.96089375019073486</v>
      </c>
      <c r="G38">
        <v>1.045139505953439</v>
      </c>
      <c r="H38">
        <f t="shared" si="0"/>
        <v>954</v>
      </c>
      <c r="I38" s="18" t="str">
        <f t="shared" si="1"/>
        <v>stainless steel as the reactor material.</v>
      </c>
      <c r="J38" s="18" t="str">
        <f t="shared" si="2"/>
        <v>stainless steel</v>
      </c>
      <c r="K38">
        <f t="shared" si="3"/>
        <v>949</v>
      </c>
      <c r="L38" s="18" t="str">
        <f t="shared" si="4"/>
        <v xml:space="preserve">stainless steel as the reactor material.
</v>
      </c>
      <c r="M38" s="18" t="str">
        <f t="shared" si="5"/>
        <v>stainless steel</v>
      </c>
    </row>
    <row r="39" spans="1:13" x14ac:dyDescent="0.3">
      <c r="A39" t="s">
        <v>1409</v>
      </c>
      <c r="B39" t="s">
        <v>2079</v>
      </c>
      <c r="C39" t="s">
        <v>1285</v>
      </c>
      <c r="D39">
        <v>0.97604358196258545</v>
      </c>
      <c r="E39">
        <v>0.97849506139755249</v>
      </c>
      <c r="F39">
        <v>0.9772678017616272</v>
      </c>
      <c r="G39">
        <v>4.2647994907701978E-2</v>
      </c>
      <c r="H39">
        <f t="shared" si="0"/>
        <v>950</v>
      </c>
      <c r="I39" s="18" t="str">
        <f t="shared" si="1"/>
        <v>stainless steel as the reactor material.</v>
      </c>
      <c r="J39" s="18" t="str">
        <f t="shared" si="2"/>
        <v>stainless steel</v>
      </c>
      <c r="K39">
        <f t="shared" si="3"/>
        <v>950</v>
      </c>
      <c r="L39" s="18" t="str">
        <f t="shared" si="4"/>
        <v xml:space="preserve">stainless steel as the reactor material.
</v>
      </c>
      <c r="M39" s="18" t="str">
        <f t="shared" si="5"/>
        <v>stainless steel</v>
      </c>
    </row>
    <row r="40" spans="1:13" x14ac:dyDescent="0.3">
      <c r="A40" t="s">
        <v>1408</v>
      </c>
      <c r="B40" t="s">
        <v>2078</v>
      </c>
      <c r="C40" t="s">
        <v>1283</v>
      </c>
      <c r="D40">
        <v>0.98362606763839722</v>
      </c>
      <c r="E40">
        <v>0.98346340656280518</v>
      </c>
      <c r="F40">
        <v>0.98354476690292358</v>
      </c>
      <c r="G40">
        <v>0.46338081216188448</v>
      </c>
      <c r="H40">
        <f t="shared" si="0"/>
        <v>939</v>
      </c>
      <c r="I40" s="18" t="str">
        <f t="shared" si="1"/>
        <v>stainless steel as the reactor material.</v>
      </c>
      <c r="J40" s="18" t="str">
        <f t="shared" si="2"/>
        <v>stainless steel</v>
      </c>
      <c r="K40">
        <f t="shared" si="3"/>
        <v>935</v>
      </c>
      <c r="L40" s="18" t="str">
        <f t="shared" si="4"/>
        <v xml:space="preserve">stainless steel as the reactor material.
</v>
      </c>
      <c r="M40" s="18" t="str">
        <f t="shared" si="5"/>
        <v>stainless steel</v>
      </c>
    </row>
    <row r="41" spans="1:13" x14ac:dyDescent="0.3">
      <c r="A41" t="s">
        <v>1407</v>
      </c>
      <c r="B41" t="s">
        <v>2077</v>
      </c>
      <c r="C41" t="s">
        <v>1281</v>
      </c>
      <c r="D41">
        <v>0.97863864898681641</v>
      </c>
      <c r="E41">
        <v>0.97599971294403076</v>
      </c>
      <c r="F41">
        <v>0.97731739282608032</v>
      </c>
      <c r="G41">
        <v>0.118270079435128</v>
      </c>
      <c r="H41">
        <f t="shared" si="0"/>
        <v>948</v>
      </c>
      <c r="I41" s="18" t="str">
        <f t="shared" si="1"/>
        <v>stainless steel as the reactor material.</v>
      </c>
      <c r="J41" s="18" t="str">
        <f t="shared" si="2"/>
        <v>stainless steel</v>
      </c>
      <c r="K41">
        <f t="shared" si="3"/>
        <v>949</v>
      </c>
      <c r="L41" s="18" t="str">
        <f t="shared" si="4"/>
        <v xml:space="preserve">stainless steel as the reactor material.
</v>
      </c>
      <c r="M41" s="18" t="str">
        <f t="shared" si="5"/>
        <v>stainless steel</v>
      </c>
    </row>
    <row r="42" spans="1:13" x14ac:dyDescent="0.3">
      <c r="A42" t="s">
        <v>1406</v>
      </c>
      <c r="B42" t="s">
        <v>2076</v>
      </c>
      <c r="C42" t="s">
        <v>1279</v>
      </c>
      <c r="D42">
        <v>0.97336798906326294</v>
      </c>
      <c r="E42">
        <v>0.97646969556808472</v>
      </c>
      <c r="F42">
        <v>0.97491639852523804</v>
      </c>
      <c r="G42">
        <v>0.33359904344360308</v>
      </c>
      <c r="H42">
        <f t="shared" si="0"/>
        <v>954</v>
      </c>
      <c r="I42" s="18" t="str">
        <f t="shared" si="1"/>
        <v>stainless steel as the reactor material.</v>
      </c>
      <c r="J42" s="18" t="str">
        <f t="shared" si="2"/>
        <v>stainless steel</v>
      </c>
      <c r="K42">
        <f t="shared" si="3"/>
        <v>950</v>
      </c>
      <c r="L42" s="18" t="str">
        <f t="shared" si="4"/>
        <v xml:space="preserve">stainless steel as the reactor material.
</v>
      </c>
      <c r="M42" s="18" t="str">
        <f t="shared" si="5"/>
        <v>stainless steel</v>
      </c>
    </row>
    <row r="43" spans="1:13" hidden="1" x14ac:dyDescent="0.3">
      <c r="A43" t="s">
        <v>1405</v>
      </c>
      <c r="B43" t="s">
        <v>2075</v>
      </c>
      <c r="C43" t="s">
        <v>1277</v>
      </c>
      <c r="D43">
        <v>0.9900130033493042</v>
      </c>
      <c r="E43">
        <v>0.99017411470413208</v>
      </c>
      <c r="F43">
        <v>0.99009352922439575</v>
      </c>
      <c r="G43">
        <v>1.750683433570257</v>
      </c>
      <c r="H43">
        <f t="shared" si="0"/>
        <v>951</v>
      </c>
      <c r="I43" s="18" t="str">
        <f t="shared" si="1"/>
        <v>stainless steel as the reactor material.</v>
      </c>
      <c r="J43" s="18" t="str">
        <f t="shared" si="2"/>
        <v>stainless steel</v>
      </c>
      <c r="K43">
        <f t="shared" si="3"/>
        <v>951</v>
      </c>
      <c r="L43" s="18" t="str">
        <f t="shared" si="4"/>
        <v xml:space="preserve">stainless steel as the reactor material.
</v>
      </c>
      <c r="M43" s="18" t="str">
        <f t="shared" si="5"/>
        <v>stainless steel</v>
      </c>
    </row>
    <row r="44" spans="1:13" x14ac:dyDescent="0.3">
      <c r="A44" t="s">
        <v>1404</v>
      </c>
      <c r="B44" t="s">
        <v>2074</v>
      </c>
      <c r="C44" t="s">
        <v>1275</v>
      </c>
      <c r="D44">
        <v>0.98065721988677979</v>
      </c>
      <c r="E44">
        <v>0.98009359836578369</v>
      </c>
      <c r="F44">
        <v>0.98037534952163696</v>
      </c>
      <c r="G44">
        <v>0.21684689812179839</v>
      </c>
      <c r="H44">
        <f t="shared" si="0"/>
        <v>949</v>
      </c>
      <c r="I44" s="18" t="str">
        <f t="shared" si="1"/>
        <v>stainless steel as the reactor material.</v>
      </c>
      <c r="J44" s="18" t="str">
        <f t="shared" si="2"/>
        <v>stainless steel</v>
      </c>
      <c r="K44">
        <f t="shared" si="3"/>
        <v>949</v>
      </c>
      <c r="L44" s="18" t="str">
        <f t="shared" si="4"/>
        <v xml:space="preserve">stainless steel as the reactor material.
</v>
      </c>
      <c r="M44" s="18" t="str">
        <f t="shared" si="5"/>
        <v>stainless steel</v>
      </c>
    </row>
    <row r="45" spans="1:13" hidden="1" x14ac:dyDescent="0.3">
      <c r="A45" t="s">
        <v>1403</v>
      </c>
      <c r="B45" t="s">
        <v>2073</v>
      </c>
      <c r="C45" t="s">
        <v>1273</v>
      </c>
      <c r="D45">
        <v>0.95572590827941895</v>
      </c>
      <c r="E45">
        <v>0.96175068616867065</v>
      </c>
      <c r="F45">
        <v>0.95872879028320313</v>
      </c>
      <c r="G45">
        <v>4.4505494505494498</v>
      </c>
      <c r="H45">
        <f t="shared" si="0"/>
        <v>947</v>
      </c>
      <c r="I45" s="18" t="str">
        <f t="shared" si="1"/>
        <v>stainless steel as the reactor material.</v>
      </c>
      <c r="J45" s="18" t="str">
        <f t="shared" si="2"/>
        <v>stainless steel</v>
      </c>
      <c r="K45">
        <f t="shared" si="3"/>
        <v>949</v>
      </c>
      <c r="L45" s="18" t="str">
        <f t="shared" si="4"/>
        <v xml:space="preserve">stainless steel as the reactor material.
</v>
      </c>
      <c r="M45" s="18" t="str">
        <f t="shared" si="5"/>
        <v>stainless steel</v>
      </c>
    </row>
    <row r="46" spans="1:13" hidden="1" x14ac:dyDescent="0.3">
      <c r="A46" t="s">
        <v>1402</v>
      </c>
      <c r="B46" t="s">
        <v>2072</v>
      </c>
      <c r="C46" t="s">
        <v>1271</v>
      </c>
      <c r="D46">
        <v>0.95885634422302246</v>
      </c>
      <c r="E46">
        <v>0.96542173624038696</v>
      </c>
      <c r="F46">
        <v>0.9621279239654541</v>
      </c>
      <c r="G46">
        <v>1.6773905272564791</v>
      </c>
      <c r="H46">
        <f t="shared" si="0"/>
        <v>954</v>
      </c>
      <c r="I46" s="18" t="str">
        <f t="shared" si="1"/>
        <v>stainless steel as the reactor material.</v>
      </c>
      <c r="J46" s="18" t="str">
        <f t="shared" si="2"/>
        <v>stainless steel</v>
      </c>
      <c r="K46">
        <f t="shared" si="3"/>
        <v>950</v>
      </c>
      <c r="L46" s="18" t="str">
        <f t="shared" si="4"/>
        <v xml:space="preserve">stainless steel as the reactor material.
</v>
      </c>
      <c r="M46" s="18" t="str">
        <f t="shared" si="5"/>
        <v>stainless steel</v>
      </c>
    </row>
    <row r="47" spans="1:13" x14ac:dyDescent="0.3">
      <c r="A47" t="s">
        <v>1401</v>
      </c>
      <c r="B47" t="s">
        <v>2071</v>
      </c>
      <c r="C47" t="s">
        <v>1269</v>
      </c>
      <c r="D47">
        <v>0.97477108240127563</v>
      </c>
      <c r="E47">
        <v>0.97226768732070923</v>
      </c>
      <c r="F47">
        <v>0.9735177755355835</v>
      </c>
      <c r="G47">
        <v>0.6344827586206897</v>
      </c>
      <c r="H47">
        <f t="shared" si="0"/>
        <v>949</v>
      </c>
      <c r="I47" s="18" t="str">
        <f t="shared" si="1"/>
        <v>stainless steel as the reactor material.</v>
      </c>
      <c r="J47" s="18" t="str">
        <f t="shared" si="2"/>
        <v>stainless steel</v>
      </c>
      <c r="K47">
        <f t="shared" si="3"/>
        <v>952</v>
      </c>
      <c r="L47" s="18" t="str">
        <f t="shared" si="4"/>
        <v xml:space="preserve">stainless steel as the reactor material.
</v>
      </c>
      <c r="M47" s="18" t="str">
        <f t="shared" si="5"/>
        <v>stainless steel</v>
      </c>
    </row>
    <row r="48" spans="1:13" x14ac:dyDescent="0.3">
      <c r="A48" t="s">
        <v>1400</v>
      </c>
      <c r="B48" t="s">
        <v>2070</v>
      </c>
      <c r="C48" t="s">
        <v>1267</v>
      </c>
      <c r="D48">
        <v>0.98793470859527588</v>
      </c>
      <c r="E48">
        <v>0.98813557624816895</v>
      </c>
      <c r="F48">
        <v>0.98803514242172241</v>
      </c>
      <c r="G48">
        <v>0.22771403353927611</v>
      </c>
      <c r="H48">
        <f t="shared" si="0"/>
        <v>953</v>
      </c>
      <c r="I48" s="18" t="str">
        <f t="shared" si="1"/>
        <v>stainless steel as the reactor material.</v>
      </c>
      <c r="J48" s="18" t="str">
        <f t="shared" si="2"/>
        <v>stainless steel</v>
      </c>
      <c r="K48">
        <f t="shared" si="3"/>
        <v>954</v>
      </c>
      <c r="L48" s="18" t="str">
        <f t="shared" si="4"/>
        <v xml:space="preserve">stainless steel as the reactor material.
</v>
      </c>
      <c r="M48" s="18" t="str">
        <f t="shared" si="5"/>
        <v>stainless steel</v>
      </c>
    </row>
    <row r="49" spans="1:13" x14ac:dyDescent="0.3">
      <c r="A49" t="s">
        <v>1399</v>
      </c>
      <c r="B49" t="s">
        <v>2069</v>
      </c>
      <c r="C49" t="s">
        <v>1265</v>
      </c>
      <c r="D49">
        <v>0.98623669147491455</v>
      </c>
      <c r="E49">
        <v>0.98623669147491455</v>
      </c>
      <c r="F49">
        <v>0.98623669147491455</v>
      </c>
      <c r="G49">
        <v>0.45156497622820918</v>
      </c>
      <c r="H49">
        <f t="shared" si="0"/>
        <v>932</v>
      </c>
      <c r="I49" s="18" t="str">
        <f t="shared" si="1"/>
        <v>stainless steel as the reactor material.</v>
      </c>
      <c r="J49" s="18" t="str">
        <f t="shared" si="2"/>
        <v>stainless steel</v>
      </c>
      <c r="K49">
        <f t="shared" si="3"/>
        <v>935</v>
      </c>
      <c r="L49" s="18" t="str">
        <f t="shared" si="4"/>
        <v xml:space="preserve">stainless steel as the reactor material.
</v>
      </c>
      <c r="M49" s="18" t="str">
        <f t="shared" si="5"/>
        <v>stainless steel</v>
      </c>
    </row>
    <row r="50" spans="1:13" x14ac:dyDescent="0.3">
      <c r="A50" t="s">
        <v>1398</v>
      </c>
      <c r="B50" t="s">
        <v>1397</v>
      </c>
      <c r="C50" t="s">
        <v>1263</v>
      </c>
      <c r="D50">
        <v>0.9846118688583374</v>
      </c>
      <c r="E50">
        <v>0.9846118688583374</v>
      </c>
      <c r="F50">
        <v>0.9846118688583374</v>
      </c>
      <c r="G50">
        <v>3.3481119094939581E-2</v>
      </c>
      <c r="H50">
        <f t="shared" si="0"/>
        <v>938</v>
      </c>
      <c r="I50" s="18" t="str">
        <f t="shared" si="1"/>
        <v>stainless steel as the reactor material.</v>
      </c>
      <c r="J50" s="18" t="str">
        <f t="shared" si="2"/>
        <v>stainless steel</v>
      </c>
      <c r="K50">
        <f t="shared" si="3"/>
        <v>934</v>
      </c>
      <c r="L50" s="18" t="str">
        <f t="shared" si="4"/>
        <v xml:space="preserve">stainless steel as the reactor material.
</v>
      </c>
      <c r="M50" s="18" t="str">
        <f t="shared" si="5"/>
        <v>stainless steel</v>
      </c>
    </row>
    <row r="51" spans="1:13" x14ac:dyDescent="0.3">
      <c r="A51" t="s">
        <v>1396</v>
      </c>
      <c r="B51" t="s">
        <v>2068</v>
      </c>
      <c r="C51" t="s">
        <v>1261</v>
      </c>
      <c r="D51">
        <v>0.96422356367111206</v>
      </c>
      <c r="E51">
        <v>0.95846056938171387</v>
      </c>
      <c r="F51">
        <v>0.96133339405059814</v>
      </c>
      <c r="G51">
        <v>0.32539682539682541</v>
      </c>
      <c r="H51">
        <f t="shared" si="0"/>
        <v>950</v>
      </c>
      <c r="I51" s="18" t="str">
        <f t="shared" si="1"/>
        <v>stainless steel as the reactor material.</v>
      </c>
      <c r="J51" s="18" t="str">
        <f t="shared" si="2"/>
        <v>stainless steel</v>
      </c>
      <c r="K51">
        <f t="shared" si="3"/>
        <v>950</v>
      </c>
      <c r="L51" s="18" t="str">
        <f t="shared" si="4"/>
        <v xml:space="preserve">stainless steel as the reactor material.
</v>
      </c>
      <c r="M51" s="18" t="str">
        <f t="shared" si="5"/>
        <v>stainless steel</v>
      </c>
    </row>
    <row r="52" spans="1:13" hidden="1" x14ac:dyDescent="0.3">
      <c r="A52" t="s">
        <v>1395</v>
      </c>
      <c r="B52" t="s">
        <v>2067</v>
      </c>
      <c r="C52" t="s">
        <v>1259</v>
      </c>
      <c r="D52">
        <v>0.95890134572982788</v>
      </c>
      <c r="E52">
        <v>0.96497470140457153</v>
      </c>
      <c r="F52">
        <v>0.96192848682403564</v>
      </c>
      <c r="G52">
        <v>1.283811475409836</v>
      </c>
      <c r="H52">
        <f t="shared" si="0"/>
        <v>949</v>
      </c>
      <c r="I52" s="18" t="str">
        <f t="shared" si="1"/>
        <v>stainless steel as the reactor material.</v>
      </c>
      <c r="J52" s="18" t="str">
        <f t="shared" si="2"/>
        <v>stainless steel</v>
      </c>
      <c r="K52">
        <f t="shared" si="3"/>
        <v>944</v>
      </c>
      <c r="L52" s="18" t="str">
        <f t="shared" si="4"/>
        <v xml:space="preserve">stainless steel as the reactor material.
</v>
      </c>
      <c r="M52" s="18" t="str">
        <f t="shared" si="5"/>
        <v>stainless steel</v>
      </c>
    </row>
    <row r="53" spans="1:13" x14ac:dyDescent="0.3">
      <c r="A53" t="s">
        <v>1394</v>
      </c>
      <c r="B53" t="s">
        <v>2066</v>
      </c>
      <c r="C53" t="s">
        <v>1257</v>
      </c>
      <c r="D53">
        <v>0.97174471616744995</v>
      </c>
      <c r="E53">
        <v>0.97384309768676758</v>
      </c>
      <c r="F53">
        <v>0.97279274463653564</v>
      </c>
      <c r="G53">
        <v>0.38580931263858098</v>
      </c>
      <c r="H53">
        <f t="shared" si="0"/>
        <v>950</v>
      </c>
      <c r="I53" s="18" t="str">
        <f t="shared" si="1"/>
        <v>stainless steel as the reactor material.</v>
      </c>
      <c r="J53" s="18" t="str">
        <f t="shared" si="2"/>
        <v>stainless steel</v>
      </c>
      <c r="K53">
        <f t="shared" si="3"/>
        <v>950</v>
      </c>
      <c r="L53" s="18" t="str">
        <f t="shared" si="4"/>
        <v xml:space="preserve">stainless steel as the reactor material.
</v>
      </c>
      <c r="M53" s="18" t="str">
        <f t="shared" si="5"/>
        <v>stainless steel</v>
      </c>
    </row>
    <row r="54" spans="1:13" hidden="1" x14ac:dyDescent="0.3">
      <c r="A54" t="s">
        <v>1393</v>
      </c>
      <c r="B54" t="s">
        <v>2065</v>
      </c>
      <c r="C54" t="s">
        <v>1255</v>
      </c>
      <c r="D54">
        <v>0.95792686939239502</v>
      </c>
      <c r="E54">
        <v>0.96399986743927002</v>
      </c>
      <c r="F54">
        <v>0.96095377206802368</v>
      </c>
      <c r="G54">
        <v>4.5710344827586207</v>
      </c>
      <c r="H54">
        <f t="shared" si="0"/>
        <v>954</v>
      </c>
      <c r="I54" s="18" t="str">
        <f t="shared" si="1"/>
        <v>stainless steel as the reactor material.</v>
      </c>
      <c r="J54" s="18" t="str">
        <f t="shared" si="2"/>
        <v>stainless steel</v>
      </c>
      <c r="K54">
        <f t="shared" si="3"/>
        <v>949</v>
      </c>
      <c r="L54" s="18" t="str">
        <f t="shared" si="4"/>
        <v xml:space="preserve">stainless steel as the reactor material.
</v>
      </c>
      <c r="M54" s="18" t="str">
        <f t="shared" si="5"/>
        <v>stainless steel</v>
      </c>
    </row>
    <row r="55" spans="1:13" hidden="1" x14ac:dyDescent="0.3">
      <c r="A55" t="s">
        <v>1392</v>
      </c>
      <c r="B55" t="s">
        <v>2064</v>
      </c>
      <c r="C55" t="s">
        <v>1253</v>
      </c>
      <c r="D55">
        <v>0.93866509199142456</v>
      </c>
      <c r="E55">
        <v>0.93209284543991089</v>
      </c>
      <c r="F55">
        <v>0.9353674054145813</v>
      </c>
      <c r="G55">
        <v>2.4443168771526982</v>
      </c>
      <c r="H55">
        <f t="shared" si="0"/>
        <v>837</v>
      </c>
      <c r="I55" s="18" t="str">
        <f t="shared" si="1"/>
        <v>stainless steel as the reactor material.</v>
      </c>
      <c r="J55" s="18" t="str">
        <f t="shared" si="2"/>
        <v>stainless steel</v>
      </c>
      <c r="K55">
        <f t="shared" si="3"/>
        <v>933</v>
      </c>
      <c r="L55" s="18" t="str">
        <f t="shared" si="4"/>
        <v xml:space="preserve">stainless steel as the reactor material.
</v>
      </c>
      <c r="M55" s="18" t="str">
        <f t="shared" si="5"/>
        <v>stainless steel</v>
      </c>
    </row>
    <row r="56" spans="1:13" x14ac:dyDescent="0.3">
      <c r="A56" t="s">
        <v>1391</v>
      </c>
      <c r="B56" t="s">
        <v>2063</v>
      </c>
      <c r="C56" t="s">
        <v>1251</v>
      </c>
      <c r="D56">
        <v>0.97471439838409424</v>
      </c>
      <c r="E56">
        <v>0.97544938325881958</v>
      </c>
      <c r="F56">
        <v>0.97508174180984497</v>
      </c>
      <c r="G56">
        <v>0.34756798161623897</v>
      </c>
      <c r="H56">
        <f t="shared" si="0"/>
        <v>949</v>
      </c>
      <c r="I56" s="18" t="str">
        <f t="shared" si="1"/>
        <v>stainless steel as the reactor material.</v>
      </c>
      <c r="J56" s="18" t="str">
        <f t="shared" si="2"/>
        <v>stainless steel</v>
      </c>
      <c r="K56">
        <f t="shared" si="3"/>
        <v>954</v>
      </c>
      <c r="L56" s="18" t="str">
        <f t="shared" si="4"/>
        <v xml:space="preserve">stainless steel as the reactor material.
</v>
      </c>
      <c r="M56" s="18" t="str">
        <f t="shared" si="5"/>
        <v>stainless steel</v>
      </c>
    </row>
    <row r="57" spans="1:13" x14ac:dyDescent="0.3">
      <c r="A57" t="s">
        <v>1390</v>
      </c>
      <c r="B57" t="s">
        <v>2062</v>
      </c>
      <c r="C57" t="s">
        <v>1249</v>
      </c>
      <c r="D57">
        <v>0.97431206703186035</v>
      </c>
      <c r="E57">
        <v>0.97115224599838257</v>
      </c>
      <c r="F57">
        <v>0.97272956371307373</v>
      </c>
      <c r="G57">
        <v>0.101808439383791</v>
      </c>
      <c r="H57">
        <f t="shared" si="0"/>
        <v>950</v>
      </c>
      <c r="I57" s="18" t="str">
        <f t="shared" si="1"/>
        <v>stainless steel as the reactor material.</v>
      </c>
      <c r="J57" s="18" t="str">
        <f t="shared" si="2"/>
        <v>stainless steel</v>
      </c>
      <c r="K57">
        <f t="shared" si="3"/>
        <v>950</v>
      </c>
      <c r="L57" s="18" t="str">
        <f t="shared" si="4"/>
        <v xml:space="preserve">stainless steel as the reactor material.
</v>
      </c>
      <c r="M57" s="18" t="str">
        <f t="shared" si="5"/>
        <v>stainless steel</v>
      </c>
    </row>
    <row r="58" spans="1:13" hidden="1" x14ac:dyDescent="0.3">
      <c r="A58" t="s">
        <v>1389</v>
      </c>
      <c r="B58" t="s">
        <v>2061</v>
      </c>
      <c r="C58" t="s">
        <v>1247</v>
      </c>
      <c r="D58">
        <v>0.97289174795150757</v>
      </c>
      <c r="E58">
        <v>0.97563076019287109</v>
      </c>
      <c r="F58">
        <v>0.97425931692123413</v>
      </c>
      <c r="G58">
        <v>1.3888888888888891</v>
      </c>
      <c r="H58">
        <f t="shared" si="0"/>
        <v>950</v>
      </c>
      <c r="I58" s="18" t="str">
        <f t="shared" si="1"/>
        <v>stainless steel as the reactor material.</v>
      </c>
      <c r="J58" s="18" t="str">
        <f t="shared" si="2"/>
        <v>stainless steel</v>
      </c>
      <c r="K58">
        <f t="shared" si="3"/>
        <v>948</v>
      </c>
      <c r="L58" s="18" t="str">
        <f t="shared" si="4"/>
        <v xml:space="preserve">stainless steel as the reactor material.
</v>
      </c>
      <c r="M58" s="18" t="str">
        <f t="shared" si="5"/>
        <v>stainless steel</v>
      </c>
    </row>
    <row r="59" spans="1:13" hidden="1" x14ac:dyDescent="0.3">
      <c r="A59" t="s">
        <v>1388</v>
      </c>
      <c r="B59" t="s">
        <v>2060</v>
      </c>
      <c r="C59" t="s">
        <v>1245</v>
      </c>
      <c r="D59">
        <v>0.97221320867538452</v>
      </c>
      <c r="E59">
        <v>0.97499525547027588</v>
      </c>
      <c r="F59">
        <v>0.973602294921875</v>
      </c>
      <c r="G59">
        <v>2.846262341325811</v>
      </c>
      <c r="H59">
        <f t="shared" si="0"/>
        <v>935</v>
      </c>
      <c r="I59" s="18" t="str">
        <f t="shared" si="1"/>
        <v>stainless steel as the reactor material.</v>
      </c>
      <c r="J59" s="18" t="str">
        <f t="shared" si="2"/>
        <v>stainless steel</v>
      </c>
      <c r="K59">
        <f t="shared" si="3"/>
        <v>934</v>
      </c>
      <c r="L59" s="18" t="str">
        <f t="shared" si="4"/>
        <v xml:space="preserve">stainless steel as the reactor material.
</v>
      </c>
      <c r="M59" s="18" t="str">
        <f t="shared" si="5"/>
        <v>stainless steel</v>
      </c>
    </row>
    <row r="60" spans="1:13" x14ac:dyDescent="0.3">
      <c r="A60" t="s">
        <v>1387</v>
      </c>
      <c r="B60" t="s">
        <v>2059</v>
      </c>
      <c r="C60" t="s">
        <v>1243</v>
      </c>
      <c r="D60">
        <v>0.96246123313903809</v>
      </c>
      <c r="E60">
        <v>0.95660579204559326</v>
      </c>
      <c r="F60">
        <v>0.95952457189559937</v>
      </c>
      <c r="G60">
        <v>0.66342817487855654</v>
      </c>
      <c r="H60">
        <f t="shared" si="0"/>
        <v>948</v>
      </c>
      <c r="I60" s="18" t="str">
        <f t="shared" si="1"/>
        <v>stainless steel as the reactor material.</v>
      </c>
      <c r="J60" s="18" t="str">
        <f t="shared" si="2"/>
        <v>stainless steel</v>
      </c>
      <c r="K60">
        <f t="shared" si="3"/>
        <v>951</v>
      </c>
      <c r="L60" s="18" t="str">
        <f t="shared" si="4"/>
        <v xml:space="preserve">stainless steel as the reactor material.
</v>
      </c>
      <c r="M60" s="18" t="str">
        <f t="shared" si="5"/>
        <v>stainless steel</v>
      </c>
    </row>
    <row r="61" spans="1:13" x14ac:dyDescent="0.3">
      <c r="A61" t="s">
        <v>1386</v>
      </c>
      <c r="B61" t="s">
        <v>2058</v>
      </c>
      <c r="C61" t="s">
        <v>1241</v>
      </c>
      <c r="D61">
        <v>0.98846292495727539</v>
      </c>
      <c r="E61">
        <v>0.98882782459259033</v>
      </c>
      <c r="F61">
        <v>0.98864531517028809</v>
      </c>
      <c r="G61">
        <v>0.29897925584458351</v>
      </c>
      <c r="H61">
        <f t="shared" si="0"/>
        <v>933</v>
      </c>
      <c r="I61" s="18" t="str">
        <f t="shared" si="1"/>
        <v>stainless steel as the reactor material.</v>
      </c>
      <c r="J61" s="18" t="str">
        <f t="shared" si="2"/>
        <v>stainless steel</v>
      </c>
      <c r="K61">
        <f t="shared" si="3"/>
        <v>934</v>
      </c>
      <c r="L61" s="18" t="str">
        <f t="shared" si="4"/>
        <v xml:space="preserve">stainless steel as the reactor material.
</v>
      </c>
      <c r="M61" s="18" t="str">
        <f t="shared" si="5"/>
        <v>stainless steel</v>
      </c>
    </row>
    <row r="62" spans="1:13" x14ac:dyDescent="0.3">
      <c r="A62" t="s">
        <v>1385</v>
      </c>
      <c r="B62" t="s">
        <v>2057</v>
      </c>
      <c r="C62" t="s">
        <v>1239</v>
      </c>
      <c r="D62">
        <v>0.98310089111328125</v>
      </c>
      <c r="E62">
        <v>0.98380577564239502</v>
      </c>
      <c r="F62">
        <v>0.98345315456390381</v>
      </c>
      <c r="G62">
        <v>0.2167407457673125</v>
      </c>
      <c r="H62">
        <f t="shared" si="0"/>
        <v>1350</v>
      </c>
      <c r="I62" s="18" t="str">
        <f t="shared" si="1"/>
        <v>stainless steel as the reactor material.</v>
      </c>
      <c r="J62" s="18" t="str">
        <f t="shared" si="2"/>
        <v>stainless steel</v>
      </c>
      <c r="K62">
        <f t="shared" si="3"/>
        <v>1342</v>
      </c>
      <c r="L62" s="18" t="str">
        <f t="shared" si="4"/>
        <v xml:space="preserve">stainless steel as the reactor material.
</v>
      </c>
      <c r="M62" s="18" t="str">
        <f t="shared" si="5"/>
        <v>stainless steel</v>
      </c>
    </row>
    <row r="63" spans="1:13" x14ac:dyDescent="0.3">
      <c r="A63" t="s">
        <v>1384</v>
      </c>
      <c r="B63" t="s">
        <v>2056</v>
      </c>
      <c r="C63" t="s">
        <v>1237</v>
      </c>
      <c r="D63">
        <v>0.99077236652374268</v>
      </c>
      <c r="E63">
        <v>0.99062949419021606</v>
      </c>
      <c r="F63">
        <v>0.99070090055465698</v>
      </c>
      <c r="G63">
        <v>2.817406146088583E-2</v>
      </c>
      <c r="H63">
        <f t="shared" si="0"/>
        <v>1436</v>
      </c>
      <c r="I63" s="18" t="str">
        <f t="shared" si="1"/>
        <v>stainless steel as the reactor material.</v>
      </c>
      <c r="J63" s="18" t="str">
        <f t="shared" si="2"/>
        <v>stainless steel</v>
      </c>
      <c r="K63">
        <f t="shared" si="3"/>
        <v>1432</v>
      </c>
      <c r="L63" s="18" t="str">
        <f t="shared" si="4"/>
        <v xml:space="preserve">stainless steel as the reactor material.
</v>
      </c>
      <c r="M63" s="18" t="str">
        <f t="shared" si="5"/>
        <v>stainless steel</v>
      </c>
    </row>
    <row r="64" spans="1:13" x14ac:dyDescent="0.3">
      <c r="A64" t="s">
        <v>1383</v>
      </c>
      <c r="B64" t="s">
        <v>2055</v>
      </c>
      <c r="C64" t="s">
        <v>1235</v>
      </c>
      <c r="D64">
        <v>0.98116970062255859</v>
      </c>
      <c r="E64">
        <v>0.97995781898498535</v>
      </c>
      <c r="F64">
        <v>0.98056340217590332</v>
      </c>
      <c r="G64">
        <v>3.235917977185284E-2</v>
      </c>
      <c r="H64">
        <f t="shared" si="0"/>
        <v>1441</v>
      </c>
      <c r="I64" s="18" t="str">
        <f t="shared" si="1"/>
        <v>stainless steel as the reactor material.</v>
      </c>
      <c r="J64" s="18" t="str">
        <f t="shared" si="2"/>
        <v>stainless steel</v>
      </c>
      <c r="K64">
        <f t="shared" si="3"/>
        <v>1441</v>
      </c>
      <c r="L64" s="18" t="str">
        <f t="shared" si="4"/>
        <v xml:space="preserve">stainless steel as the reactor material.
</v>
      </c>
      <c r="M64" s="18" t="str">
        <f t="shared" si="5"/>
        <v>stainless steel</v>
      </c>
    </row>
    <row r="65" spans="1:13" x14ac:dyDescent="0.3">
      <c r="A65" t="s">
        <v>1382</v>
      </c>
      <c r="B65" t="s">
        <v>2054</v>
      </c>
      <c r="C65" t="s">
        <v>1233</v>
      </c>
      <c r="D65">
        <v>0.99208712577819824</v>
      </c>
      <c r="E65">
        <v>0.99201935529708862</v>
      </c>
      <c r="F65">
        <v>0.99205315113067627</v>
      </c>
      <c r="G65">
        <v>0.13802909574047459</v>
      </c>
      <c r="H65">
        <f t="shared" si="0"/>
        <v>1361</v>
      </c>
      <c r="I65" s="18" t="str">
        <f t="shared" si="1"/>
        <v>stainless steel as the reactor material.</v>
      </c>
      <c r="J65" s="18" t="str">
        <f t="shared" si="2"/>
        <v>stainless steel</v>
      </c>
      <c r="K65">
        <f t="shared" si="3"/>
        <v>1361</v>
      </c>
      <c r="L65" s="18" t="str">
        <f t="shared" si="4"/>
        <v xml:space="preserve">stainless steel as the reactor material.
</v>
      </c>
      <c r="M65" s="18" t="str">
        <f t="shared" si="5"/>
        <v>stainless steel</v>
      </c>
    </row>
    <row r="66" spans="1:13" x14ac:dyDescent="0.3">
      <c r="A66" t="s">
        <v>1381</v>
      </c>
      <c r="B66" t="s">
        <v>2053</v>
      </c>
      <c r="C66" t="s">
        <v>1231</v>
      </c>
      <c r="D66">
        <v>0.99209362268447876</v>
      </c>
      <c r="E66">
        <v>0.99216723442077637</v>
      </c>
      <c r="F66">
        <v>0.99213045835494995</v>
      </c>
      <c r="G66">
        <v>3.6324425503659451E-3</v>
      </c>
      <c r="H66">
        <f t="shared" si="0"/>
        <v>1448</v>
      </c>
      <c r="I66" s="18" t="str">
        <f t="shared" si="1"/>
        <v>stainless steel as the reactor material.</v>
      </c>
      <c r="J66" s="18" t="str">
        <f t="shared" si="2"/>
        <v>stainless steel</v>
      </c>
      <c r="K66">
        <f t="shared" si="3"/>
        <v>1447</v>
      </c>
      <c r="L66" s="18" t="str">
        <f t="shared" si="4"/>
        <v xml:space="preserve">stainless steel as the reactor material.
</v>
      </c>
      <c r="M66" s="18" t="str">
        <f t="shared" si="5"/>
        <v>stainless steel</v>
      </c>
    </row>
    <row r="67" spans="1:13" x14ac:dyDescent="0.3">
      <c r="A67" t="s">
        <v>1380</v>
      </c>
      <c r="B67" t="s">
        <v>2052</v>
      </c>
      <c r="C67" t="s">
        <v>1229</v>
      </c>
      <c r="D67">
        <v>0.97613048553466797</v>
      </c>
      <c r="E67">
        <v>0.97486191987991333</v>
      </c>
      <c r="F67">
        <v>0.97549581527709961</v>
      </c>
      <c r="G67">
        <v>0.1561348607521201</v>
      </c>
      <c r="H67">
        <f t="shared" ref="H67:H89" si="6">FIND("using",B67)</f>
        <v>1357</v>
      </c>
      <c r="I67" s="18" t="str">
        <f t="shared" ref="I67:I89" si="7">MID(B67,H67+LEN("using "),LEN(B67))</f>
        <v>stainless steel as the reactor material.</v>
      </c>
      <c r="J67" s="18" t="str">
        <f t="shared" ref="J67:J89" si="8">LEFT(I67,FIND(" ",I67,FIND(" ",I67)+1)-1)</f>
        <v>stainless steel</v>
      </c>
      <c r="K67">
        <f t="shared" ref="K67:K89" si="9">FIND("using",C67)</f>
        <v>1361</v>
      </c>
      <c r="L67" s="18" t="str">
        <f t="shared" ref="L67:L89" si="10">MID(C67,K67+LEN("using "),LEN(C67))</f>
        <v xml:space="preserve">stainless steel as the reactor material.
</v>
      </c>
      <c r="M67" s="18" t="str">
        <f t="shared" ref="M67:M89" si="11">LEFT(L67,FIND(" ",L67,FIND(" ",L67)+1)-1)</f>
        <v>stainless steel</v>
      </c>
    </row>
    <row r="68" spans="1:13" x14ac:dyDescent="0.3">
      <c r="A68" t="s">
        <v>1379</v>
      </c>
      <c r="B68" t="s">
        <v>2051</v>
      </c>
      <c r="C68" t="s">
        <v>1227</v>
      </c>
      <c r="D68">
        <v>0.98196029663085938</v>
      </c>
      <c r="E68">
        <v>0.98350942134857178</v>
      </c>
      <c r="F68">
        <v>0.98273426294326782</v>
      </c>
      <c r="G68">
        <v>0.99878120607328325</v>
      </c>
      <c r="H68">
        <f t="shared" si="6"/>
        <v>1338</v>
      </c>
      <c r="I68" s="18" t="str">
        <f t="shared" si="7"/>
        <v>stainless steel as the reactor material.</v>
      </c>
      <c r="J68" s="18" t="str">
        <f t="shared" si="8"/>
        <v>stainless steel</v>
      </c>
      <c r="K68">
        <f t="shared" si="9"/>
        <v>1438</v>
      </c>
      <c r="L68" s="18" t="str">
        <f t="shared" si="10"/>
        <v xml:space="preserve">stainless steel as the reactor material.
</v>
      </c>
      <c r="M68" s="18" t="str">
        <f t="shared" si="11"/>
        <v>stainless steel</v>
      </c>
    </row>
    <row r="69" spans="1:13" x14ac:dyDescent="0.3">
      <c r="A69" t="s">
        <v>1378</v>
      </c>
      <c r="B69" t="s">
        <v>2050</v>
      </c>
      <c r="C69" t="s">
        <v>1225</v>
      </c>
      <c r="D69">
        <v>0.98773163557052612</v>
      </c>
      <c r="E69">
        <v>0.98845863342285156</v>
      </c>
      <c r="F69">
        <v>0.9880949854850769</v>
      </c>
      <c r="G69">
        <v>0.1115362951350457</v>
      </c>
      <c r="H69">
        <f t="shared" si="6"/>
        <v>1351</v>
      </c>
      <c r="I69" s="18" t="str">
        <f t="shared" si="7"/>
        <v>stainless steel as the reactor material.</v>
      </c>
      <c r="J69" s="18" t="str">
        <f t="shared" si="8"/>
        <v>stainless steel</v>
      </c>
      <c r="K69">
        <f t="shared" si="9"/>
        <v>1352</v>
      </c>
      <c r="L69" s="18" t="str">
        <f t="shared" si="10"/>
        <v xml:space="preserve">stainless steel as the reactor material.
</v>
      </c>
      <c r="M69" s="18" t="str">
        <f t="shared" si="11"/>
        <v>stainless steel</v>
      </c>
    </row>
    <row r="70" spans="1:13" x14ac:dyDescent="0.3">
      <c r="A70" t="s">
        <v>1377</v>
      </c>
      <c r="B70" t="s">
        <v>2049</v>
      </c>
      <c r="C70" t="s">
        <v>1223</v>
      </c>
      <c r="D70">
        <v>0.99010920524597168</v>
      </c>
      <c r="E70">
        <v>0.99020892381668091</v>
      </c>
      <c r="F70">
        <v>0.99015909433364868</v>
      </c>
      <c r="G70">
        <v>0.10546516105345161</v>
      </c>
      <c r="H70">
        <f t="shared" si="6"/>
        <v>1352</v>
      </c>
      <c r="I70" s="18" t="str">
        <f t="shared" si="7"/>
        <v>stainless steel as the reactor material.</v>
      </c>
      <c r="J70" s="18" t="str">
        <f t="shared" si="8"/>
        <v>stainless steel</v>
      </c>
      <c r="K70">
        <f t="shared" si="9"/>
        <v>1348</v>
      </c>
      <c r="L70" s="18" t="str">
        <f t="shared" si="10"/>
        <v xml:space="preserve">stainless steel as the reactor material.
</v>
      </c>
      <c r="M70" s="18" t="str">
        <f t="shared" si="11"/>
        <v>stainless steel</v>
      </c>
    </row>
    <row r="71" spans="1:13" x14ac:dyDescent="0.3">
      <c r="A71" t="s">
        <v>1376</v>
      </c>
      <c r="B71" t="s">
        <v>2048</v>
      </c>
      <c r="C71" t="s">
        <v>1221</v>
      </c>
      <c r="D71">
        <v>0.97271943092346191</v>
      </c>
      <c r="E71">
        <v>0.97383427619934082</v>
      </c>
      <c r="F71">
        <v>0.97327655553817749</v>
      </c>
      <c r="G71">
        <v>0.16680706032102269</v>
      </c>
      <c r="H71">
        <f t="shared" si="6"/>
        <v>1353</v>
      </c>
      <c r="I71" s="18" t="str">
        <f t="shared" si="7"/>
        <v>stainless steel as the reactor material.</v>
      </c>
      <c r="J71" s="18" t="str">
        <f t="shared" si="8"/>
        <v>stainless steel</v>
      </c>
      <c r="K71">
        <f t="shared" si="9"/>
        <v>1359</v>
      </c>
      <c r="L71" s="18" t="str">
        <f t="shared" si="10"/>
        <v xml:space="preserve">stainless steel as the reactor material.
</v>
      </c>
      <c r="M71" s="18" t="str">
        <f t="shared" si="11"/>
        <v>stainless steel</v>
      </c>
    </row>
    <row r="72" spans="1:13" x14ac:dyDescent="0.3">
      <c r="A72" t="s">
        <v>1375</v>
      </c>
      <c r="B72" t="s">
        <v>2047</v>
      </c>
      <c r="C72" t="s">
        <v>1219</v>
      </c>
      <c r="D72">
        <v>0.97080934047698975</v>
      </c>
      <c r="E72">
        <v>0.97147834300994873</v>
      </c>
      <c r="F72">
        <v>0.97114372253417969</v>
      </c>
      <c r="G72">
        <v>0.97208454395260069</v>
      </c>
      <c r="H72">
        <f t="shared" si="6"/>
        <v>1352</v>
      </c>
      <c r="I72" s="18" t="str">
        <f t="shared" si="7"/>
        <v>stainless steel as the reactor material.</v>
      </c>
      <c r="J72" s="18" t="str">
        <f t="shared" si="8"/>
        <v>stainless steel</v>
      </c>
      <c r="K72">
        <f t="shared" si="9"/>
        <v>1355</v>
      </c>
      <c r="L72" s="18" t="str">
        <f t="shared" si="10"/>
        <v xml:space="preserve">stainless steel as the reactor material.
</v>
      </c>
      <c r="M72" s="18" t="str">
        <f t="shared" si="11"/>
        <v>stainless steel</v>
      </c>
    </row>
    <row r="73" spans="1:13" x14ac:dyDescent="0.3">
      <c r="A73" t="s">
        <v>1374</v>
      </c>
      <c r="B73" t="s">
        <v>2046</v>
      </c>
      <c r="C73" t="s">
        <v>1217</v>
      </c>
      <c r="D73">
        <v>0.99605178833007813</v>
      </c>
      <c r="E73">
        <v>0.99605178833007813</v>
      </c>
      <c r="F73">
        <v>0.99605178833007813</v>
      </c>
      <c r="G73">
        <v>8.9551992499600479E-3</v>
      </c>
      <c r="H73">
        <f t="shared" si="6"/>
        <v>1435</v>
      </c>
      <c r="I73" s="18" t="str">
        <f t="shared" si="7"/>
        <v>stainless steel as the reactor material.</v>
      </c>
      <c r="J73" s="18" t="str">
        <f t="shared" si="8"/>
        <v>stainless steel</v>
      </c>
      <c r="K73">
        <f t="shared" si="9"/>
        <v>1434</v>
      </c>
      <c r="L73" s="18" t="str">
        <f t="shared" si="10"/>
        <v xml:space="preserve">stainless steel as the reactor material.
</v>
      </c>
      <c r="M73" s="18" t="str">
        <f t="shared" si="11"/>
        <v>stainless steel</v>
      </c>
    </row>
    <row r="74" spans="1:13" x14ac:dyDescent="0.3">
      <c r="A74" t="s">
        <v>1373</v>
      </c>
      <c r="B74" t="s">
        <v>2045</v>
      </c>
      <c r="C74" t="s">
        <v>1215</v>
      </c>
      <c r="D74">
        <v>0.99540603160858154</v>
      </c>
      <c r="E74">
        <v>0.99554038047790527</v>
      </c>
      <c r="F74">
        <v>0.99547320604324341</v>
      </c>
      <c r="G74">
        <v>3.0258839086220301E-3</v>
      </c>
      <c r="H74">
        <f t="shared" si="6"/>
        <v>1432</v>
      </c>
      <c r="I74" s="18" t="str">
        <f t="shared" si="7"/>
        <v>stainless steel as the reactor material.</v>
      </c>
      <c r="J74" s="18" t="str">
        <f t="shared" si="8"/>
        <v>stainless steel</v>
      </c>
      <c r="K74">
        <f t="shared" si="9"/>
        <v>1435</v>
      </c>
      <c r="L74" s="18" t="str">
        <f t="shared" si="10"/>
        <v xml:space="preserve">stainless steel as the reactor material.
</v>
      </c>
      <c r="M74" s="18" t="str">
        <f t="shared" si="11"/>
        <v>stainless steel</v>
      </c>
    </row>
    <row r="75" spans="1:13" x14ac:dyDescent="0.3">
      <c r="A75" t="s">
        <v>1372</v>
      </c>
      <c r="B75" t="s">
        <v>2044</v>
      </c>
      <c r="C75" t="s">
        <v>1213</v>
      </c>
      <c r="D75">
        <v>0.97259616851806641</v>
      </c>
      <c r="E75">
        <v>0.97216415405273438</v>
      </c>
      <c r="F75">
        <v>0.97238010168075562</v>
      </c>
      <c r="G75">
        <v>0.1145150674194375</v>
      </c>
      <c r="H75">
        <f t="shared" si="6"/>
        <v>1358</v>
      </c>
      <c r="I75" s="18" t="str">
        <f t="shared" si="7"/>
        <v>stainless steel as the reactor material.</v>
      </c>
      <c r="J75" s="18" t="str">
        <f t="shared" si="8"/>
        <v>stainless steel</v>
      </c>
      <c r="K75">
        <f t="shared" si="9"/>
        <v>1355</v>
      </c>
      <c r="L75" s="18" t="str">
        <f t="shared" si="10"/>
        <v xml:space="preserve">stainless steel as the reactor material.
</v>
      </c>
      <c r="M75" s="18" t="str">
        <f t="shared" si="11"/>
        <v>stainless steel</v>
      </c>
    </row>
    <row r="76" spans="1:13" x14ac:dyDescent="0.3">
      <c r="A76" t="s">
        <v>1371</v>
      </c>
      <c r="B76" t="s">
        <v>2043</v>
      </c>
      <c r="C76" t="s">
        <v>1211</v>
      </c>
      <c r="D76">
        <v>0.99660634994506836</v>
      </c>
      <c r="E76">
        <v>0.99681210517883301</v>
      </c>
      <c r="F76">
        <v>0.99670922756195068</v>
      </c>
      <c r="G76">
        <v>2.440282606491229E-2</v>
      </c>
      <c r="H76">
        <f t="shared" si="6"/>
        <v>1438</v>
      </c>
      <c r="I76" s="18" t="str">
        <f t="shared" si="7"/>
        <v>stainless steel as the reactor material.</v>
      </c>
      <c r="J76" s="18" t="str">
        <f t="shared" si="8"/>
        <v>stainless steel</v>
      </c>
      <c r="K76">
        <f t="shared" si="9"/>
        <v>1438</v>
      </c>
      <c r="L76" s="18" t="str">
        <f t="shared" si="10"/>
        <v xml:space="preserve">stainless steel as the reactor material.
</v>
      </c>
      <c r="M76" s="18" t="str">
        <f t="shared" si="11"/>
        <v>stainless steel</v>
      </c>
    </row>
    <row r="77" spans="1:13" x14ac:dyDescent="0.3">
      <c r="A77" t="s">
        <v>1370</v>
      </c>
      <c r="B77" t="s">
        <v>2042</v>
      </c>
      <c r="C77" t="s">
        <v>1209</v>
      </c>
      <c r="D77">
        <v>0.99598276615142822</v>
      </c>
      <c r="E77">
        <v>0.99604737758636475</v>
      </c>
      <c r="F77">
        <v>0.99601507186889648</v>
      </c>
      <c r="G77">
        <v>1.515544146020526E-2</v>
      </c>
      <c r="H77">
        <f t="shared" si="6"/>
        <v>1435</v>
      </c>
      <c r="I77" s="18" t="str">
        <f t="shared" si="7"/>
        <v>stainless steel as the reactor material.</v>
      </c>
      <c r="J77" s="18" t="str">
        <f t="shared" si="8"/>
        <v>stainless steel</v>
      </c>
      <c r="K77">
        <f t="shared" si="9"/>
        <v>1434</v>
      </c>
      <c r="L77" s="18" t="str">
        <f t="shared" si="10"/>
        <v xml:space="preserve">stainless steel as the reactor material.
</v>
      </c>
      <c r="M77" s="18" t="str">
        <f t="shared" si="11"/>
        <v>stainless steel</v>
      </c>
    </row>
    <row r="78" spans="1:13" x14ac:dyDescent="0.3">
      <c r="A78" t="s">
        <v>1369</v>
      </c>
      <c r="B78" t="s">
        <v>2041</v>
      </c>
      <c r="C78" t="s">
        <v>1207</v>
      </c>
      <c r="D78">
        <v>0.97376906871795654</v>
      </c>
      <c r="E78">
        <v>0.97545456886291504</v>
      </c>
      <c r="F78">
        <v>0.97461110353469849</v>
      </c>
      <c r="G78">
        <v>6.1947700631199323E-2</v>
      </c>
      <c r="H78">
        <f t="shared" si="6"/>
        <v>1357</v>
      </c>
      <c r="I78" s="18" t="str">
        <f t="shared" si="7"/>
        <v>stainless steel as the reactor material.</v>
      </c>
      <c r="J78" s="18" t="str">
        <f t="shared" si="8"/>
        <v>stainless steel</v>
      </c>
      <c r="K78">
        <f t="shared" si="9"/>
        <v>1356</v>
      </c>
      <c r="L78" s="18" t="str">
        <f t="shared" si="10"/>
        <v xml:space="preserve">stainless steel as the reactor material.
</v>
      </c>
      <c r="M78" s="18" t="str">
        <f t="shared" si="11"/>
        <v>stainless steel</v>
      </c>
    </row>
    <row r="79" spans="1:13" x14ac:dyDescent="0.3">
      <c r="A79" t="s">
        <v>1368</v>
      </c>
      <c r="B79" t="s">
        <v>2040</v>
      </c>
      <c r="C79" t="s">
        <v>1205</v>
      </c>
      <c r="D79">
        <v>0.99665153026580811</v>
      </c>
      <c r="E79">
        <v>0.99665153026580811</v>
      </c>
      <c r="F79">
        <v>0.99665153026580811</v>
      </c>
      <c r="G79">
        <v>1.020520308054051E-2</v>
      </c>
      <c r="H79">
        <f t="shared" si="6"/>
        <v>1438</v>
      </c>
      <c r="I79" s="18" t="str">
        <f t="shared" si="7"/>
        <v>stainless steel as the reactor material.</v>
      </c>
      <c r="J79" s="18" t="str">
        <f t="shared" si="8"/>
        <v>stainless steel</v>
      </c>
      <c r="K79">
        <f t="shared" si="9"/>
        <v>1438</v>
      </c>
      <c r="L79" s="18" t="str">
        <f t="shared" si="10"/>
        <v xml:space="preserve">stainless steel as the reactor material.
</v>
      </c>
      <c r="M79" s="18" t="str">
        <f t="shared" si="11"/>
        <v>stainless steel</v>
      </c>
    </row>
    <row r="80" spans="1:13" x14ac:dyDescent="0.3">
      <c r="A80" t="s">
        <v>1367</v>
      </c>
      <c r="B80" t="s">
        <v>2039</v>
      </c>
      <c r="C80" t="s">
        <v>1203</v>
      </c>
      <c r="D80">
        <v>0.98866993188858032</v>
      </c>
      <c r="E80">
        <v>0.98875194787979126</v>
      </c>
      <c r="F80">
        <v>0.98871093988418579</v>
      </c>
      <c r="G80">
        <v>5.5816050495942272E-2</v>
      </c>
      <c r="H80">
        <f t="shared" si="6"/>
        <v>1357</v>
      </c>
      <c r="I80" s="18" t="str">
        <f t="shared" si="7"/>
        <v>stainless steel as the reactor material.</v>
      </c>
      <c r="J80" s="18" t="str">
        <f t="shared" si="8"/>
        <v>stainless steel</v>
      </c>
      <c r="K80">
        <f t="shared" si="9"/>
        <v>1356</v>
      </c>
      <c r="L80" s="18" t="str">
        <f t="shared" si="10"/>
        <v xml:space="preserve">stainless steel as the reactor material.
</v>
      </c>
      <c r="M80" s="18" t="str">
        <f t="shared" si="11"/>
        <v>stainless steel</v>
      </c>
    </row>
    <row r="81" spans="1:13" x14ac:dyDescent="0.3">
      <c r="A81" t="s">
        <v>1366</v>
      </c>
      <c r="B81" t="s">
        <v>2038</v>
      </c>
      <c r="C81" t="s">
        <v>1201</v>
      </c>
      <c r="D81">
        <v>0.98970651626586914</v>
      </c>
      <c r="E81">
        <v>0.99006688594818115</v>
      </c>
      <c r="F81">
        <v>0.98988664150238037</v>
      </c>
      <c r="G81">
        <v>3.9972567535009072E-2</v>
      </c>
      <c r="H81">
        <f t="shared" si="6"/>
        <v>1433</v>
      </c>
      <c r="I81" s="18" t="str">
        <f t="shared" si="7"/>
        <v>stainless steel as the reactor material.</v>
      </c>
      <c r="J81" s="18" t="str">
        <f t="shared" si="8"/>
        <v>stainless steel</v>
      </c>
      <c r="K81">
        <f t="shared" si="9"/>
        <v>1436</v>
      </c>
      <c r="L81" s="18" t="str">
        <f t="shared" si="10"/>
        <v xml:space="preserve">stainless steel as the reactor material.
</v>
      </c>
      <c r="M81" s="18" t="str">
        <f t="shared" si="11"/>
        <v>stainless steel</v>
      </c>
    </row>
    <row r="82" spans="1:13" x14ac:dyDescent="0.3">
      <c r="A82" t="s">
        <v>1365</v>
      </c>
      <c r="B82" t="s">
        <v>2037</v>
      </c>
      <c r="C82" t="s">
        <v>1199</v>
      </c>
      <c r="D82">
        <v>0.99624341726303101</v>
      </c>
      <c r="E82">
        <v>0.99579501152038574</v>
      </c>
      <c r="F82">
        <v>0.99601912498474121</v>
      </c>
      <c r="G82">
        <v>1.7144777147353261E-2</v>
      </c>
      <c r="H82">
        <f t="shared" si="6"/>
        <v>1427</v>
      </c>
      <c r="I82" s="18" t="str">
        <f t="shared" si="7"/>
        <v>stainless steel as the reactor material.</v>
      </c>
      <c r="J82" s="18" t="str">
        <f t="shared" si="8"/>
        <v>stainless steel</v>
      </c>
      <c r="K82">
        <f t="shared" si="9"/>
        <v>1429</v>
      </c>
      <c r="L82" s="18" t="str">
        <f t="shared" si="10"/>
        <v xml:space="preserve">stainless steel as the reactor material.
</v>
      </c>
      <c r="M82" s="18" t="str">
        <f t="shared" si="11"/>
        <v>stainless steel</v>
      </c>
    </row>
    <row r="83" spans="1:13" x14ac:dyDescent="0.3">
      <c r="A83" t="s">
        <v>1364</v>
      </c>
      <c r="B83" t="s">
        <v>2036</v>
      </c>
      <c r="C83" t="s">
        <v>1197</v>
      </c>
      <c r="D83">
        <v>0.99565958976745605</v>
      </c>
      <c r="E83">
        <v>0.99565958976745605</v>
      </c>
      <c r="F83">
        <v>0.99565958976745605</v>
      </c>
      <c r="G83">
        <v>1.2493572760803721E-3</v>
      </c>
      <c r="H83">
        <f t="shared" si="6"/>
        <v>1355</v>
      </c>
      <c r="I83" s="18" t="str">
        <f t="shared" si="7"/>
        <v>stainless steel as the reactor material.</v>
      </c>
      <c r="J83" s="18" t="str">
        <f t="shared" si="8"/>
        <v>stainless steel</v>
      </c>
      <c r="K83">
        <f t="shared" si="9"/>
        <v>1359</v>
      </c>
      <c r="L83" s="18" t="str">
        <f t="shared" si="10"/>
        <v xml:space="preserve">stainless steel as the reactor material.
</v>
      </c>
      <c r="M83" s="18" t="str">
        <f t="shared" si="11"/>
        <v>stainless steel</v>
      </c>
    </row>
    <row r="84" spans="1:13" x14ac:dyDescent="0.3">
      <c r="A84" t="s">
        <v>1363</v>
      </c>
      <c r="B84" t="s">
        <v>2035</v>
      </c>
      <c r="C84" t="s">
        <v>1195</v>
      </c>
      <c r="D84">
        <v>0.98128426074981689</v>
      </c>
      <c r="E84">
        <v>0.98223060369491577</v>
      </c>
      <c r="F84">
        <v>0.98175728321075439</v>
      </c>
      <c r="G84">
        <v>9.9112380497756742E-3</v>
      </c>
      <c r="H84">
        <f t="shared" si="6"/>
        <v>1434</v>
      </c>
      <c r="I84" s="18" t="str">
        <f t="shared" si="7"/>
        <v>stainless steel as the reactor material.</v>
      </c>
      <c r="J84" s="18" t="str">
        <f t="shared" si="8"/>
        <v>stainless steel</v>
      </c>
      <c r="K84">
        <f t="shared" si="9"/>
        <v>1432</v>
      </c>
      <c r="L84" s="18" t="str">
        <f t="shared" si="10"/>
        <v xml:space="preserve">stainless steel as the reactor material.
</v>
      </c>
      <c r="M84" s="18" t="str">
        <f t="shared" si="11"/>
        <v>stainless steel</v>
      </c>
    </row>
    <row r="85" spans="1:13" x14ac:dyDescent="0.3">
      <c r="A85" t="s">
        <v>1362</v>
      </c>
      <c r="B85" t="s">
        <v>2034</v>
      </c>
      <c r="C85" t="s">
        <v>1193</v>
      </c>
      <c r="D85">
        <v>0.9915701150894165</v>
      </c>
      <c r="E85">
        <v>0.99150502681732178</v>
      </c>
      <c r="F85">
        <v>0.99153757095336914</v>
      </c>
      <c r="G85">
        <v>2.5764288149236789E-2</v>
      </c>
      <c r="H85">
        <f t="shared" si="6"/>
        <v>1434</v>
      </c>
      <c r="I85" s="18" t="str">
        <f t="shared" si="7"/>
        <v>stainless steel as the reactor material.</v>
      </c>
      <c r="J85" s="18" t="str">
        <f t="shared" si="8"/>
        <v>stainless steel</v>
      </c>
      <c r="K85">
        <f t="shared" si="9"/>
        <v>1432</v>
      </c>
      <c r="L85" s="18" t="str">
        <f t="shared" si="10"/>
        <v xml:space="preserve">stainless steel as the reactor material.
</v>
      </c>
      <c r="M85" s="18" t="str">
        <f t="shared" si="11"/>
        <v>stainless steel</v>
      </c>
    </row>
    <row r="86" spans="1:13" x14ac:dyDescent="0.3">
      <c r="A86" t="s">
        <v>1361</v>
      </c>
      <c r="B86" t="s">
        <v>2033</v>
      </c>
      <c r="C86" t="s">
        <v>1191</v>
      </c>
      <c r="D86">
        <v>0.97924554347991943</v>
      </c>
      <c r="E86">
        <v>0.98012614250183105</v>
      </c>
      <c r="F86">
        <v>0.97968566417694092</v>
      </c>
      <c r="G86">
        <v>2.354681326784324E-3</v>
      </c>
      <c r="H86">
        <f t="shared" si="6"/>
        <v>1439</v>
      </c>
      <c r="I86" s="18" t="str">
        <f t="shared" si="7"/>
        <v>stainless steel as the reactor material.</v>
      </c>
      <c r="J86" s="18" t="str">
        <f t="shared" si="8"/>
        <v>stainless steel</v>
      </c>
      <c r="K86">
        <f t="shared" si="9"/>
        <v>1439</v>
      </c>
      <c r="L86" s="18" t="str">
        <f t="shared" si="10"/>
        <v xml:space="preserve">stainless steel as the reactor material.
</v>
      </c>
      <c r="M86" s="18" t="str">
        <f t="shared" si="11"/>
        <v>stainless steel</v>
      </c>
    </row>
    <row r="87" spans="1:13" x14ac:dyDescent="0.3">
      <c r="A87" t="s">
        <v>1360</v>
      </c>
      <c r="B87" t="s">
        <v>2032</v>
      </c>
      <c r="C87" t="s">
        <v>1189</v>
      </c>
      <c r="D87">
        <v>0.9914582371711731</v>
      </c>
      <c r="E87">
        <v>0.99135971069335938</v>
      </c>
      <c r="F87">
        <v>0.99140900373458862</v>
      </c>
      <c r="G87">
        <v>3.466100704142288E-2</v>
      </c>
      <c r="H87">
        <f t="shared" si="6"/>
        <v>1444</v>
      </c>
      <c r="I87" s="18" t="str">
        <f t="shared" si="7"/>
        <v>stainless steel as the reactor material.</v>
      </c>
      <c r="J87" s="18" t="str">
        <f t="shared" si="8"/>
        <v>stainless steel</v>
      </c>
      <c r="K87">
        <f t="shared" si="9"/>
        <v>1442</v>
      </c>
      <c r="L87" s="18" t="str">
        <f t="shared" si="10"/>
        <v xml:space="preserve">stainless steel as the reactor material.
</v>
      </c>
      <c r="M87" s="18" t="str">
        <f t="shared" si="11"/>
        <v>stainless steel</v>
      </c>
    </row>
    <row r="88" spans="1:13" x14ac:dyDescent="0.3">
      <c r="A88" t="s">
        <v>1359</v>
      </c>
      <c r="B88" t="s">
        <v>2031</v>
      </c>
      <c r="C88" t="s">
        <v>1187</v>
      </c>
      <c r="D88">
        <v>0.97688603401184082</v>
      </c>
      <c r="E88">
        <v>0.97750937938690186</v>
      </c>
      <c r="F88">
        <v>0.97719764709472656</v>
      </c>
      <c r="G88">
        <v>4.4966396965819097E-2</v>
      </c>
      <c r="H88">
        <f t="shared" si="6"/>
        <v>1436</v>
      </c>
      <c r="I88" s="18" t="str">
        <f t="shared" si="7"/>
        <v>stainless steel as the reactor material.</v>
      </c>
      <c r="J88" s="18" t="str">
        <f t="shared" si="8"/>
        <v>stainless steel</v>
      </c>
      <c r="K88">
        <f t="shared" si="9"/>
        <v>1430</v>
      </c>
      <c r="L88" s="18" t="str">
        <f t="shared" si="10"/>
        <v xml:space="preserve">stainless steel as the reactor material.
</v>
      </c>
      <c r="M88" s="18" t="str">
        <f t="shared" si="11"/>
        <v>stainless steel</v>
      </c>
    </row>
    <row r="89" spans="1:13" x14ac:dyDescent="0.3">
      <c r="A89" t="s">
        <v>1358</v>
      </c>
      <c r="B89" t="s">
        <v>2030</v>
      </c>
      <c r="C89" t="s">
        <v>1185</v>
      </c>
      <c r="D89">
        <v>0.989859938621521</v>
      </c>
      <c r="E89">
        <v>0.9902496337890625</v>
      </c>
      <c r="F89">
        <v>0.99005478620529175</v>
      </c>
      <c r="G89">
        <v>0.47514943788286379</v>
      </c>
      <c r="H89">
        <f t="shared" si="6"/>
        <v>1366</v>
      </c>
      <c r="I89" s="18" t="str">
        <f t="shared" si="7"/>
        <v>stainless steel as the reactor material.</v>
      </c>
      <c r="J89" s="18" t="str">
        <f t="shared" si="8"/>
        <v>stainless steel</v>
      </c>
      <c r="K89">
        <f t="shared" si="9"/>
        <v>1367</v>
      </c>
      <c r="L89" s="18" t="str">
        <f t="shared" si="10"/>
        <v xml:space="preserve">stainless steel as the reactor material.
</v>
      </c>
      <c r="M89" s="18" t="str">
        <f t="shared" si="11"/>
        <v>stainless steel</v>
      </c>
    </row>
    <row r="90" spans="1:13" x14ac:dyDescent="0.3">
      <c r="D90">
        <f>AVERAGE(D2:D89)</f>
        <v>0.97693803703243087</v>
      </c>
      <c r="E90">
        <f>AVERAGE(E2:E89)</f>
        <v>0.97722088477828284</v>
      </c>
      <c r="F90">
        <f>AVERAGE(F2:F89)</f>
        <v>0.97707488387823105</v>
      </c>
      <c r="G90">
        <f>AVERAGE(G2:G89)</f>
        <v>0.6136785619895897</v>
      </c>
    </row>
  </sheetData>
  <autoFilter ref="A1:G90" xr:uid="{80F2964E-D009-43D5-89AB-F81B9041453D}">
    <filterColumn colId="6">
      <customFilters>
        <customFilter operator="lessThan" val="1"/>
      </customFilters>
    </filterColumn>
  </autoFilter>
  <phoneticPr fontId="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FC3CF-CBD1-46EF-883E-F29307B32810}">
  <dimension ref="A1:M90"/>
  <sheetViews>
    <sheetView topLeftCell="A67" workbookViewId="0">
      <selection activeCell="H2" sqref="H2:M2"/>
    </sheetView>
  </sheetViews>
  <sheetFormatPr defaultRowHeight="14" x14ac:dyDescent="0.3"/>
  <cols>
    <col min="10" max="10" width="16.08203125" customWidth="1"/>
    <col min="13" max="13" width="16.58203125" customWidth="1"/>
  </cols>
  <sheetData>
    <row r="1" spans="1:13" x14ac:dyDescent="0.3">
      <c r="A1" s="1" t="s">
        <v>265</v>
      </c>
      <c r="B1" s="1" t="s">
        <v>264</v>
      </c>
      <c r="C1" s="1" t="s">
        <v>263</v>
      </c>
      <c r="D1" s="1" t="s">
        <v>262</v>
      </c>
      <c r="E1" s="1" t="s">
        <v>261</v>
      </c>
      <c r="F1" s="1" t="s">
        <v>260</v>
      </c>
      <c r="G1" s="1" t="s">
        <v>259</v>
      </c>
    </row>
    <row r="2" spans="1:13" x14ac:dyDescent="0.3">
      <c r="A2" t="s">
        <v>1683</v>
      </c>
      <c r="B2" t="s">
        <v>1682</v>
      </c>
      <c r="C2" t="s">
        <v>1681</v>
      </c>
      <c r="D2">
        <v>0.97316300868988037</v>
      </c>
      <c r="E2">
        <v>0.97215926647186279</v>
      </c>
      <c r="F2">
        <v>0.97266083955764771</v>
      </c>
      <c r="G2">
        <v>0.72895568895202323</v>
      </c>
      <c r="H2">
        <f>FIND("using",B2)</f>
        <v>1176</v>
      </c>
      <c r="I2" s="18" t="str">
        <f>MID(B2,H2+LEN("using "),LEN(B2))</f>
        <v>carbon steel as the reactor material.</v>
      </c>
      <c r="J2" s="18" t="str">
        <f>LEFT(I2,FIND(" ",I2,FIND(" ",I2)+1)-1)</f>
        <v>carbon steel</v>
      </c>
      <c r="K2">
        <f>FIND("using",C2)</f>
        <v>1176</v>
      </c>
      <c r="L2" s="18" t="str">
        <f>MID(C2,K2+LEN("using "),LEN(C2))</f>
        <v>carbon steel as the reactor material.</v>
      </c>
      <c r="M2" s="18" t="str">
        <f>LEFT(L2,FIND(" ",L2,FIND(" ",L2)+1)-1)</f>
        <v>carbon steel</v>
      </c>
    </row>
    <row r="3" spans="1:13" x14ac:dyDescent="0.3">
      <c r="A3" t="s">
        <v>1680</v>
      </c>
      <c r="B3" t="s">
        <v>1679</v>
      </c>
      <c r="C3" t="s">
        <v>1678</v>
      </c>
      <c r="D3">
        <v>0.97600311040878296</v>
      </c>
      <c r="E3">
        <v>0.97642570734024048</v>
      </c>
      <c r="F3">
        <v>0.97621434926986694</v>
      </c>
      <c r="G3">
        <v>0.17873140528707551</v>
      </c>
      <c r="H3">
        <f t="shared" ref="H3:H11" si="0">FIND("using",B3)</f>
        <v>1189</v>
      </c>
      <c r="I3" s="18" t="str">
        <f t="shared" ref="I3:I11" si="1">MID(B3,H3+LEN("using "),LEN(B3))</f>
        <v>carbon steel as the reactor material.</v>
      </c>
      <c r="J3" s="18" t="str">
        <f t="shared" ref="J3:J66" si="2">LEFT(I3,FIND(" ",I3,FIND(" ",I3)+1)-1)</f>
        <v>carbon steel</v>
      </c>
      <c r="K3">
        <f t="shared" ref="K3:K11" si="3">FIND("using",C3)</f>
        <v>1189</v>
      </c>
      <c r="L3" s="18" t="str">
        <f t="shared" ref="L3:L11" si="4">MID(C3,K3+LEN("using "),LEN(C3))</f>
        <v>carbon steel as the reactor material.</v>
      </c>
      <c r="M3" s="18" t="str">
        <f t="shared" ref="M3:M66" si="5">LEFT(L3,FIND(" ",L3,FIND(" ",L3)+1)-1)</f>
        <v>carbon steel</v>
      </c>
    </row>
    <row r="4" spans="1:13" x14ac:dyDescent="0.3">
      <c r="A4" t="s">
        <v>1677</v>
      </c>
      <c r="B4" t="s">
        <v>1676</v>
      </c>
      <c r="C4" t="s">
        <v>1675</v>
      </c>
      <c r="D4">
        <v>0.96820938587188721</v>
      </c>
      <c r="E4">
        <v>0.96787154674530029</v>
      </c>
      <c r="F4">
        <v>0.96804046630859375</v>
      </c>
      <c r="G4">
        <v>8.932022124690002E-2</v>
      </c>
      <c r="H4">
        <f t="shared" si="0"/>
        <v>1191</v>
      </c>
      <c r="I4" s="18" t="str">
        <f t="shared" si="1"/>
        <v>carbon steel as the reactor material.</v>
      </c>
      <c r="J4" s="18" t="str">
        <f t="shared" si="2"/>
        <v>carbon steel</v>
      </c>
      <c r="K4">
        <f t="shared" si="3"/>
        <v>1191</v>
      </c>
      <c r="L4" s="18" t="str">
        <f t="shared" si="4"/>
        <v>carbon steel as the reactor material.</v>
      </c>
      <c r="M4" s="18" t="str">
        <f t="shared" si="5"/>
        <v>carbon steel</v>
      </c>
    </row>
    <row r="5" spans="1:13" x14ac:dyDescent="0.3">
      <c r="A5" t="s">
        <v>1674</v>
      </c>
      <c r="B5" t="s">
        <v>1673</v>
      </c>
      <c r="C5" t="s">
        <v>1672</v>
      </c>
      <c r="D5">
        <v>0.96851921081542969</v>
      </c>
      <c r="E5">
        <v>0.9693450927734375</v>
      </c>
      <c r="F5">
        <v>0.96893197298049927</v>
      </c>
      <c r="G5">
        <v>0.51691031305819313</v>
      </c>
      <c r="H5">
        <f t="shared" si="0"/>
        <v>1119</v>
      </c>
      <c r="I5" s="18" t="str">
        <f t="shared" si="1"/>
        <v>carbon steel as the reactor material.</v>
      </c>
      <c r="J5" s="18" t="str">
        <f t="shared" si="2"/>
        <v>carbon steel</v>
      </c>
      <c r="K5">
        <f t="shared" si="3"/>
        <v>1121</v>
      </c>
      <c r="L5" s="18" t="str">
        <f t="shared" si="4"/>
        <v>carbon steel as the reactor material.</v>
      </c>
      <c r="M5" s="18" t="str">
        <f t="shared" si="5"/>
        <v>carbon steel</v>
      </c>
    </row>
    <row r="6" spans="1:13" x14ac:dyDescent="0.3">
      <c r="A6" t="s">
        <v>1671</v>
      </c>
      <c r="B6" t="s">
        <v>1670</v>
      </c>
      <c r="C6" t="s">
        <v>1669</v>
      </c>
      <c r="D6">
        <v>0.98328232765197754</v>
      </c>
      <c r="E6">
        <v>0.9833189845085144</v>
      </c>
      <c r="F6">
        <v>0.98330062627792358</v>
      </c>
      <c r="G6">
        <v>0.16514503314371681</v>
      </c>
      <c r="H6">
        <f t="shared" si="0"/>
        <v>1122</v>
      </c>
      <c r="I6" s="18" t="str">
        <f t="shared" si="1"/>
        <v>carbon steel as the reactor material.</v>
      </c>
      <c r="J6" s="18" t="str">
        <f t="shared" si="2"/>
        <v>carbon steel</v>
      </c>
      <c r="K6">
        <f t="shared" si="3"/>
        <v>1117</v>
      </c>
      <c r="L6" s="18" t="str">
        <f t="shared" si="4"/>
        <v>carbon steel as the reactor material.</v>
      </c>
      <c r="M6" s="18" t="str">
        <f t="shared" si="5"/>
        <v>carbon steel</v>
      </c>
    </row>
    <row r="7" spans="1:13" x14ac:dyDescent="0.3">
      <c r="A7" t="s">
        <v>1668</v>
      </c>
      <c r="B7" t="s">
        <v>1667</v>
      </c>
      <c r="C7" t="s">
        <v>1666</v>
      </c>
      <c r="D7">
        <v>0.97083598375320435</v>
      </c>
      <c r="E7">
        <v>0.97096860408782959</v>
      </c>
      <c r="F7">
        <v>0.97090226411819458</v>
      </c>
      <c r="G7">
        <v>0.10190149403102459</v>
      </c>
      <c r="H7">
        <f t="shared" si="0"/>
        <v>1192</v>
      </c>
      <c r="I7" s="18" t="str">
        <f t="shared" si="1"/>
        <v>carbon steel as the reactor material.</v>
      </c>
      <c r="J7" s="18" t="str">
        <f t="shared" si="2"/>
        <v>carbon steel</v>
      </c>
      <c r="K7">
        <f t="shared" si="3"/>
        <v>1188</v>
      </c>
      <c r="L7" s="18" t="str">
        <f t="shared" si="4"/>
        <v>carbon steel as the reactor material.</v>
      </c>
      <c r="M7" s="18" t="str">
        <f t="shared" si="5"/>
        <v>carbon steel</v>
      </c>
    </row>
    <row r="8" spans="1:13" x14ac:dyDescent="0.3">
      <c r="A8" t="s">
        <v>1665</v>
      </c>
      <c r="B8" t="s">
        <v>1664</v>
      </c>
      <c r="C8" t="s">
        <v>1663</v>
      </c>
      <c r="D8">
        <v>0.98354727029800415</v>
      </c>
      <c r="E8">
        <v>0.98396837711334229</v>
      </c>
      <c r="F8">
        <v>0.98375773429870605</v>
      </c>
      <c r="G8">
        <v>3.6042391987853302E-3</v>
      </c>
      <c r="H8">
        <f t="shared" si="0"/>
        <v>1179</v>
      </c>
      <c r="I8" s="18" t="str">
        <f t="shared" si="1"/>
        <v>carbon steel as the reactor material.</v>
      </c>
      <c r="J8" s="18" t="str">
        <f t="shared" si="2"/>
        <v>carbon steel</v>
      </c>
      <c r="K8">
        <f t="shared" si="3"/>
        <v>1180</v>
      </c>
      <c r="L8" s="18" t="str">
        <f t="shared" si="4"/>
        <v>carbon steel as the reactor material.</v>
      </c>
      <c r="M8" s="18" t="str">
        <f t="shared" si="5"/>
        <v>carbon steel</v>
      </c>
    </row>
    <row r="9" spans="1:13" x14ac:dyDescent="0.3">
      <c r="A9" t="s">
        <v>1662</v>
      </c>
      <c r="B9" t="s">
        <v>1661</v>
      </c>
      <c r="C9" t="s">
        <v>1660</v>
      </c>
      <c r="D9">
        <v>0.97534692287445068</v>
      </c>
      <c r="E9">
        <v>0.9743078351020813</v>
      </c>
      <c r="F9">
        <v>0.9748271107673645</v>
      </c>
      <c r="G9">
        <v>0.90301368052342867</v>
      </c>
      <c r="H9">
        <f t="shared" si="0"/>
        <v>1184</v>
      </c>
      <c r="I9" s="18" t="str">
        <f t="shared" si="1"/>
        <v>carbon steel as the reactor material.</v>
      </c>
      <c r="J9" s="18" t="str">
        <f t="shared" si="2"/>
        <v>carbon steel</v>
      </c>
      <c r="K9">
        <f t="shared" si="3"/>
        <v>1184</v>
      </c>
      <c r="L9" s="18" t="str">
        <f t="shared" si="4"/>
        <v>carbon steel as the reactor material.</v>
      </c>
      <c r="M9" s="18" t="str">
        <f t="shared" si="5"/>
        <v>carbon steel</v>
      </c>
    </row>
    <row r="10" spans="1:13" x14ac:dyDescent="0.3">
      <c r="A10" t="s">
        <v>1659</v>
      </c>
      <c r="B10" t="s">
        <v>1658</v>
      </c>
      <c r="C10" t="s">
        <v>1657</v>
      </c>
      <c r="D10">
        <v>0.98523521423339844</v>
      </c>
      <c r="E10">
        <v>0.98477029800415039</v>
      </c>
      <c r="F10">
        <v>0.98500275611877441</v>
      </c>
      <c r="G10">
        <v>0.23324199912319171</v>
      </c>
      <c r="H10">
        <f t="shared" si="0"/>
        <v>1178</v>
      </c>
      <c r="I10" s="18" t="str">
        <f t="shared" si="1"/>
        <v>carbon steel as the reactor material.</v>
      </c>
      <c r="J10" s="18" t="str">
        <f t="shared" si="2"/>
        <v>carbon steel</v>
      </c>
      <c r="K10">
        <f t="shared" si="3"/>
        <v>1179</v>
      </c>
      <c r="L10" s="18" t="str">
        <f t="shared" si="4"/>
        <v>carbon steel as the reactor material.</v>
      </c>
      <c r="M10" s="18" t="str">
        <f t="shared" si="5"/>
        <v>carbon steel</v>
      </c>
    </row>
    <row r="11" spans="1:13" x14ac:dyDescent="0.3">
      <c r="A11" t="s">
        <v>1656</v>
      </c>
      <c r="B11" t="s">
        <v>1655</v>
      </c>
      <c r="C11" t="s">
        <v>1654</v>
      </c>
      <c r="D11">
        <v>0.9788777232170105</v>
      </c>
      <c r="E11">
        <v>0.97807455062866211</v>
      </c>
      <c r="F11">
        <v>0.97847592830657959</v>
      </c>
      <c r="G11">
        <v>0.1232396002788753</v>
      </c>
      <c r="H11">
        <f t="shared" si="0"/>
        <v>1167</v>
      </c>
      <c r="I11" s="18" t="str">
        <f t="shared" si="1"/>
        <v>carbon steel as the reactor material.</v>
      </c>
      <c r="J11" s="18" t="str">
        <f t="shared" si="2"/>
        <v>carbon steel</v>
      </c>
      <c r="K11">
        <f t="shared" si="3"/>
        <v>1170</v>
      </c>
      <c r="L11" s="18" t="str">
        <f t="shared" si="4"/>
        <v>carbon steel as the reactor material.</v>
      </c>
      <c r="M11" s="18" t="str">
        <f t="shared" si="5"/>
        <v>carbon steel</v>
      </c>
    </row>
    <row r="12" spans="1:13" x14ac:dyDescent="0.3">
      <c r="A12" t="s">
        <v>1653</v>
      </c>
      <c r="B12" t="s">
        <v>1652</v>
      </c>
      <c r="C12" t="s">
        <v>1651</v>
      </c>
      <c r="D12">
        <v>0.96723675727844238</v>
      </c>
      <c r="E12">
        <v>0.96656018495559692</v>
      </c>
      <c r="F12">
        <v>0.96689838171005249</v>
      </c>
      <c r="G12">
        <v>19.82950503651815</v>
      </c>
      <c r="H12">
        <f t="shared" ref="H12:H75" si="6">FIND("using",B12)</f>
        <v>1188</v>
      </c>
      <c r="I12" s="18" t="str">
        <f t="shared" ref="I12:I75" si="7">MID(B12,H12+LEN("using "),LEN(B12))</f>
        <v>carbon steel as the reactor material.</v>
      </c>
      <c r="J12" s="18" t="str">
        <f t="shared" si="2"/>
        <v>carbon steel</v>
      </c>
      <c r="K12">
        <f t="shared" ref="K12:K75" si="8">FIND("using",C12)</f>
        <v>1180</v>
      </c>
      <c r="L12" s="18" t="str">
        <f t="shared" ref="L12:L75" si="9">MID(C12,K12+LEN("using "),LEN(C12))</f>
        <v>carbon steel as the reactor material.</v>
      </c>
      <c r="M12" s="18" t="str">
        <f t="shared" si="5"/>
        <v>carbon steel</v>
      </c>
    </row>
    <row r="13" spans="1:13" x14ac:dyDescent="0.3">
      <c r="A13" t="s">
        <v>1650</v>
      </c>
      <c r="B13" t="s">
        <v>1649</v>
      </c>
      <c r="C13" t="s">
        <v>1648</v>
      </c>
      <c r="D13">
        <v>0.97615659236907959</v>
      </c>
      <c r="E13">
        <v>0.97533690929412842</v>
      </c>
      <c r="F13">
        <v>0.97574657201766968</v>
      </c>
      <c r="G13">
        <v>0.26635895377617241</v>
      </c>
      <c r="H13">
        <f t="shared" si="6"/>
        <v>1181</v>
      </c>
      <c r="I13" s="18" t="str">
        <f t="shared" si="7"/>
        <v>carbon steel as the reactor material.</v>
      </c>
      <c r="J13" s="18" t="str">
        <f t="shared" si="2"/>
        <v>carbon steel</v>
      </c>
      <c r="K13">
        <f t="shared" si="8"/>
        <v>1176</v>
      </c>
      <c r="L13" s="18" t="str">
        <f t="shared" si="9"/>
        <v>carbon steel as the reactor material.</v>
      </c>
      <c r="M13" s="18" t="str">
        <f t="shared" si="5"/>
        <v>carbon steel</v>
      </c>
    </row>
    <row r="14" spans="1:13" x14ac:dyDescent="0.3">
      <c r="A14" t="s">
        <v>1647</v>
      </c>
      <c r="B14" t="s">
        <v>1646</v>
      </c>
      <c r="C14" t="s">
        <v>1645</v>
      </c>
      <c r="D14">
        <v>0.97272735834121704</v>
      </c>
      <c r="E14">
        <v>0.97207725048065186</v>
      </c>
      <c r="F14">
        <v>0.97240215539932251</v>
      </c>
      <c r="G14">
        <v>0.27422620924007413</v>
      </c>
      <c r="H14">
        <f t="shared" si="6"/>
        <v>1192</v>
      </c>
      <c r="I14" s="18" t="str">
        <f t="shared" si="7"/>
        <v>carbon steel as the reactor material.</v>
      </c>
      <c r="J14" s="18" t="str">
        <f t="shared" si="2"/>
        <v>carbon steel</v>
      </c>
      <c r="K14">
        <f t="shared" si="8"/>
        <v>1186</v>
      </c>
      <c r="L14" s="18" t="str">
        <f t="shared" si="9"/>
        <v>carbon steel as the reactor material.</v>
      </c>
      <c r="M14" s="18" t="str">
        <f t="shared" si="5"/>
        <v>carbon steel</v>
      </c>
    </row>
    <row r="15" spans="1:13" x14ac:dyDescent="0.3">
      <c r="A15" t="s">
        <v>1644</v>
      </c>
      <c r="B15" t="s">
        <v>1643</v>
      </c>
      <c r="C15" t="s">
        <v>1642</v>
      </c>
      <c r="D15">
        <v>0.96988624334335327</v>
      </c>
      <c r="E15">
        <v>0.97027444839477539</v>
      </c>
      <c r="F15">
        <v>0.97008025646209717</v>
      </c>
      <c r="G15">
        <v>0.35971250925655851</v>
      </c>
      <c r="H15">
        <f t="shared" si="6"/>
        <v>1125</v>
      </c>
      <c r="I15" s="18" t="str">
        <f t="shared" si="7"/>
        <v>carbon steel as the reactor material.</v>
      </c>
      <c r="J15" s="18" t="str">
        <f t="shared" si="2"/>
        <v>carbon steel</v>
      </c>
      <c r="K15">
        <f t="shared" si="8"/>
        <v>1136</v>
      </c>
      <c r="L15" s="18" t="str">
        <f t="shared" si="9"/>
        <v>carbon steel as the reactor material.</v>
      </c>
      <c r="M15" s="18" t="str">
        <f t="shared" si="5"/>
        <v>carbon steel</v>
      </c>
    </row>
    <row r="16" spans="1:13" x14ac:dyDescent="0.3">
      <c r="A16" t="s">
        <v>1641</v>
      </c>
      <c r="B16" t="s">
        <v>1640</v>
      </c>
      <c r="C16" t="s">
        <v>1639</v>
      </c>
      <c r="D16">
        <v>0.98563385009765625</v>
      </c>
      <c r="E16">
        <v>0.98578917980194092</v>
      </c>
      <c r="F16">
        <v>0.98571151494979858</v>
      </c>
      <c r="G16">
        <v>0.19412218897789779</v>
      </c>
      <c r="H16">
        <f t="shared" si="6"/>
        <v>1186</v>
      </c>
      <c r="I16" s="18" t="str">
        <f t="shared" si="7"/>
        <v>carbon steel as the reactor material.</v>
      </c>
      <c r="J16" s="18" t="str">
        <f t="shared" si="2"/>
        <v>carbon steel</v>
      </c>
      <c r="K16">
        <f t="shared" si="8"/>
        <v>1184</v>
      </c>
      <c r="L16" s="18" t="str">
        <f t="shared" si="9"/>
        <v>carbon steel as the reactor material.</v>
      </c>
      <c r="M16" s="18" t="str">
        <f t="shared" si="5"/>
        <v>carbon steel</v>
      </c>
    </row>
    <row r="17" spans="1:13" x14ac:dyDescent="0.3">
      <c r="A17" t="s">
        <v>1638</v>
      </c>
      <c r="B17" t="s">
        <v>1637</v>
      </c>
      <c r="C17" t="s">
        <v>1636</v>
      </c>
      <c r="D17">
        <v>0.97279596328735352</v>
      </c>
      <c r="E17">
        <v>0.97270238399505615</v>
      </c>
      <c r="F17">
        <v>0.97274917364120483</v>
      </c>
      <c r="G17">
        <v>0.1232908775985681</v>
      </c>
      <c r="H17">
        <f t="shared" si="6"/>
        <v>1188</v>
      </c>
      <c r="I17" s="18" t="str">
        <f t="shared" si="7"/>
        <v>carbon steel as the reactor material.</v>
      </c>
      <c r="J17" s="18" t="str">
        <f t="shared" si="2"/>
        <v>carbon steel</v>
      </c>
      <c r="K17">
        <f t="shared" si="8"/>
        <v>1191</v>
      </c>
      <c r="L17" s="18" t="str">
        <f t="shared" si="9"/>
        <v>carbon steel as the reactor material.</v>
      </c>
      <c r="M17" s="18" t="str">
        <f t="shared" si="5"/>
        <v>carbon steel</v>
      </c>
    </row>
    <row r="18" spans="1:13" x14ac:dyDescent="0.3">
      <c r="A18" t="s">
        <v>1635</v>
      </c>
      <c r="B18" t="s">
        <v>1634</v>
      </c>
      <c r="C18" t="s">
        <v>1633</v>
      </c>
      <c r="D18">
        <v>0.97739571332931519</v>
      </c>
      <c r="E18">
        <v>0.97745531797409058</v>
      </c>
      <c r="F18">
        <v>0.97742551565170288</v>
      </c>
      <c r="G18">
        <v>5.1574869766383911</v>
      </c>
      <c r="H18">
        <f t="shared" si="6"/>
        <v>1181</v>
      </c>
      <c r="I18" s="18" t="str">
        <f t="shared" si="7"/>
        <v>carbon steel as the reactor material.</v>
      </c>
      <c r="J18" s="18" t="str">
        <f t="shared" si="2"/>
        <v>carbon steel</v>
      </c>
      <c r="K18">
        <f t="shared" si="8"/>
        <v>1182</v>
      </c>
      <c r="L18" s="18" t="str">
        <f t="shared" si="9"/>
        <v>carbon steel as the reactor material.</v>
      </c>
      <c r="M18" s="18" t="str">
        <f t="shared" si="5"/>
        <v>carbon steel</v>
      </c>
    </row>
    <row r="19" spans="1:13" x14ac:dyDescent="0.3">
      <c r="A19" t="s">
        <v>1632</v>
      </c>
      <c r="B19" t="s">
        <v>1631</v>
      </c>
      <c r="C19" t="s">
        <v>1630</v>
      </c>
      <c r="D19">
        <v>0.98066467046737671</v>
      </c>
      <c r="E19">
        <v>0.98072671890258789</v>
      </c>
      <c r="F19">
        <v>0.98069566488265991</v>
      </c>
      <c r="G19">
        <v>0.57043386042695166</v>
      </c>
      <c r="H19">
        <f t="shared" si="6"/>
        <v>1123</v>
      </c>
      <c r="I19" s="18" t="str">
        <f t="shared" si="7"/>
        <v>carbon steel as the reactor material.</v>
      </c>
      <c r="J19" s="18" t="str">
        <f t="shared" si="2"/>
        <v>carbon steel</v>
      </c>
      <c r="K19">
        <f t="shared" si="8"/>
        <v>1118</v>
      </c>
      <c r="L19" s="18" t="str">
        <f t="shared" si="9"/>
        <v>carbon steel as the reactor material.</v>
      </c>
      <c r="M19" s="18" t="str">
        <f t="shared" si="5"/>
        <v>carbon steel</v>
      </c>
    </row>
    <row r="20" spans="1:13" x14ac:dyDescent="0.3">
      <c r="A20" t="s">
        <v>1629</v>
      </c>
      <c r="B20" t="s">
        <v>1628</v>
      </c>
      <c r="C20" t="s">
        <v>1627</v>
      </c>
      <c r="D20">
        <v>0.97427636384963989</v>
      </c>
      <c r="E20">
        <v>0.97450274229049683</v>
      </c>
      <c r="F20">
        <v>0.97438955307006836</v>
      </c>
      <c r="G20">
        <v>0.25537330942736342</v>
      </c>
      <c r="H20">
        <f t="shared" si="6"/>
        <v>1180</v>
      </c>
      <c r="I20" s="18" t="str">
        <f t="shared" si="7"/>
        <v>carbon steel as the reactor material.</v>
      </c>
      <c r="J20" s="18" t="str">
        <f t="shared" si="2"/>
        <v>carbon steel</v>
      </c>
      <c r="K20">
        <f t="shared" si="8"/>
        <v>1181</v>
      </c>
      <c r="L20" s="18" t="str">
        <f t="shared" si="9"/>
        <v>carbon steel as the reactor material.</v>
      </c>
      <c r="M20" s="18" t="str">
        <f t="shared" si="5"/>
        <v>carbon steel</v>
      </c>
    </row>
    <row r="21" spans="1:13" x14ac:dyDescent="0.3">
      <c r="A21" t="s">
        <v>1626</v>
      </c>
      <c r="B21" t="s">
        <v>1625</v>
      </c>
      <c r="C21" t="s">
        <v>1624</v>
      </c>
      <c r="D21">
        <v>0.97992533445358276</v>
      </c>
      <c r="E21">
        <v>0.97976171970367432</v>
      </c>
      <c r="F21">
        <v>0.97984355688095093</v>
      </c>
      <c r="G21">
        <v>0.28915984454920612</v>
      </c>
      <c r="H21">
        <f t="shared" si="6"/>
        <v>1181</v>
      </c>
      <c r="I21" s="18" t="str">
        <f t="shared" si="7"/>
        <v>carbon steel as the reactor material.</v>
      </c>
      <c r="J21" s="18" t="str">
        <f t="shared" si="2"/>
        <v>carbon steel</v>
      </c>
      <c r="K21">
        <f t="shared" si="8"/>
        <v>1183</v>
      </c>
      <c r="L21" s="18" t="str">
        <f t="shared" si="9"/>
        <v>carbon steel as the reactor material.</v>
      </c>
      <c r="M21" s="18" t="str">
        <f t="shared" si="5"/>
        <v>carbon steel</v>
      </c>
    </row>
    <row r="22" spans="1:13" x14ac:dyDescent="0.3">
      <c r="A22" t="s">
        <v>1623</v>
      </c>
      <c r="B22" t="s">
        <v>1622</v>
      </c>
      <c r="C22" t="s">
        <v>1621</v>
      </c>
      <c r="D22">
        <v>0.9601130485534668</v>
      </c>
      <c r="E22">
        <v>0.95969843864440918</v>
      </c>
      <c r="F22">
        <v>0.95990568399429321</v>
      </c>
      <c r="G22">
        <v>0.79283015627683329</v>
      </c>
      <c r="H22">
        <f t="shared" si="6"/>
        <v>1189</v>
      </c>
      <c r="I22" s="18" t="str">
        <f t="shared" si="7"/>
        <v>carbon steel as the reactor material.</v>
      </c>
      <c r="J22" s="18" t="str">
        <f t="shared" si="2"/>
        <v>carbon steel</v>
      </c>
      <c r="K22">
        <f t="shared" si="8"/>
        <v>1186</v>
      </c>
      <c r="L22" s="18" t="str">
        <f t="shared" si="9"/>
        <v>carbon steel as the reactor material.</v>
      </c>
      <c r="M22" s="18" t="str">
        <f t="shared" si="5"/>
        <v>carbon steel</v>
      </c>
    </row>
    <row r="23" spans="1:13" x14ac:dyDescent="0.3">
      <c r="A23" t="s">
        <v>1620</v>
      </c>
      <c r="B23" t="s">
        <v>1619</v>
      </c>
      <c r="C23" t="s">
        <v>1618</v>
      </c>
      <c r="D23">
        <v>0.97758764028549194</v>
      </c>
      <c r="E23">
        <v>0.97801816463470459</v>
      </c>
      <c r="F23">
        <v>0.97780293226242065</v>
      </c>
      <c r="G23">
        <v>0.93197213083026897</v>
      </c>
      <c r="H23">
        <f t="shared" si="6"/>
        <v>1170</v>
      </c>
      <c r="I23" s="18" t="str">
        <f t="shared" si="7"/>
        <v>carbon steel as the reactor material.</v>
      </c>
      <c r="J23" s="18" t="str">
        <f t="shared" si="2"/>
        <v>carbon steel</v>
      </c>
      <c r="K23">
        <f t="shared" si="8"/>
        <v>1175</v>
      </c>
      <c r="L23" s="18" t="str">
        <f t="shared" si="9"/>
        <v>carbon steel as the reactor material.</v>
      </c>
      <c r="M23" s="18" t="str">
        <f t="shared" si="5"/>
        <v>carbon steel</v>
      </c>
    </row>
    <row r="24" spans="1:13" x14ac:dyDescent="0.3">
      <c r="A24" t="s">
        <v>1617</v>
      </c>
      <c r="B24" t="s">
        <v>1616</v>
      </c>
      <c r="C24" t="s">
        <v>1615</v>
      </c>
      <c r="D24">
        <v>0.97238254547119141</v>
      </c>
      <c r="E24">
        <v>0.97142541408538818</v>
      </c>
      <c r="F24">
        <v>0.97190374135971069</v>
      </c>
      <c r="G24">
        <v>0.46706683971447133</v>
      </c>
      <c r="H24">
        <f t="shared" si="6"/>
        <v>1176</v>
      </c>
      <c r="I24" s="18" t="str">
        <f t="shared" si="7"/>
        <v>carbon steel as the reactor material.</v>
      </c>
      <c r="J24" s="18" t="str">
        <f t="shared" si="2"/>
        <v>carbon steel</v>
      </c>
      <c r="K24">
        <f t="shared" si="8"/>
        <v>1173</v>
      </c>
      <c r="L24" s="18" t="str">
        <f t="shared" si="9"/>
        <v>carbon steel as the reactor material.</v>
      </c>
      <c r="M24" s="18" t="str">
        <f t="shared" si="5"/>
        <v>carbon steel</v>
      </c>
    </row>
    <row r="25" spans="1:13" x14ac:dyDescent="0.3">
      <c r="A25" t="s">
        <v>1614</v>
      </c>
      <c r="B25" t="s">
        <v>1613</v>
      </c>
      <c r="C25" t="s">
        <v>1612</v>
      </c>
      <c r="D25">
        <v>0.97867763042449951</v>
      </c>
      <c r="E25">
        <v>0.97832810878753662</v>
      </c>
      <c r="F25">
        <v>0.97850286960601807</v>
      </c>
      <c r="G25">
        <v>0.5893443433232306</v>
      </c>
      <c r="H25">
        <f t="shared" si="6"/>
        <v>1180</v>
      </c>
      <c r="I25" s="18" t="str">
        <f t="shared" si="7"/>
        <v>carbon steel as the reactor material.</v>
      </c>
      <c r="J25" s="18" t="str">
        <f t="shared" si="2"/>
        <v>carbon steel</v>
      </c>
      <c r="K25">
        <f t="shared" si="8"/>
        <v>1180</v>
      </c>
      <c r="L25" s="18" t="str">
        <f t="shared" si="9"/>
        <v>carbon steel as the reactor material.</v>
      </c>
      <c r="M25" s="18" t="str">
        <f t="shared" si="5"/>
        <v>carbon steel</v>
      </c>
    </row>
    <row r="26" spans="1:13" x14ac:dyDescent="0.3">
      <c r="A26" t="s">
        <v>1611</v>
      </c>
      <c r="B26" t="s">
        <v>1610</v>
      </c>
      <c r="C26" t="s">
        <v>1609</v>
      </c>
      <c r="D26">
        <v>0.97575926780700684</v>
      </c>
      <c r="E26">
        <v>0.97570008039474487</v>
      </c>
      <c r="F26">
        <v>0.97572964429855347</v>
      </c>
      <c r="G26">
        <v>0.27030106171522739</v>
      </c>
      <c r="H26">
        <f t="shared" si="6"/>
        <v>1187</v>
      </c>
      <c r="I26" s="18" t="str">
        <f t="shared" si="7"/>
        <v>carbon steel as the reactor material.</v>
      </c>
      <c r="J26" s="18" t="str">
        <f t="shared" si="2"/>
        <v>carbon steel</v>
      </c>
      <c r="K26">
        <f t="shared" si="8"/>
        <v>1191</v>
      </c>
      <c r="L26" s="18" t="str">
        <f t="shared" si="9"/>
        <v>carbon steel as the reactor material.</v>
      </c>
      <c r="M26" s="18" t="str">
        <f t="shared" si="5"/>
        <v>carbon steel</v>
      </c>
    </row>
    <row r="27" spans="1:13" x14ac:dyDescent="0.3">
      <c r="A27" t="s">
        <v>1608</v>
      </c>
      <c r="B27" t="s">
        <v>1607</v>
      </c>
      <c r="C27" t="s">
        <v>1606</v>
      </c>
      <c r="D27">
        <v>0.9846031665802002</v>
      </c>
      <c r="E27">
        <v>0.9841238260269165</v>
      </c>
      <c r="F27">
        <v>0.98436343669891357</v>
      </c>
      <c r="G27">
        <v>0.99250007040865174</v>
      </c>
      <c r="H27">
        <f t="shared" si="6"/>
        <v>1185</v>
      </c>
      <c r="I27" s="18" t="str">
        <f t="shared" si="7"/>
        <v>carbon steel as the reactor material.</v>
      </c>
      <c r="J27" s="18" t="str">
        <f t="shared" si="2"/>
        <v>carbon steel</v>
      </c>
      <c r="K27">
        <f t="shared" si="8"/>
        <v>1187</v>
      </c>
      <c r="L27" s="18" t="str">
        <f t="shared" si="9"/>
        <v>carbon steel as the reactor material.</v>
      </c>
      <c r="M27" s="18" t="str">
        <f t="shared" si="5"/>
        <v>carbon steel</v>
      </c>
    </row>
    <row r="28" spans="1:13" x14ac:dyDescent="0.3">
      <c r="A28" t="s">
        <v>1605</v>
      </c>
      <c r="B28" t="s">
        <v>1604</v>
      </c>
      <c r="C28" t="s">
        <v>1603</v>
      </c>
      <c r="D28">
        <v>0.98903870582580566</v>
      </c>
      <c r="E28">
        <v>0.98897826671600342</v>
      </c>
      <c r="F28">
        <v>0.98900848627090454</v>
      </c>
      <c r="G28">
        <v>2.2571509245077889E-2</v>
      </c>
      <c r="H28">
        <f t="shared" si="6"/>
        <v>1185</v>
      </c>
      <c r="I28" s="18" t="str">
        <f t="shared" si="7"/>
        <v>carbon steel as the reactor material.</v>
      </c>
      <c r="J28" s="18" t="str">
        <f t="shared" si="2"/>
        <v>carbon steel</v>
      </c>
      <c r="K28">
        <f t="shared" si="8"/>
        <v>1185</v>
      </c>
      <c r="L28" s="18" t="str">
        <f t="shared" si="9"/>
        <v>carbon steel as the reactor material.</v>
      </c>
      <c r="M28" s="18" t="str">
        <f t="shared" si="5"/>
        <v>carbon steel</v>
      </c>
    </row>
    <row r="29" spans="1:13" x14ac:dyDescent="0.3">
      <c r="A29" t="s">
        <v>1602</v>
      </c>
      <c r="B29" t="s">
        <v>1601</v>
      </c>
      <c r="C29" t="s">
        <v>1600</v>
      </c>
      <c r="D29">
        <v>0.98549902439117432</v>
      </c>
      <c r="E29">
        <v>0.9854816198348999</v>
      </c>
      <c r="F29">
        <v>0.98549032211303711</v>
      </c>
      <c r="G29">
        <v>0.16221729225913081</v>
      </c>
      <c r="H29">
        <f t="shared" si="6"/>
        <v>1179</v>
      </c>
      <c r="I29" s="18" t="str">
        <f t="shared" si="7"/>
        <v>carbon steel as the reactor material.</v>
      </c>
      <c r="J29" s="18" t="str">
        <f t="shared" si="2"/>
        <v>carbon steel</v>
      </c>
      <c r="K29">
        <f t="shared" si="8"/>
        <v>1181</v>
      </c>
      <c r="L29" s="18" t="str">
        <f t="shared" si="9"/>
        <v>carbon steel as the reactor material.</v>
      </c>
      <c r="M29" s="18" t="str">
        <f t="shared" si="5"/>
        <v>carbon steel</v>
      </c>
    </row>
    <row r="30" spans="1:13" x14ac:dyDescent="0.3">
      <c r="A30" t="s">
        <v>1599</v>
      </c>
      <c r="B30" t="s">
        <v>1598</v>
      </c>
      <c r="C30" t="s">
        <v>1597</v>
      </c>
      <c r="D30">
        <v>0.96751701831817627</v>
      </c>
      <c r="E30">
        <v>0.96802759170532227</v>
      </c>
      <c r="F30">
        <v>0.96777224540710449</v>
      </c>
      <c r="G30">
        <v>1.2796054549847049E-2</v>
      </c>
      <c r="H30">
        <f t="shared" si="6"/>
        <v>1187</v>
      </c>
      <c r="I30" s="18" t="str">
        <f t="shared" si="7"/>
        <v>carbon steel as the reactor material.</v>
      </c>
      <c r="J30" s="18" t="str">
        <f t="shared" si="2"/>
        <v>carbon steel</v>
      </c>
      <c r="K30">
        <f t="shared" si="8"/>
        <v>1187</v>
      </c>
      <c r="L30" s="18" t="str">
        <f t="shared" si="9"/>
        <v>carbon steel as the reactor material.</v>
      </c>
      <c r="M30" s="18" t="str">
        <f t="shared" si="5"/>
        <v>carbon steel</v>
      </c>
    </row>
    <row r="31" spans="1:13" x14ac:dyDescent="0.3">
      <c r="A31" t="s">
        <v>1596</v>
      </c>
      <c r="B31" t="s">
        <v>1595</v>
      </c>
      <c r="C31" t="s">
        <v>1594</v>
      </c>
      <c r="D31">
        <v>0.97931879758834839</v>
      </c>
      <c r="E31">
        <v>0.9799264669418335</v>
      </c>
      <c r="F31">
        <v>0.97962254285812378</v>
      </c>
      <c r="G31">
        <v>0.57242112596014594</v>
      </c>
      <c r="H31">
        <f t="shared" si="6"/>
        <v>1171</v>
      </c>
      <c r="I31" s="18" t="str">
        <f t="shared" si="7"/>
        <v>carbon steel as the reactor material.</v>
      </c>
      <c r="J31" s="18" t="str">
        <f t="shared" si="2"/>
        <v>carbon steel</v>
      </c>
      <c r="K31">
        <f t="shared" si="8"/>
        <v>1174</v>
      </c>
      <c r="L31" s="18" t="str">
        <f t="shared" si="9"/>
        <v>carbon steel as the reactor material.</v>
      </c>
      <c r="M31" s="18" t="str">
        <f t="shared" si="5"/>
        <v>carbon steel</v>
      </c>
    </row>
    <row r="32" spans="1:13" x14ac:dyDescent="0.3">
      <c r="A32" t="s">
        <v>1593</v>
      </c>
      <c r="B32" t="s">
        <v>1592</v>
      </c>
      <c r="C32" t="s">
        <v>1591</v>
      </c>
      <c r="D32">
        <v>0.95942187309265137</v>
      </c>
      <c r="E32">
        <v>0.96679294109344482</v>
      </c>
      <c r="F32">
        <v>0.96309328079223633</v>
      </c>
      <c r="G32">
        <v>2.5168329177057358</v>
      </c>
      <c r="H32">
        <f t="shared" si="6"/>
        <v>935</v>
      </c>
      <c r="I32" s="18" t="str">
        <f t="shared" si="7"/>
        <v>stainless steel as the reactor material.</v>
      </c>
      <c r="J32" s="18" t="str">
        <f t="shared" si="2"/>
        <v>stainless steel</v>
      </c>
      <c r="K32">
        <f t="shared" si="8"/>
        <v>935</v>
      </c>
      <c r="L32" s="18" t="str">
        <f t="shared" si="9"/>
        <v>stainless steel as the reactor material.</v>
      </c>
      <c r="M32" s="18" t="str">
        <f t="shared" si="5"/>
        <v>stainless steel</v>
      </c>
    </row>
    <row r="33" spans="1:13" x14ac:dyDescent="0.3">
      <c r="A33" t="s">
        <v>1590</v>
      </c>
      <c r="B33" t="s">
        <v>1589</v>
      </c>
      <c r="C33" t="s">
        <v>1588</v>
      </c>
      <c r="D33">
        <v>0.96962475776672363</v>
      </c>
      <c r="E33">
        <v>0.97437262535095215</v>
      </c>
      <c r="F33">
        <v>0.97199290990829468</v>
      </c>
      <c r="G33">
        <v>0.29952755905511819</v>
      </c>
      <c r="H33">
        <f t="shared" si="6"/>
        <v>954</v>
      </c>
      <c r="I33" s="18" t="str">
        <f t="shared" si="7"/>
        <v>stainless steel as the reactor material.</v>
      </c>
      <c r="J33" s="18" t="str">
        <f t="shared" si="2"/>
        <v>stainless steel</v>
      </c>
      <c r="K33">
        <f t="shared" si="8"/>
        <v>954</v>
      </c>
      <c r="L33" s="18" t="str">
        <f t="shared" si="9"/>
        <v>stainless steel as the reactor material.</v>
      </c>
      <c r="M33" s="18" t="str">
        <f t="shared" si="5"/>
        <v>stainless steel</v>
      </c>
    </row>
    <row r="34" spans="1:13" x14ac:dyDescent="0.3">
      <c r="A34" t="s">
        <v>1587</v>
      </c>
      <c r="B34" t="s">
        <v>1586</v>
      </c>
      <c r="C34" t="s">
        <v>1585</v>
      </c>
      <c r="D34">
        <v>0.97291994094848633</v>
      </c>
      <c r="E34">
        <v>0.97669136524200439</v>
      </c>
      <c r="F34">
        <v>0.97480201721191406</v>
      </c>
      <c r="G34">
        <v>0.21799652000994291</v>
      </c>
      <c r="H34">
        <f t="shared" si="6"/>
        <v>934</v>
      </c>
      <c r="I34" s="18" t="str">
        <f t="shared" si="7"/>
        <v>stainless steel as the reactor material.</v>
      </c>
      <c r="J34" s="18" t="str">
        <f t="shared" si="2"/>
        <v>stainless steel</v>
      </c>
      <c r="K34">
        <f t="shared" si="8"/>
        <v>934</v>
      </c>
      <c r="L34" s="18" t="str">
        <f t="shared" si="9"/>
        <v>stainless steel as the reactor material.</v>
      </c>
      <c r="M34" s="18" t="str">
        <f t="shared" si="5"/>
        <v>stainless steel</v>
      </c>
    </row>
    <row r="35" spans="1:13" x14ac:dyDescent="0.3">
      <c r="A35" t="s">
        <v>1584</v>
      </c>
      <c r="B35" t="s">
        <v>1583</v>
      </c>
      <c r="C35" t="s">
        <v>1582</v>
      </c>
      <c r="D35">
        <v>0.95394003391265869</v>
      </c>
      <c r="E35">
        <v>0.96303814649581909</v>
      </c>
      <c r="F35">
        <v>0.95846754312515259</v>
      </c>
      <c r="G35">
        <v>5.5768115942028986</v>
      </c>
      <c r="H35">
        <f t="shared" si="6"/>
        <v>935</v>
      </c>
      <c r="I35" s="18" t="str">
        <f t="shared" si="7"/>
        <v>stainless steel as the reactor material.</v>
      </c>
      <c r="J35" s="18" t="str">
        <f t="shared" si="2"/>
        <v>stainless steel</v>
      </c>
      <c r="K35">
        <f t="shared" si="8"/>
        <v>933</v>
      </c>
      <c r="L35" s="18" t="str">
        <f t="shared" si="9"/>
        <v>stainless steel as the reactor material.</v>
      </c>
      <c r="M35" s="18" t="str">
        <f t="shared" si="5"/>
        <v>stainless steel</v>
      </c>
    </row>
    <row r="36" spans="1:13" x14ac:dyDescent="0.3">
      <c r="A36" t="s">
        <v>1581</v>
      </c>
      <c r="B36" t="s">
        <v>1580</v>
      </c>
      <c r="C36" t="s">
        <v>1579</v>
      </c>
      <c r="D36">
        <v>0.97580814361572266</v>
      </c>
      <c r="E36">
        <v>0.97205018997192383</v>
      </c>
      <c r="F36">
        <v>0.97392553091049194</v>
      </c>
      <c r="G36">
        <v>0.1146788990825688</v>
      </c>
      <c r="H36">
        <f t="shared" si="6"/>
        <v>953</v>
      </c>
      <c r="I36" s="18" t="str">
        <f t="shared" si="7"/>
        <v>stainless steel as the reactor material.</v>
      </c>
      <c r="J36" s="18" t="str">
        <f t="shared" si="2"/>
        <v>stainless steel</v>
      </c>
      <c r="K36">
        <f t="shared" si="8"/>
        <v>953</v>
      </c>
      <c r="L36" s="18" t="str">
        <f t="shared" si="9"/>
        <v>stainless steel as the reactor material.</v>
      </c>
      <c r="M36" s="18" t="str">
        <f t="shared" si="5"/>
        <v>stainless steel</v>
      </c>
    </row>
    <row r="37" spans="1:13" x14ac:dyDescent="0.3">
      <c r="A37" t="s">
        <v>1578</v>
      </c>
      <c r="B37" t="s">
        <v>1577</v>
      </c>
      <c r="C37" t="s">
        <v>1576</v>
      </c>
      <c r="D37">
        <v>0.97500216960906982</v>
      </c>
      <c r="E37">
        <v>0.97904825210571289</v>
      </c>
      <c r="F37">
        <v>0.97702103853225708</v>
      </c>
      <c r="G37">
        <v>4.287444933920705</v>
      </c>
      <c r="H37">
        <f t="shared" si="6"/>
        <v>934</v>
      </c>
      <c r="I37" s="18" t="str">
        <f t="shared" si="7"/>
        <v>stainless steel as the reactor material.</v>
      </c>
      <c r="J37" s="18" t="str">
        <f t="shared" si="2"/>
        <v>stainless steel</v>
      </c>
      <c r="K37">
        <f t="shared" si="8"/>
        <v>934</v>
      </c>
      <c r="L37" s="18" t="str">
        <f t="shared" si="9"/>
        <v>stainless steel as the reactor material.</v>
      </c>
      <c r="M37" s="18" t="str">
        <f t="shared" si="5"/>
        <v>stainless steel</v>
      </c>
    </row>
    <row r="38" spans="1:13" x14ac:dyDescent="0.3">
      <c r="A38" t="s">
        <v>1575</v>
      </c>
      <c r="B38" t="s">
        <v>1574</v>
      </c>
      <c r="C38" t="s">
        <v>1573</v>
      </c>
      <c r="D38">
        <v>0.98941671848297119</v>
      </c>
      <c r="E38">
        <v>0.98941671848297119</v>
      </c>
      <c r="F38">
        <v>0.98941671848297119</v>
      </c>
      <c r="G38">
        <v>0.86191576328416541</v>
      </c>
      <c r="H38">
        <f t="shared" si="6"/>
        <v>954</v>
      </c>
      <c r="I38" s="18" t="str">
        <f t="shared" si="7"/>
        <v>stainless steel as the reactor material.</v>
      </c>
      <c r="J38" s="18" t="str">
        <f t="shared" si="2"/>
        <v>stainless steel</v>
      </c>
      <c r="K38">
        <f t="shared" si="8"/>
        <v>949</v>
      </c>
      <c r="L38" s="18" t="str">
        <f t="shared" si="9"/>
        <v>stainless steel as the reactor material.</v>
      </c>
      <c r="M38" s="18" t="str">
        <f t="shared" si="5"/>
        <v>stainless steel</v>
      </c>
    </row>
    <row r="39" spans="1:13" x14ac:dyDescent="0.3">
      <c r="A39" t="s">
        <v>1572</v>
      </c>
      <c r="B39" t="s">
        <v>1571</v>
      </c>
      <c r="C39" t="s">
        <v>1570</v>
      </c>
      <c r="D39">
        <v>0.97164160013198853</v>
      </c>
      <c r="E39">
        <v>0.9738268256187439</v>
      </c>
      <c r="F39">
        <v>0.9727330207824707</v>
      </c>
      <c r="G39">
        <v>0.38128580521960542</v>
      </c>
      <c r="H39">
        <f t="shared" si="6"/>
        <v>949</v>
      </c>
      <c r="I39" s="18" t="str">
        <f t="shared" si="7"/>
        <v>stainless steel as the reactor material.</v>
      </c>
      <c r="J39" s="18" t="str">
        <f t="shared" si="2"/>
        <v>stainless steel</v>
      </c>
      <c r="K39">
        <f t="shared" si="8"/>
        <v>950</v>
      </c>
      <c r="L39" s="18" t="str">
        <f t="shared" si="9"/>
        <v>stainless steel as the reactor material.</v>
      </c>
      <c r="M39" s="18" t="str">
        <f t="shared" si="5"/>
        <v>stainless steel</v>
      </c>
    </row>
    <row r="40" spans="1:13" x14ac:dyDescent="0.3">
      <c r="A40" t="s">
        <v>1569</v>
      </c>
      <c r="B40" t="s">
        <v>1568</v>
      </c>
      <c r="C40" t="s">
        <v>1567</v>
      </c>
      <c r="D40">
        <v>0.97577583789825439</v>
      </c>
      <c r="E40">
        <v>0.97238326072692871</v>
      </c>
      <c r="F40">
        <v>0.97407662868499756</v>
      </c>
      <c r="G40">
        <v>0.39589467917551191</v>
      </c>
      <c r="H40">
        <f t="shared" si="6"/>
        <v>935</v>
      </c>
      <c r="I40" s="18" t="str">
        <f t="shared" si="7"/>
        <v>stainless steel as the reactor material.</v>
      </c>
      <c r="J40" s="18" t="str">
        <f t="shared" si="2"/>
        <v>stainless steel</v>
      </c>
      <c r="K40">
        <f t="shared" si="8"/>
        <v>935</v>
      </c>
      <c r="L40" s="18" t="str">
        <f t="shared" si="9"/>
        <v>stainless steel as the reactor material.</v>
      </c>
      <c r="M40" s="18" t="str">
        <f t="shared" si="5"/>
        <v>stainless steel</v>
      </c>
    </row>
    <row r="41" spans="1:13" x14ac:dyDescent="0.3">
      <c r="A41" t="s">
        <v>1566</v>
      </c>
      <c r="B41" t="s">
        <v>1565</v>
      </c>
      <c r="C41" t="s">
        <v>1564</v>
      </c>
      <c r="D41">
        <v>0.97265160083770752</v>
      </c>
      <c r="E41">
        <v>0.96875596046447754</v>
      </c>
      <c r="F41">
        <v>0.97069990634918213</v>
      </c>
      <c r="G41">
        <v>0.48014121800529569</v>
      </c>
      <c r="H41">
        <f t="shared" si="6"/>
        <v>949</v>
      </c>
      <c r="I41" s="18" t="str">
        <f t="shared" si="7"/>
        <v>stainless steel as the reactor material.</v>
      </c>
      <c r="J41" s="18" t="str">
        <f t="shared" si="2"/>
        <v>stainless steel</v>
      </c>
      <c r="K41">
        <f t="shared" si="8"/>
        <v>949</v>
      </c>
      <c r="L41" s="18" t="str">
        <f t="shared" si="9"/>
        <v>stainless steel as the reactor material.</v>
      </c>
      <c r="M41" s="18" t="str">
        <f t="shared" si="5"/>
        <v>stainless steel</v>
      </c>
    </row>
    <row r="42" spans="1:13" x14ac:dyDescent="0.3">
      <c r="A42" t="s">
        <v>1563</v>
      </c>
      <c r="B42" t="s">
        <v>1562</v>
      </c>
      <c r="C42" t="s">
        <v>1561</v>
      </c>
      <c r="D42">
        <v>0.97965925931930542</v>
      </c>
      <c r="E42">
        <v>0.97983849048614502</v>
      </c>
      <c r="F42">
        <v>0.97974890470504761</v>
      </c>
      <c r="G42">
        <v>0.33359904344360308</v>
      </c>
      <c r="H42">
        <f t="shared" si="6"/>
        <v>954</v>
      </c>
      <c r="I42" s="18" t="str">
        <f t="shared" si="7"/>
        <v>stainless steel as the reactor material.</v>
      </c>
      <c r="J42" s="18" t="str">
        <f t="shared" si="2"/>
        <v>stainless steel</v>
      </c>
      <c r="K42">
        <f t="shared" si="8"/>
        <v>950</v>
      </c>
      <c r="L42" s="18" t="str">
        <f t="shared" si="9"/>
        <v>stainless steel as the reactor material.</v>
      </c>
      <c r="M42" s="18" t="str">
        <f t="shared" si="5"/>
        <v>stainless steel</v>
      </c>
    </row>
    <row r="43" spans="1:13" x14ac:dyDescent="0.3">
      <c r="A43" t="s">
        <v>1560</v>
      </c>
      <c r="B43" t="s">
        <v>1559</v>
      </c>
      <c r="C43" t="s">
        <v>1558</v>
      </c>
      <c r="D43">
        <v>0.97602248191833496</v>
      </c>
      <c r="E43">
        <v>0.97818011045455933</v>
      </c>
      <c r="F43">
        <v>0.97710007429122925</v>
      </c>
      <c r="G43">
        <v>0.16402405686167301</v>
      </c>
      <c r="H43">
        <f t="shared" si="6"/>
        <v>951</v>
      </c>
      <c r="I43" s="18" t="str">
        <f t="shared" si="7"/>
        <v>stainless steel as the reactor material.</v>
      </c>
      <c r="J43" s="18" t="str">
        <f t="shared" si="2"/>
        <v>stainless steel</v>
      </c>
      <c r="K43">
        <f t="shared" si="8"/>
        <v>951</v>
      </c>
      <c r="L43" s="18" t="str">
        <f t="shared" si="9"/>
        <v>stainless steel as the reactor material.</v>
      </c>
      <c r="M43" s="18" t="str">
        <f t="shared" si="5"/>
        <v>stainless steel</v>
      </c>
    </row>
    <row r="44" spans="1:13" x14ac:dyDescent="0.3">
      <c r="A44" t="s">
        <v>1557</v>
      </c>
      <c r="B44" t="s">
        <v>1556</v>
      </c>
      <c r="C44" t="s">
        <v>1555</v>
      </c>
      <c r="D44">
        <v>0.97104060649871826</v>
      </c>
      <c r="E44">
        <v>0.97415411472320557</v>
      </c>
      <c r="F44">
        <v>0.97259485721588135</v>
      </c>
      <c r="G44">
        <v>0.83323847467273759</v>
      </c>
      <c r="H44">
        <f t="shared" si="6"/>
        <v>952</v>
      </c>
      <c r="I44" s="18" t="str">
        <f t="shared" si="7"/>
        <v>stainless steel as the reactor material.</v>
      </c>
      <c r="J44" s="18" t="str">
        <f t="shared" si="2"/>
        <v>stainless steel</v>
      </c>
      <c r="K44">
        <f t="shared" si="8"/>
        <v>949</v>
      </c>
      <c r="L44" s="18" t="str">
        <f t="shared" si="9"/>
        <v>stainless steel as the reactor material.</v>
      </c>
      <c r="M44" s="18" t="str">
        <f t="shared" si="5"/>
        <v>stainless steel</v>
      </c>
    </row>
    <row r="45" spans="1:13" x14ac:dyDescent="0.3">
      <c r="A45" t="s">
        <v>1554</v>
      </c>
      <c r="B45" t="s">
        <v>1553</v>
      </c>
      <c r="C45" t="s">
        <v>1552</v>
      </c>
      <c r="D45">
        <v>0.95827627182006836</v>
      </c>
      <c r="E45">
        <v>0.96501821279525757</v>
      </c>
      <c r="F45">
        <v>0.96163541078567505</v>
      </c>
      <c r="G45">
        <v>3.9423076923076921</v>
      </c>
      <c r="H45">
        <f t="shared" si="6"/>
        <v>954</v>
      </c>
      <c r="I45" s="18" t="str">
        <f t="shared" si="7"/>
        <v>stainless steel as the reactor material.</v>
      </c>
      <c r="J45" s="18" t="str">
        <f t="shared" si="2"/>
        <v>stainless steel</v>
      </c>
      <c r="K45">
        <f t="shared" si="8"/>
        <v>949</v>
      </c>
      <c r="L45" s="18" t="str">
        <f t="shared" si="9"/>
        <v>stainless steel as the reactor material.</v>
      </c>
      <c r="M45" s="18" t="str">
        <f t="shared" si="5"/>
        <v>stainless steel</v>
      </c>
    </row>
    <row r="46" spans="1:13" x14ac:dyDescent="0.3">
      <c r="A46" t="s">
        <v>1551</v>
      </c>
      <c r="B46" t="s">
        <v>1550</v>
      </c>
      <c r="C46" t="s">
        <v>1549</v>
      </c>
      <c r="D46">
        <v>0.96471816301345825</v>
      </c>
      <c r="E46">
        <v>0.96702635288238525</v>
      </c>
      <c r="F46">
        <v>0.96587085723876953</v>
      </c>
      <c r="G46">
        <v>0.54512957998212686</v>
      </c>
      <c r="H46">
        <f t="shared" si="6"/>
        <v>957</v>
      </c>
      <c r="I46" s="18" t="str">
        <f t="shared" si="7"/>
        <v>stainless steel as the reactor material.</v>
      </c>
      <c r="J46" s="18" t="str">
        <f t="shared" si="2"/>
        <v>stainless steel</v>
      </c>
      <c r="K46">
        <f t="shared" si="8"/>
        <v>950</v>
      </c>
      <c r="L46" s="18" t="str">
        <f t="shared" si="9"/>
        <v>stainless steel as the reactor material.</v>
      </c>
      <c r="M46" s="18" t="str">
        <f t="shared" si="5"/>
        <v>stainless steel</v>
      </c>
    </row>
    <row r="47" spans="1:13" x14ac:dyDescent="0.3">
      <c r="A47" t="s">
        <v>1548</v>
      </c>
      <c r="B47" t="s">
        <v>1547</v>
      </c>
      <c r="C47" t="s">
        <v>1546</v>
      </c>
      <c r="D47">
        <v>0.98665314912796021</v>
      </c>
      <c r="E47">
        <v>0.98665314912796021</v>
      </c>
      <c r="F47">
        <v>0.98665314912796021</v>
      </c>
      <c r="G47">
        <v>0.45114942528735619</v>
      </c>
      <c r="H47">
        <f t="shared" si="6"/>
        <v>944</v>
      </c>
      <c r="I47" s="18" t="str">
        <f t="shared" si="7"/>
        <v>stainless steel as the reactor material.</v>
      </c>
      <c r="J47" s="18" t="str">
        <f t="shared" si="2"/>
        <v>stainless steel</v>
      </c>
      <c r="K47">
        <f t="shared" si="8"/>
        <v>952</v>
      </c>
      <c r="L47" s="18" t="str">
        <f t="shared" si="9"/>
        <v>stainless steel as the reactor material.</v>
      </c>
      <c r="M47" s="18" t="str">
        <f t="shared" si="5"/>
        <v>stainless steel</v>
      </c>
    </row>
    <row r="48" spans="1:13" x14ac:dyDescent="0.3">
      <c r="A48" t="s">
        <v>1545</v>
      </c>
      <c r="B48" t="s">
        <v>1544</v>
      </c>
      <c r="C48" t="s">
        <v>1543</v>
      </c>
      <c r="D48">
        <v>0.96482807397842407</v>
      </c>
      <c r="E48">
        <v>0.95813179016113281</v>
      </c>
      <c r="F48">
        <v>0.96146833896636963</v>
      </c>
      <c r="G48">
        <v>0.72197705207413954</v>
      </c>
      <c r="H48">
        <f t="shared" si="6"/>
        <v>949</v>
      </c>
      <c r="I48" s="18" t="str">
        <f t="shared" si="7"/>
        <v>stainless steel as the reactor material.</v>
      </c>
      <c r="J48" s="18" t="str">
        <f t="shared" si="2"/>
        <v>stainless steel</v>
      </c>
      <c r="K48">
        <f t="shared" si="8"/>
        <v>954</v>
      </c>
      <c r="L48" s="18" t="str">
        <f t="shared" si="9"/>
        <v>stainless steel as the reactor material.</v>
      </c>
      <c r="M48" s="18" t="str">
        <f t="shared" si="5"/>
        <v>stainless steel</v>
      </c>
    </row>
    <row r="49" spans="1:13" x14ac:dyDescent="0.3">
      <c r="A49" t="s">
        <v>1542</v>
      </c>
      <c r="B49" t="s">
        <v>1541</v>
      </c>
      <c r="C49" t="s">
        <v>1540</v>
      </c>
      <c r="D49">
        <v>0.97121596336364746</v>
      </c>
      <c r="E49">
        <v>0.96722143888473511</v>
      </c>
      <c r="F49">
        <v>0.96921455860137939</v>
      </c>
      <c r="G49">
        <v>0.70800316957210774</v>
      </c>
      <c r="H49">
        <f t="shared" si="6"/>
        <v>935</v>
      </c>
      <c r="I49" s="18" t="str">
        <f t="shared" si="7"/>
        <v>stainless steel as the reactor material.</v>
      </c>
      <c r="J49" s="18" t="str">
        <f t="shared" si="2"/>
        <v>stainless steel</v>
      </c>
      <c r="K49">
        <f t="shared" si="8"/>
        <v>935</v>
      </c>
      <c r="L49" s="18" t="str">
        <f t="shared" si="9"/>
        <v>stainless steel as the reactor material.</v>
      </c>
      <c r="M49" s="18" t="str">
        <f t="shared" si="5"/>
        <v>stainless steel</v>
      </c>
    </row>
    <row r="50" spans="1:13" x14ac:dyDescent="0.3">
      <c r="A50" t="s">
        <v>1539</v>
      </c>
      <c r="B50" t="s">
        <v>1538</v>
      </c>
      <c r="C50" t="s">
        <v>1537</v>
      </c>
      <c r="D50">
        <v>0.97467243671417236</v>
      </c>
      <c r="E50">
        <v>0.97063475847244263</v>
      </c>
      <c r="F50">
        <v>0.97264939546585083</v>
      </c>
      <c r="G50">
        <v>0.54701116037303166</v>
      </c>
      <c r="H50">
        <f t="shared" si="6"/>
        <v>934</v>
      </c>
      <c r="I50" s="18" t="str">
        <f t="shared" si="7"/>
        <v>stainless steel as the reactor material.</v>
      </c>
      <c r="J50" s="18" t="str">
        <f t="shared" si="2"/>
        <v>stainless steel</v>
      </c>
      <c r="K50">
        <f t="shared" si="8"/>
        <v>934</v>
      </c>
      <c r="L50" s="18" t="str">
        <f t="shared" si="9"/>
        <v>stainless steel as the reactor material.</v>
      </c>
      <c r="M50" s="18" t="str">
        <f t="shared" si="5"/>
        <v>stainless steel</v>
      </c>
    </row>
    <row r="51" spans="1:13" x14ac:dyDescent="0.3">
      <c r="A51" t="s">
        <v>1536</v>
      </c>
      <c r="B51" t="s">
        <v>1535</v>
      </c>
      <c r="C51" t="s">
        <v>1534</v>
      </c>
      <c r="D51">
        <v>0.96433860063552856</v>
      </c>
      <c r="E51">
        <v>0.95787644386291504</v>
      </c>
      <c r="F51">
        <v>0.96109664440155029</v>
      </c>
      <c r="G51">
        <v>0.64285714285714279</v>
      </c>
      <c r="H51">
        <f t="shared" si="6"/>
        <v>949</v>
      </c>
      <c r="I51" s="18" t="str">
        <f t="shared" si="7"/>
        <v>stainless steel as the reactor material.</v>
      </c>
      <c r="J51" s="18" t="str">
        <f t="shared" si="2"/>
        <v>stainless steel</v>
      </c>
      <c r="K51">
        <f t="shared" si="8"/>
        <v>950</v>
      </c>
      <c r="L51" s="18" t="str">
        <f t="shared" si="9"/>
        <v>stainless steel as the reactor material.</v>
      </c>
      <c r="M51" s="18" t="str">
        <f t="shared" si="5"/>
        <v>stainless steel</v>
      </c>
    </row>
    <row r="52" spans="1:13" x14ac:dyDescent="0.3">
      <c r="A52" t="s">
        <v>1533</v>
      </c>
      <c r="B52" t="s">
        <v>1532</v>
      </c>
      <c r="C52" t="s">
        <v>1531</v>
      </c>
      <c r="D52">
        <v>0.9574621319770813</v>
      </c>
      <c r="E52">
        <v>0.96409046649932861</v>
      </c>
      <c r="F52">
        <v>0.96076482534408569</v>
      </c>
      <c r="G52">
        <v>1.9211065573770489</v>
      </c>
      <c r="H52">
        <f t="shared" si="6"/>
        <v>950</v>
      </c>
      <c r="I52" s="18" t="str">
        <f t="shared" si="7"/>
        <v>stainless steel as the reactor material.</v>
      </c>
      <c r="J52" s="18" t="str">
        <f t="shared" si="2"/>
        <v>stainless steel</v>
      </c>
      <c r="K52">
        <f t="shared" si="8"/>
        <v>944</v>
      </c>
      <c r="L52" s="18" t="str">
        <f t="shared" si="9"/>
        <v>stainless steel as the reactor material.</v>
      </c>
      <c r="M52" s="18" t="str">
        <f t="shared" si="5"/>
        <v>stainless steel</v>
      </c>
    </row>
    <row r="53" spans="1:13" x14ac:dyDescent="0.3">
      <c r="A53" t="s">
        <v>1530</v>
      </c>
      <c r="B53" t="s">
        <v>1529</v>
      </c>
      <c r="C53" t="s">
        <v>1528</v>
      </c>
      <c r="D53">
        <v>0.95855122804641724</v>
      </c>
      <c r="E53">
        <v>0.96458500623703003</v>
      </c>
      <c r="F53">
        <v>0.96155864000320435</v>
      </c>
      <c r="G53">
        <v>1.1951219512195119</v>
      </c>
      <c r="H53">
        <f t="shared" si="6"/>
        <v>949</v>
      </c>
      <c r="I53" s="18" t="str">
        <f t="shared" si="7"/>
        <v>stainless steel as the reactor material.</v>
      </c>
      <c r="J53" s="18" t="str">
        <f t="shared" si="2"/>
        <v>stainless steel</v>
      </c>
      <c r="K53">
        <f t="shared" si="8"/>
        <v>950</v>
      </c>
      <c r="L53" s="18" t="str">
        <f t="shared" si="9"/>
        <v>stainless steel as the reactor material.</v>
      </c>
      <c r="M53" s="18" t="str">
        <f t="shared" si="5"/>
        <v>stainless steel</v>
      </c>
    </row>
    <row r="54" spans="1:13" x14ac:dyDescent="0.3">
      <c r="A54" t="s">
        <v>1527</v>
      </c>
      <c r="B54" t="s">
        <v>1526</v>
      </c>
      <c r="C54" t="s">
        <v>1525</v>
      </c>
      <c r="D54">
        <v>0.99230420589447021</v>
      </c>
      <c r="E54">
        <v>0.99230039119720459</v>
      </c>
      <c r="F54">
        <v>0.9923022985458374</v>
      </c>
      <c r="G54">
        <v>0.29517241379310349</v>
      </c>
      <c r="H54">
        <f t="shared" si="6"/>
        <v>949</v>
      </c>
      <c r="I54" s="18" t="str">
        <f t="shared" si="7"/>
        <v>stainless steel as the reactor material.</v>
      </c>
      <c r="J54" s="18" t="str">
        <f t="shared" si="2"/>
        <v>stainless steel</v>
      </c>
      <c r="K54">
        <f t="shared" si="8"/>
        <v>949</v>
      </c>
      <c r="L54" s="18" t="str">
        <f t="shared" si="9"/>
        <v>stainless steel as the reactor material.</v>
      </c>
      <c r="M54" s="18" t="str">
        <f t="shared" si="5"/>
        <v>stainless steel</v>
      </c>
    </row>
    <row r="55" spans="1:13" x14ac:dyDescent="0.3">
      <c r="A55" t="s">
        <v>1524</v>
      </c>
      <c r="B55" t="s">
        <v>1523</v>
      </c>
      <c r="C55" t="s">
        <v>1522</v>
      </c>
      <c r="D55">
        <v>0.9734380841255188</v>
      </c>
      <c r="E55">
        <v>0.97648179531097412</v>
      </c>
      <c r="F55">
        <v>0.97495758533477783</v>
      </c>
      <c r="G55">
        <v>3.6107921928817439</v>
      </c>
      <c r="H55">
        <f t="shared" si="6"/>
        <v>935</v>
      </c>
      <c r="I55" s="18" t="str">
        <f t="shared" si="7"/>
        <v>stainless steel as the reactor material.</v>
      </c>
      <c r="J55" s="18" t="str">
        <f t="shared" si="2"/>
        <v>stainless steel</v>
      </c>
      <c r="K55">
        <f t="shared" si="8"/>
        <v>933</v>
      </c>
      <c r="L55" s="18" t="str">
        <f t="shared" si="9"/>
        <v>stainless steel as the reactor material.</v>
      </c>
      <c r="M55" s="18" t="str">
        <f t="shared" si="5"/>
        <v>stainless steel</v>
      </c>
    </row>
    <row r="56" spans="1:13" x14ac:dyDescent="0.3">
      <c r="A56" t="s">
        <v>1521</v>
      </c>
      <c r="B56" t="s">
        <v>1520</v>
      </c>
      <c r="C56" t="s">
        <v>1519</v>
      </c>
      <c r="D56">
        <v>0.97118890285491943</v>
      </c>
      <c r="E56">
        <v>0.97572565078735352</v>
      </c>
      <c r="F56">
        <v>0.97345197200775146</v>
      </c>
      <c r="G56">
        <v>0.38337801608579081</v>
      </c>
      <c r="H56">
        <f t="shared" si="6"/>
        <v>953</v>
      </c>
      <c r="I56" s="18" t="str">
        <f t="shared" si="7"/>
        <v>stainless steel as the reactor material.</v>
      </c>
      <c r="J56" s="18" t="str">
        <f t="shared" si="2"/>
        <v>stainless steel</v>
      </c>
      <c r="K56">
        <f t="shared" si="8"/>
        <v>954</v>
      </c>
      <c r="L56" s="18" t="str">
        <f t="shared" si="9"/>
        <v>stainless steel as the reactor material.</v>
      </c>
      <c r="M56" s="18" t="str">
        <f t="shared" si="5"/>
        <v>stainless steel</v>
      </c>
    </row>
    <row r="57" spans="1:13" x14ac:dyDescent="0.3">
      <c r="A57" t="s">
        <v>1518</v>
      </c>
      <c r="B57" t="s">
        <v>1517</v>
      </c>
      <c r="C57" t="s">
        <v>1516</v>
      </c>
      <c r="D57">
        <v>0.98972964286804199</v>
      </c>
      <c r="E57">
        <v>0.98970592021942139</v>
      </c>
      <c r="F57">
        <v>0.98971778154373169</v>
      </c>
      <c r="G57">
        <v>0.2525117213663764</v>
      </c>
      <c r="H57">
        <f t="shared" si="6"/>
        <v>949</v>
      </c>
      <c r="I57" s="18" t="str">
        <f t="shared" si="7"/>
        <v>stainless steel as the reactor material.</v>
      </c>
      <c r="J57" s="18" t="str">
        <f t="shared" si="2"/>
        <v>stainless steel</v>
      </c>
      <c r="K57">
        <f t="shared" si="8"/>
        <v>950</v>
      </c>
      <c r="L57" s="18" t="str">
        <f t="shared" si="9"/>
        <v>stainless steel as the reactor material.</v>
      </c>
      <c r="M57" s="18" t="str">
        <f t="shared" si="5"/>
        <v>stainless steel</v>
      </c>
    </row>
    <row r="58" spans="1:13" x14ac:dyDescent="0.3">
      <c r="A58" t="s">
        <v>1515</v>
      </c>
      <c r="B58" t="s">
        <v>1514</v>
      </c>
      <c r="C58" t="s">
        <v>1513</v>
      </c>
      <c r="D58">
        <v>0.97435659170150757</v>
      </c>
      <c r="E58">
        <v>0.97647130489349365</v>
      </c>
      <c r="F58">
        <v>0.97541284561157227</v>
      </c>
      <c r="G58">
        <v>1.658436213991769</v>
      </c>
      <c r="H58">
        <f t="shared" si="6"/>
        <v>950</v>
      </c>
      <c r="I58" s="18" t="str">
        <f t="shared" si="7"/>
        <v>stainless steel as the reactor material.</v>
      </c>
      <c r="J58" s="18" t="str">
        <f t="shared" si="2"/>
        <v>stainless steel</v>
      </c>
      <c r="K58">
        <f t="shared" si="8"/>
        <v>948</v>
      </c>
      <c r="L58" s="18" t="str">
        <f t="shared" si="9"/>
        <v>stainless steel as the reactor material.</v>
      </c>
      <c r="M58" s="18" t="str">
        <f t="shared" si="5"/>
        <v>stainless steel</v>
      </c>
    </row>
    <row r="59" spans="1:13" x14ac:dyDescent="0.3">
      <c r="A59" t="s">
        <v>1512</v>
      </c>
      <c r="B59" t="s">
        <v>1511</v>
      </c>
      <c r="C59" t="s">
        <v>1510</v>
      </c>
      <c r="D59">
        <v>0.96995913982391357</v>
      </c>
      <c r="E59">
        <v>0.97328686714172363</v>
      </c>
      <c r="F59">
        <v>0.97162014245986938</v>
      </c>
      <c r="G59">
        <v>2.1184767277856129</v>
      </c>
      <c r="H59">
        <f t="shared" si="6"/>
        <v>935</v>
      </c>
      <c r="I59" s="18" t="str">
        <f t="shared" si="7"/>
        <v>stainless steel as the reactor material.</v>
      </c>
      <c r="J59" s="18" t="str">
        <f t="shared" si="2"/>
        <v>stainless steel</v>
      </c>
      <c r="K59">
        <f t="shared" si="8"/>
        <v>934</v>
      </c>
      <c r="L59" s="18" t="str">
        <f t="shared" si="9"/>
        <v>stainless steel as the reactor material.</v>
      </c>
      <c r="M59" s="18" t="str">
        <f t="shared" si="5"/>
        <v>stainless steel</v>
      </c>
    </row>
    <row r="60" spans="1:13" x14ac:dyDescent="0.3">
      <c r="A60" t="s">
        <v>1509</v>
      </c>
      <c r="B60" t="s">
        <v>1508</v>
      </c>
      <c r="C60" t="s">
        <v>1507</v>
      </c>
      <c r="D60">
        <v>0.98650747537612915</v>
      </c>
      <c r="E60">
        <v>0.98651766777038574</v>
      </c>
      <c r="F60">
        <v>0.98651260137557983</v>
      </c>
      <c r="G60">
        <v>0.39347675225537809</v>
      </c>
      <c r="H60">
        <f t="shared" si="6"/>
        <v>951</v>
      </c>
      <c r="I60" s="18" t="str">
        <f t="shared" si="7"/>
        <v>stainless steel as the reactor material.</v>
      </c>
      <c r="J60" s="18" t="str">
        <f t="shared" si="2"/>
        <v>stainless steel</v>
      </c>
      <c r="K60">
        <f t="shared" si="8"/>
        <v>951</v>
      </c>
      <c r="L60" s="18" t="str">
        <f t="shared" si="9"/>
        <v>stainless steel as the reactor material.</v>
      </c>
      <c r="M60" s="18" t="str">
        <f t="shared" si="5"/>
        <v>stainless steel</v>
      </c>
    </row>
    <row r="61" spans="1:13" x14ac:dyDescent="0.3">
      <c r="A61" t="s">
        <v>1506</v>
      </c>
      <c r="B61" t="s">
        <v>1505</v>
      </c>
      <c r="C61" t="s">
        <v>1504</v>
      </c>
      <c r="D61">
        <v>0.98804187774658203</v>
      </c>
      <c r="E61">
        <v>0.98782801628112793</v>
      </c>
      <c r="F61">
        <v>0.98793494701385498</v>
      </c>
      <c r="G61">
        <v>0.26918011195258479</v>
      </c>
      <c r="H61">
        <f t="shared" si="6"/>
        <v>934</v>
      </c>
      <c r="I61" s="18" t="str">
        <f t="shared" si="7"/>
        <v>stainless steel as the reactor material.</v>
      </c>
      <c r="J61" s="18" t="str">
        <f t="shared" si="2"/>
        <v>stainless steel</v>
      </c>
      <c r="K61">
        <f t="shared" si="8"/>
        <v>934</v>
      </c>
      <c r="L61" s="18" t="str">
        <f t="shared" si="9"/>
        <v>stainless steel as the reactor material.</v>
      </c>
      <c r="M61" s="18" t="str">
        <f t="shared" si="5"/>
        <v>stainless steel</v>
      </c>
    </row>
    <row r="62" spans="1:13" x14ac:dyDescent="0.3">
      <c r="A62" t="s">
        <v>1503</v>
      </c>
      <c r="B62" t="s">
        <v>1502</v>
      </c>
      <c r="C62" t="s">
        <v>1501</v>
      </c>
      <c r="D62">
        <v>0.98444831371307373</v>
      </c>
      <c r="E62">
        <v>0.98439651727676392</v>
      </c>
      <c r="F62">
        <v>0.98442238569259644</v>
      </c>
      <c r="G62">
        <v>8.3037865164727012E-2</v>
      </c>
      <c r="H62">
        <f t="shared" si="6"/>
        <v>1354</v>
      </c>
      <c r="I62" s="18" t="str">
        <f t="shared" si="7"/>
        <v>stainless steel as the reactor material.</v>
      </c>
      <c r="J62" s="18" t="str">
        <f t="shared" si="2"/>
        <v>stainless steel</v>
      </c>
      <c r="K62">
        <f t="shared" si="8"/>
        <v>1342</v>
      </c>
      <c r="L62" s="18" t="str">
        <f t="shared" si="9"/>
        <v>stainless steel as the reactor material.</v>
      </c>
      <c r="M62" s="18" t="str">
        <f t="shared" si="5"/>
        <v>stainless steel</v>
      </c>
    </row>
    <row r="63" spans="1:13" x14ac:dyDescent="0.3">
      <c r="A63" t="s">
        <v>1500</v>
      </c>
      <c r="B63" t="s">
        <v>2143</v>
      </c>
      <c r="C63" t="s">
        <v>1499</v>
      </c>
      <c r="D63">
        <v>0.99157977104187012</v>
      </c>
      <c r="E63">
        <v>0.99174487590789795</v>
      </c>
      <c r="F63">
        <v>0.99166232347488403</v>
      </c>
      <c r="G63">
        <v>2.0144543384722331E-2</v>
      </c>
      <c r="H63">
        <f t="shared" si="6"/>
        <v>1432</v>
      </c>
      <c r="I63" s="18" t="str">
        <f t="shared" si="7"/>
        <v>stainless steel as the reactor material.</v>
      </c>
      <c r="J63" s="18" t="str">
        <f t="shared" si="2"/>
        <v>stainless steel</v>
      </c>
      <c r="K63">
        <f t="shared" si="8"/>
        <v>1432</v>
      </c>
      <c r="L63" s="18" t="str">
        <f t="shared" si="9"/>
        <v>stainless steel as the reactor material.</v>
      </c>
      <c r="M63" s="18" t="str">
        <f t="shared" si="5"/>
        <v>stainless steel</v>
      </c>
    </row>
    <row r="64" spans="1:13" x14ac:dyDescent="0.3">
      <c r="A64" t="s">
        <v>1498</v>
      </c>
      <c r="B64" t="s">
        <v>2142</v>
      </c>
      <c r="C64" t="s">
        <v>1497</v>
      </c>
      <c r="D64">
        <v>0.98253035545349121</v>
      </c>
      <c r="E64">
        <v>0.98190349340438843</v>
      </c>
      <c r="F64">
        <v>0.98221677541732788</v>
      </c>
      <c r="G64">
        <v>1.006974484050409E-4</v>
      </c>
      <c r="H64">
        <f t="shared" si="6"/>
        <v>1441</v>
      </c>
      <c r="I64" s="18" t="str">
        <f t="shared" si="7"/>
        <v>stainless steel as the reactor material.</v>
      </c>
      <c r="J64" s="18" t="str">
        <f t="shared" si="2"/>
        <v>stainless steel</v>
      </c>
      <c r="K64">
        <f t="shared" si="8"/>
        <v>1441</v>
      </c>
      <c r="L64" s="18" t="str">
        <f t="shared" si="9"/>
        <v>stainless steel as the reactor material.</v>
      </c>
      <c r="M64" s="18" t="str">
        <f t="shared" si="5"/>
        <v>stainless steel</v>
      </c>
    </row>
    <row r="65" spans="1:13" x14ac:dyDescent="0.3">
      <c r="A65" t="s">
        <v>1496</v>
      </c>
      <c r="B65" t="s">
        <v>2141</v>
      </c>
      <c r="C65" t="s">
        <v>1495</v>
      </c>
      <c r="D65">
        <v>0.98475760221481323</v>
      </c>
      <c r="E65">
        <v>0.98432612419128418</v>
      </c>
      <c r="F65">
        <v>0.98454177379608154</v>
      </c>
      <c r="G65">
        <v>0.12238281975969199</v>
      </c>
      <c r="H65">
        <f t="shared" si="6"/>
        <v>1363</v>
      </c>
      <c r="I65" s="18" t="str">
        <f t="shared" si="7"/>
        <v>stainless steel as the reactor material.</v>
      </c>
      <c r="J65" s="18" t="str">
        <f t="shared" si="2"/>
        <v>stainless steel</v>
      </c>
      <c r="K65">
        <f t="shared" si="8"/>
        <v>1361</v>
      </c>
      <c r="L65" s="18" t="str">
        <f t="shared" si="9"/>
        <v>stainless steel as the reactor material.</v>
      </c>
      <c r="M65" s="18" t="str">
        <f t="shared" si="5"/>
        <v>stainless steel</v>
      </c>
    </row>
    <row r="66" spans="1:13" x14ac:dyDescent="0.3">
      <c r="A66" t="s">
        <v>1494</v>
      </c>
      <c r="B66" t="s">
        <v>2140</v>
      </c>
      <c r="C66" t="s">
        <v>1493</v>
      </c>
      <c r="D66">
        <v>0.97776710987091064</v>
      </c>
      <c r="E66">
        <v>0.97743630409240723</v>
      </c>
      <c r="F66">
        <v>0.97760164737701416</v>
      </c>
      <c r="G66">
        <v>1.021442902405034E-2</v>
      </c>
      <c r="H66">
        <f t="shared" si="6"/>
        <v>1448</v>
      </c>
      <c r="I66" s="18" t="str">
        <f t="shared" si="7"/>
        <v>stainless steel as the reactor material.</v>
      </c>
      <c r="J66" s="18" t="str">
        <f t="shared" si="2"/>
        <v>stainless steel</v>
      </c>
      <c r="K66">
        <f t="shared" si="8"/>
        <v>1447</v>
      </c>
      <c r="L66" s="18" t="str">
        <f t="shared" si="9"/>
        <v>stainless steel as the reactor material.</v>
      </c>
      <c r="M66" s="18" t="str">
        <f t="shared" si="5"/>
        <v>stainless steel</v>
      </c>
    </row>
    <row r="67" spans="1:13" x14ac:dyDescent="0.3">
      <c r="A67" t="s">
        <v>1492</v>
      </c>
      <c r="B67" t="s">
        <v>2139</v>
      </c>
      <c r="C67" t="s">
        <v>1491</v>
      </c>
      <c r="D67">
        <v>0.9752470850944519</v>
      </c>
      <c r="E67">
        <v>0.97429239749908447</v>
      </c>
      <c r="F67">
        <v>0.97476953268051147</v>
      </c>
      <c r="G67">
        <v>0.21021381860356381</v>
      </c>
      <c r="H67">
        <f t="shared" si="6"/>
        <v>1361</v>
      </c>
      <c r="I67" s="18" t="str">
        <f t="shared" si="7"/>
        <v>stainless steel as the reactor material.</v>
      </c>
      <c r="J67" s="18" t="str">
        <f t="shared" ref="J67:J89" si="10">LEFT(I67,FIND(" ",I67,FIND(" ",I67)+1)-1)</f>
        <v>stainless steel</v>
      </c>
      <c r="K67">
        <f t="shared" si="8"/>
        <v>1361</v>
      </c>
      <c r="L67" s="18" t="str">
        <f t="shared" si="9"/>
        <v>stainless steel as the reactor material.</v>
      </c>
      <c r="M67" s="18" t="str">
        <f t="shared" ref="M67:M89" si="11">LEFT(L67,FIND(" ",L67,FIND(" ",L67)+1)-1)</f>
        <v>stainless steel</v>
      </c>
    </row>
    <row r="68" spans="1:13" x14ac:dyDescent="0.3">
      <c r="A68" t="s">
        <v>1490</v>
      </c>
      <c r="B68" t="s">
        <v>2138</v>
      </c>
      <c r="C68" t="s">
        <v>1489</v>
      </c>
      <c r="D68">
        <v>0.97923439741134644</v>
      </c>
      <c r="E68">
        <v>0.98062670230865479</v>
      </c>
      <c r="F68">
        <v>0.97993004322052002</v>
      </c>
      <c r="G68">
        <v>3.9945556392383197E-3</v>
      </c>
      <c r="H68">
        <f t="shared" si="6"/>
        <v>1437</v>
      </c>
      <c r="I68" s="18" t="str">
        <f t="shared" si="7"/>
        <v>stainless steel as the reactor material.</v>
      </c>
      <c r="J68" s="18" t="str">
        <f t="shared" si="10"/>
        <v>stainless steel</v>
      </c>
      <c r="K68">
        <f t="shared" si="8"/>
        <v>1438</v>
      </c>
      <c r="L68" s="18" t="str">
        <f t="shared" si="9"/>
        <v>stainless steel as the reactor material.</v>
      </c>
      <c r="M68" s="18" t="str">
        <f t="shared" si="11"/>
        <v>stainless steel</v>
      </c>
    </row>
    <row r="69" spans="1:13" x14ac:dyDescent="0.3">
      <c r="A69" t="s">
        <v>1488</v>
      </c>
      <c r="B69" t="s">
        <v>2137</v>
      </c>
      <c r="C69" t="s">
        <v>1487</v>
      </c>
      <c r="D69">
        <v>0.9868549108505249</v>
      </c>
      <c r="E69">
        <v>0.98726224899291992</v>
      </c>
      <c r="F69">
        <v>0.98705852031707764</v>
      </c>
      <c r="G69">
        <v>8.6419801715003942E-3</v>
      </c>
      <c r="H69">
        <f t="shared" si="6"/>
        <v>1354</v>
      </c>
      <c r="I69" s="18" t="str">
        <f t="shared" si="7"/>
        <v>stainless steel as the reactor material.</v>
      </c>
      <c r="J69" s="18" t="str">
        <f t="shared" si="10"/>
        <v>stainless steel</v>
      </c>
      <c r="K69">
        <f t="shared" si="8"/>
        <v>1352</v>
      </c>
      <c r="L69" s="18" t="str">
        <f t="shared" si="9"/>
        <v>stainless steel as the reactor material.</v>
      </c>
      <c r="M69" s="18" t="str">
        <f t="shared" si="11"/>
        <v>stainless steel</v>
      </c>
    </row>
    <row r="70" spans="1:13" x14ac:dyDescent="0.3">
      <c r="A70" t="s">
        <v>1486</v>
      </c>
      <c r="B70" t="s">
        <v>2136</v>
      </c>
      <c r="C70" t="s">
        <v>1485</v>
      </c>
      <c r="D70">
        <v>0.98607945442199707</v>
      </c>
      <c r="E70">
        <v>0.98570418357849121</v>
      </c>
      <c r="F70">
        <v>0.98589181900024414</v>
      </c>
      <c r="G70">
        <v>0.98293558757421362</v>
      </c>
      <c r="H70">
        <f t="shared" si="6"/>
        <v>1348</v>
      </c>
      <c r="I70" s="18" t="str">
        <f t="shared" si="7"/>
        <v>stainless steel as the reactor material.</v>
      </c>
      <c r="J70" s="18" t="str">
        <f t="shared" si="10"/>
        <v>stainless steel</v>
      </c>
      <c r="K70">
        <f t="shared" si="8"/>
        <v>1348</v>
      </c>
      <c r="L70" s="18" t="str">
        <f t="shared" si="9"/>
        <v>stainless steel as the reactor material.</v>
      </c>
      <c r="M70" s="18" t="str">
        <f t="shared" si="11"/>
        <v>stainless steel</v>
      </c>
    </row>
    <row r="71" spans="1:13" x14ac:dyDescent="0.3">
      <c r="A71" t="s">
        <v>1484</v>
      </c>
      <c r="B71" t="s">
        <v>2135</v>
      </c>
      <c r="C71" t="s">
        <v>1483</v>
      </c>
      <c r="D71">
        <v>0.94277119636535645</v>
      </c>
      <c r="E71">
        <v>0.94266438484191895</v>
      </c>
      <c r="F71">
        <v>0.9427177906036377</v>
      </c>
      <c r="G71">
        <v>4.85604314635237E-2</v>
      </c>
      <c r="H71">
        <f t="shared" si="6"/>
        <v>1389</v>
      </c>
      <c r="I71" s="18" t="str">
        <f t="shared" si="7"/>
        <v>stainless steel as the reactor material.</v>
      </c>
      <c r="J71" s="18" t="str">
        <f t="shared" si="10"/>
        <v>stainless steel</v>
      </c>
      <c r="K71">
        <f t="shared" si="8"/>
        <v>1359</v>
      </c>
      <c r="L71" s="18" t="str">
        <f t="shared" si="9"/>
        <v>stainless steel as the reactor material.</v>
      </c>
      <c r="M71" s="18" t="str">
        <f t="shared" si="11"/>
        <v>stainless steel</v>
      </c>
    </row>
    <row r="72" spans="1:13" x14ac:dyDescent="0.3">
      <c r="A72" t="s">
        <v>1482</v>
      </c>
      <c r="B72" t="s">
        <v>2134</v>
      </c>
      <c r="C72" t="s">
        <v>1481</v>
      </c>
      <c r="D72">
        <v>0.96729481220245361</v>
      </c>
      <c r="E72">
        <v>0.96829211711883545</v>
      </c>
      <c r="F72">
        <v>0.96779322624206543</v>
      </c>
      <c r="G72">
        <v>0.94858618659678307</v>
      </c>
      <c r="H72">
        <f t="shared" si="6"/>
        <v>1350</v>
      </c>
      <c r="I72" s="18" t="str">
        <f t="shared" si="7"/>
        <v>stainless steel as the reactor material.</v>
      </c>
      <c r="J72" s="18" t="str">
        <f t="shared" si="10"/>
        <v>stainless steel</v>
      </c>
      <c r="K72">
        <f t="shared" si="8"/>
        <v>1355</v>
      </c>
      <c r="L72" s="18" t="str">
        <f t="shared" si="9"/>
        <v>stainless steel as the reactor material.</v>
      </c>
      <c r="M72" s="18" t="str">
        <f t="shared" si="11"/>
        <v>stainless steel</v>
      </c>
    </row>
    <row r="73" spans="1:13" x14ac:dyDescent="0.3">
      <c r="A73" t="s">
        <v>1480</v>
      </c>
      <c r="B73" t="s">
        <v>2133</v>
      </c>
      <c r="C73" t="s">
        <v>1479</v>
      </c>
      <c r="D73">
        <v>0.99290990829467773</v>
      </c>
      <c r="E73">
        <v>0.99307042360305786</v>
      </c>
      <c r="F73">
        <v>0.99299019575119019</v>
      </c>
      <c r="G73">
        <v>3.643448471118145E-3</v>
      </c>
      <c r="H73">
        <f t="shared" si="6"/>
        <v>1429</v>
      </c>
      <c r="I73" s="18" t="str">
        <f t="shared" si="7"/>
        <v>stainless steel as the reactor material.</v>
      </c>
      <c r="J73" s="18" t="str">
        <f t="shared" si="10"/>
        <v>stainless steel</v>
      </c>
      <c r="K73">
        <f t="shared" si="8"/>
        <v>1434</v>
      </c>
      <c r="L73" s="18" t="str">
        <f t="shared" si="9"/>
        <v>stainless steel as the reactor material.</v>
      </c>
      <c r="M73" s="18" t="str">
        <f t="shared" si="11"/>
        <v>stainless steel</v>
      </c>
    </row>
    <row r="74" spans="1:13" x14ac:dyDescent="0.3">
      <c r="A74" t="s">
        <v>1478</v>
      </c>
      <c r="B74" t="s">
        <v>2132</v>
      </c>
      <c r="C74" t="s">
        <v>1477</v>
      </c>
      <c r="D74">
        <v>0.99304819107055664</v>
      </c>
      <c r="E74">
        <v>0.99315512180328369</v>
      </c>
      <c r="F74">
        <v>0.99310165643692017</v>
      </c>
      <c r="G74">
        <v>4.1008542898125208E-2</v>
      </c>
      <c r="H74">
        <f t="shared" si="6"/>
        <v>1435</v>
      </c>
      <c r="I74" s="18" t="str">
        <f t="shared" si="7"/>
        <v>stainless steel as the reactor material.</v>
      </c>
      <c r="J74" s="18" t="str">
        <f t="shared" si="10"/>
        <v>stainless steel</v>
      </c>
      <c r="K74">
        <f t="shared" si="8"/>
        <v>1435</v>
      </c>
      <c r="L74" s="18" t="str">
        <f t="shared" si="9"/>
        <v>stainless steel as the reactor material.</v>
      </c>
      <c r="M74" s="18" t="str">
        <f t="shared" si="11"/>
        <v>stainless steel</v>
      </c>
    </row>
    <row r="75" spans="1:13" x14ac:dyDescent="0.3">
      <c r="A75" t="s">
        <v>1476</v>
      </c>
      <c r="B75" t="s">
        <v>2131</v>
      </c>
      <c r="C75" t="s">
        <v>1475</v>
      </c>
      <c r="D75">
        <v>0.97997581958770752</v>
      </c>
      <c r="E75">
        <v>0.98080241680145264</v>
      </c>
      <c r="F75">
        <v>0.98038893938064575</v>
      </c>
      <c r="G75">
        <v>5.8837381067623672E-2</v>
      </c>
      <c r="H75">
        <f t="shared" si="6"/>
        <v>1359</v>
      </c>
      <c r="I75" s="18" t="str">
        <f t="shared" si="7"/>
        <v>stainless steel as the reactor material.</v>
      </c>
      <c r="J75" s="18" t="str">
        <f t="shared" si="10"/>
        <v>stainless steel</v>
      </c>
      <c r="K75">
        <f t="shared" si="8"/>
        <v>1355</v>
      </c>
      <c r="L75" s="18" t="str">
        <f t="shared" si="9"/>
        <v>stainless steel as the reactor material.</v>
      </c>
      <c r="M75" s="18" t="str">
        <f t="shared" si="11"/>
        <v>stainless steel</v>
      </c>
    </row>
    <row r="76" spans="1:13" x14ac:dyDescent="0.3">
      <c r="A76" t="s">
        <v>1474</v>
      </c>
      <c r="B76" t="s">
        <v>2130</v>
      </c>
      <c r="C76" t="s">
        <v>1473</v>
      </c>
      <c r="D76">
        <v>0.99750876426696777</v>
      </c>
      <c r="E76">
        <v>0.99782657623291016</v>
      </c>
      <c r="F76">
        <v>0.99766767024993896</v>
      </c>
      <c r="G76">
        <v>1.5637431471715211E-3</v>
      </c>
      <c r="H76">
        <f t="shared" ref="H76:H89" si="12">FIND("using",B76)</f>
        <v>1436</v>
      </c>
      <c r="I76" s="18" t="str">
        <f t="shared" ref="I76:I89" si="13">MID(B76,H76+LEN("using "),LEN(B76))</f>
        <v>stainless steel as the reactor material.</v>
      </c>
      <c r="J76" s="18" t="str">
        <f t="shared" si="10"/>
        <v>stainless steel</v>
      </c>
      <c r="K76">
        <f t="shared" ref="K76:K89" si="14">FIND("using",C76)</f>
        <v>1438</v>
      </c>
      <c r="L76" s="18" t="str">
        <f t="shared" ref="L76:L89" si="15">MID(C76,K76+LEN("using "),LEN(C76))</f>
        <v>stainless steel as the reactor material.</v>
      </c>
      <c r="M76" s="18" t="str">
        <f t="shared" si="11"/>
        <v>stainless steel</v>
      </c>
    </row>
    <row r="77" spans="1:13" x14ac:dyDescent="0.3">
      <c r="A77" t="s">
        <v>1472</v>
      </c>
      <c r="B77" t="s">
        <v>2129</v>
      </c>
      <c r="C77" t="s">
        <v>1471</v>
      </c>
      <c r="D77">
        <v>0.99634075164794922</v>
      </c>
      <c r="E77">
        <v>0.99634075164794922</v>
      </c>
      <c r="F77">
        <v>0.99634075164794922</v>
      </c>
      <c r="G77">
        <v>3.1016847900672481E-2</v>
      </c>
      <c r="H77">
        <f t="shared" si="12"/>
        <v>1433</v>
      </c>
      <c r="I77" s="18" t="str">
        <f t="shared" si="13"/>
        <v>stainless steel as the reactor material.</v>
      </c>
      <c r="J77" s="18" t="str">
        <f t="shared" si="10"/>
        <v>stainless steel</v>
      </c>
      <c r="K77">
        <f t="shared" si="14"/>
        <v>1434</v>
      </c>
      <c r="L77" s="18" t="str">
        <f t="shared" si="15"/>
        <v>stainless steel as the reactor material.</v>
      </c>
      <c r="M77" s="18" t="str">
        <f t="shared" si="11"/>
        <v>stainless steel</v>
      </c>
    </row>
    <row r="78" spans="1:13" x14ac:dyDescent="0.3">
      <c r="A78" t="s">
        <v>1470</v>
      </c>
      <c r="B78" t="s">
        <v>2128</v>
      </c>
      <c r="C78" t="s">
        <v>1469</v>
      </c>
      <c r="D78">
        <v>0.96561801433563232</v>
      </c>
      <c r="E78">
        <v>0.9666169285774231</v>
      </c>
      <c r="F78">
        <v>0.96611714363098145</v>
      </c>
      <c r="G78">
        <v>0.12876465284039679</v>
      </c>
      <c r="H78">
        <f t="shared" si="12"/>
        <v>1356</v>
      </c>
      <c r="I78" s="18" t="str">
        <f t="shared" si="13"/>
        <v>stainless steel as the reactor material.</v>
      </c>
      <c r="J78" s="18" t="str">
        <f t="shared" si="10"/>
        <v>stainless steel</v>
      </c>
      <c r="K78">
        <f t="shared" si="14"/>
        <v>1356</v>
      </c>
      <c r="L78" s="18" t="str">
        <f t="shared" si="15"/>
        <v>stainless steel as the reactor material.</v>
      </c>
      <c r="M78" s="18" t="str">
        <f t="shared" si="11"/>
        <v>stainless steel</v>
      </c>
    </row>
    <row r="79" spans="1:13" x14ac:dyDescent="0.3">
      <c r="A79" t="s">
        <v>1468</v>
      </c>
      <c r="B79" t="s">
        <v>2127</v>
      </c>
      <c r="C79" t="s">
        <v>1467</v>
      </c>
      <c r="D79">
        <v>0.98491239547729492</v>
      </c>
      <c r="E79">
        <v>0.98347461223602295</v>
      </c>
      <c r="F79">
        <v>0.98419296741485596</v>
      </c>
      <c r="G79">
        <v>1.40926719520239E-2</v>
      </c>
      <c r="H79">
        <f t="shared" si="12"/>
        <v>1434</v>
      </c>
      <c r="I79" s="18" t="str">
        <f t="shared" si="13"/>
        <v>stainless steel as the reactor material.</v>
      </c>
      <c r="J79" s="18" t="str">
        <f t="shared" si="10"/>
        <v>stainless steel</v>
      </c>
      <c r="K79">
        <f t="shared" si="14"/>
        <v>1438</v>
      </c>
      <c r="L79" s="18" t="str">
        <f t="shared" si="15"/>
        <v>stainless steel as the reactor material.</v>
      </c>
      <c r="M79" s="18" t="str">
        <f t="shared" si="11"/>
        <v>stainless steel</v>
      </c>
    </row>
    <row r="80" spans="1:13" x14ac:dyDescent="0.3">
      <c r="A80" t="s">
        <v>1466</v>
      </c>
      <c r="B80" t="s">
        <v>2126</v>
      </c>
      <c r="C80" t="s">
        <v>1465</v>
      </c>
      <c r="D80">
        <v>0.96079480648040771</v>
      </c>
      <c r="E80">
        <v>0.96210217475891113</v>
      </c>
      <c r="F80">
        <v>0.96144801378250122</v>
      </c>
      <c r="G80">
        <v>0.19206492335437311</v>
      </c>
      <c r="H80">
        <f t="shared" si="12"/>
        <v>1358</v>
      </c>
      <c r="I80" s="18" t="str">
        <f t="shared" si="13"/>
        <v>stainless steel as the reactor material.</v>
      </c>
      <c r="J80" s="18" t="str">
        <f t="shared" si="10"/>
        <v>stainless steel</v>
      </c>
      <c r="K80">
        <f t="shared" si="14"/>
        <v>1356</v>
      </c>
      <c r="L80" s="18" t="str">
        <f t="shared" si="15"/>
        <v>stainless steel as the reactor material.</v>
      </c>
      <c r="M80" s="18" t="str">
        <f t="shared" si="11"/>
        <v>stainless steel</v>
      </c>
    </row>
    <row r="81" spans="1:13" x14ac:dyDescent="0.3">
      <c r="A81" t="s">
        <v>1464</v>
      </c>
      <c r="B81" t="s">
        <v>2125</v>
      </c>
      <c r="C81" t="s">
        <v>1463</v>
      </c>
      <c r="D81">
        <v>0.99627625942230225</v>
      </c>
      <c r="E81">
        <v>0.99627625942230225</v>
      </c>
      <c r="F81">
        <v>0.99627625942230225</v>
      </c>
      <c r="G81">
        <v>2.5195739866401929E-3</v>
      </c>
      <c r="H81">
        <f t="shared" si="12"/>
        <v>1438</v>
      </c>
      <c r="I81" s="18" t="str">
        <f t="shared" si="13"/>
        <v>stainless steel as the reactor material.</v>
      </c>
      <c r="J81" s="18" t="str">
        <f t="shared" si="10"/>
        <v>stainless steel</v>
      </c>
      <c r="K81">
        <f t="shared" si="14"/>
        <v>1436</v>
      </c>
      <c r="L81" s="18" t="str">
        <f t="shared" si="15"/>
        <v>stainless steel as the reactor material.</v>
      </c>
      <c r="M81" s="18" t="str">
        <f t="shared" si="11"/>
        <v>stainless steel</v>
      </c>
    </row>
    <row r="82" spans="1:13" x14ac:dyDescent="0.3">
      <c r="A82" t="s">
        <v>1462</v>
      </c>
      <c r="B82" t="s">
        <v>2124</v>
      </c>
      <c r="C82" t="s">
        <v>1461</v>
      </c>
      <c r="D82">
        <v>0.96475553512573242</v>
      </c>
      <c r="E82">
        <v>0.96213340759277344</v>
      </c>
      <c r="F82">
        <v>0.96344268321990967</v>
      </c>
      <c r="G82">
        <v>1.9843018235656412E-2</v>
      </c>
      <c r="H82">
        <f t="shared" si="12"/>
        <v>1417</v>
      </c>
      <c r="I82" s="18" t="str">
        <f t="shared" si="13"/>
        <v>stainless steel as the reactor material.</v>
      </c>
      <c r="J82" s="18" t="str">
        <f t="shared" si="10"/>
        <v>stainless steel</v>
      </c>
      <c r="K82">
        <f t="shared" si="14"/>
        <v>1429</v>
      </c>
      <c r="L82" s="18" t="str">
        <f t="shared" si="15"/>
        <v>stainless steel as the reactor material.</v>
      </c>
      <c r="M82" s="18" t="str">
        <f t="shared" si="11"/>
        <v>stainless steel</v>
      </c>
    </row>
    <row r="83" spans="1:13" x14ac:dyDescent="0.3">
      <c r="A83" t="s">
        <v>1460</v>
      </c>
      <c r="B83" t="s">
        <v>2123</v>
      </c>
      <c r="C83" t="s">
        <v>1459</v>
      </c>
      <c r="D83">
        <v>0.99257206916809082</v>
      </c>
      <c r="E83">
        <v>0.99215555191040039</v>
      </c>
      <c r="F83">
        <v>0.99236381053924561</v>
      </c>
      <c r="G83">
        <v>0.10558673007912291</v>
      </c>
      <c r="H83">
        <f t="shared" si="12"/>
        <v>1359</v>
      </c>
      <c r="I83" s="18" t="str">
        <f t="shared" si="13"/>
        <v>stainless steel as the reactor material.</v>
      </c>
      <c r="J83" s="18" t="str">
        <f t="shared" si="10"/>
        <v>stainless steel</v>
      </c>
      <c r="K83">
        <f t="shared" si="14"/>
        <v>1359</v>
      </c>
      <c r="L83" s="18" t="str">
        <f t="shared" si="15"/>
        <v>stainless steel as the reactor material.</v>
      </c>
      <c r="M83" s="18" t="str">
        <f t="shared" si="11"/>
        <v>stainless steel</v>
      </c>
    </row>
    <row r="84" spans="1:13" x14ac:dyDescent="0.3">
      <c r="A84" t="s">
        <v>1458</v>
      </c>
      <c r="B84" t="s">
        <v>2122</v>
      </c>
      <c r="C84" t="s">
        <v>1457</v>
      </c>
      <c r="D84">
        <v>0.98378950357437134</v>
      </c>
      <c r="E84">
        <v>0.98471760749816895</v>
      </c>
      <c r="F84">
        <v>0.98425334692001343</v>
      </c>
      <c r="G84">
        <v>2.3598095470226631E-2</v>
      </c>
      <c r="H84">
        <f t="shared" si="12"/>
        <v>1438</v>
      </c>
      <c r="I84" s="18" t="str">
        <f t="shared" si="13"/>
        <v>stainless steel as the reactor material.</v>
      </c>
      <c r="J84" s="18" t="str">
        <f t="shared" si="10"/>
        <v>stainless steel</v>
      </c>
      <c r="K84">
        <f t="shared" si="14"/>
        <v>1432</v>
      </c>
      <c r="L84" s="18" t="str">
        <f t="shared" si="15"/>
        <v>stainless steel as the reactor material.</v>
      </c>
      <c r="M84" s="18" t="str">
        <f t="shared" si="11"/>
        <v>stainless steel</v>
      </c>
    </row>
    <row r="85" spans="1:13" x14ac:dyDescent="0.3">
      <c r="A85" t="s">
        <v>1456</v>
      </c>
      <c r="B85" t="s">
        <v>2121</v>
      </c>
      <c r="C85" t="s">
        <v>1455</v>
      </c>
      <c r="D85">
        <v>0.99950629472732544</v>
      </c>
      <c r="E85">
        <v>0.99950629472732544</v>
      </c>
      <c r="F85">
        <v>0.99950629472732544</v>
      </c>
      <c r="G85">
        <v>2.8292340217083069E-2</v>
      </c>
      <c r="H85">
        <f t="shared" si="12"/>
        <v>1434</v>
      </c>
      <c r="I85" s="18" t="str">
        <f t="shared" si="13"/>
        <v>stainless steel as the reactor material.</v>
      </c>
      <c r="J85" s="18" t="str">
        <f t="shared" si="10"/>
        <v>stainless steel</v>
      </c>
      <c r="K85">
        <f t="shared" si="14"/>
        <v>1432</v>
      </c>
      <c r="L85" s="18" t="str">
        <f t="shared" si="15"/>
        <v>stainless steel as the reactor material.</v>
      </c>
      <c r="M85" s="18" t="str">
        <f t="shared" si="11"/>
        <v>stainless steel</v>
      </c>
    </row>
    <row r="86" spans="1:13" x14ac:dyDescent="0.3">
      <c r="A86" t="s">
        <v>1454</v>
      </c>
      <c r="B86" t="s">
        <v>2120</v>
      </c>
      <c r="C86" t="s">
        <v>1453</v>
      </c>
      <c r="D86">
        <v>0.98238897323608398</v>
      </c>
      <c r="E86">
        <v>0.98169136047363281</v>
      </c>
      <c r="F86">
        <v>0.98204004764556885</v>
      </c>
      <c r="G86">
        <v>0.89871213062829669</v>
      </c>
      <c r="H86">
        <f t="shared" si="12"/>
        <v>1433</v>
      </c>
      <c r="I86" s="18" t="str">
        <f t="shared" si="13"/>
        <v>stainless steel as the reactor material.</v>
      </c>
      <c r="J86" s="18" t="str">
        <f t="shared" si="10"/>
        <v>stainless steel</v>
      </c>
      <c r="K86">
        <f t="shared" si="14"/>
        <v>1439</v>
      </c>
      <c r="L86" s="18" t="str">
        <f t="shared" si="15"/>
        <v>stainless steel as the reactor material.</v>
      </c>
      <c r="M86" s="18" t="str">
        <f t="shared" si="11"/>
        <v>stainless steel</v>
      </c>
    </row>
    <row r="87" spans="1:13" x14ac:dyDescent="0.3">
      <c r="A87" t="s">
        <v>1452</v>
      </c>
      <c r="B87" t="s">
        <v>2119</v>
      </c>
      <c r="C87" t="s">
        <v>1451</v>
      </c>
      <c r="D87">
        <v>0.98999971151351929</v>
      </c>
      <c r="E87">
        <v>0.98958766460418701</v>
      </c>
      <c r="F87">
        <v>0.98979365825653076</v>
      </c>
      <c r="G87">
        <v>7.774632741204361E-3</v>
      </c>
      <c r="H87">
        <f t="shared" si="12"/>
        <v>1446</v>
      </c>
      <c r="I87" s="18" t="str">
        <f t="shared" si="13"/>
        <v>stainless steel as the reactor material.</v>
      </c>
      <c r="J87" s="18" t="str">
        <f t="shared" si="10"/>
        <v>stainless steel</v>
      </c>
      <c r="K87">
        <f t="shared" si="14"/>
        <v>1442</v>
      </c>
      <c r="L87" s="18" t="str">
        <f t="shared" si="15"/>
        <v>stainless steel as the reactor material.</v>
      </c>
      <c r="M87" s="18" t="str">
        <f t="shared" si="11"/>
        <v>stainless steel</v>
      </c>
    </row>
    <row r="88" spans="1:13" x14ac:dyDescent="0.3">
      <c r="A88" t="s">
        <v>1450</v>
      </c>
      <c r="B88" t="s">
        <v>2118</v>
      </c>
      <c r="C88" t="s">
        <v>1449</v>
      </c>
      <c r="D88">
        <v>0.97594630718231201</v>
      </c>
      <c r="E88">
        <v>0.97694611549377441</v>
      </c>
      <c r="F88">
        <v>0.97644591331481934</v>
      </c>
      <c r="G88">
        <v>2.520004491740525E-2</v>
      </c>
      <c r="H88">
        <f t="shared" si="12"/>
        <v>1432</v>
      </c>
      <c r="I88" s="18" t="str">
        <f t="shared" si="13"/>
        <v>stainless steel as the reactor material.</v>
      </c>
      <c r="J88" s="18" t="str">
        <f t="shared" si="10"/>
        <v>stainless steel</v>
      </c>
      <c r="K88">
        <f t="shared" si="14"/>
        <v>1430</v>
      </c>
      <c r="L88" s="18" t="str">
        <f t="shared" si="15"/>
        <v>stainless steel as the reactor material.</v>
      </c>
      <c r="M88" s="18" t="str">
        <f t="shared" si="11"/>
        <v>stainless steel</v>
      </c>
    </row>
    <row r="89" spans="1:13" x14ac:dyDescent="0.3">
      <c r="A89" t="s">
        <v>1448</v>
      </c>
      <c r="B89" t="s">
        <v>2117</v>
      </c>
      <c r="C89" t="s">
        <v>1447</v>
      </c>
      <c r="D89">
        <v>0.98814201354980469</v>
      </c>
      <c r="E89">
        <v>0.98857605457305908</v>
      </c>
      <c r="F89">
        <v>0.98835897445678711</v>
      </c>
      <c r="G89">
        <v>7.1571167860659229E-2</v>
      </c>
      <c r="H89">
        <f t="shared" si="12"/>
        <v>1366</v>
      </c>
      <c r="I89" s="18" t="str">
        <f t="shared" si="13"/>
        <v>stainless steel as the reactor material.</v>
      </c>
      <c r="J89" s="18" t="str">
        <f t="shared" si="10"/>
        <v>stainless steel</v>
      </c>
      <c r="K89">
        <f t="shared" si="14"/>
        <v>1367</v>
      </c>
      <c r="L89" s="18" t="str">
        <f t="shared" si="15"/>
        <v>stainless steel as the reactor material.</v>
      </c>
      <c r="M89" s="18" t="str">
        <f t="shared" si="11"/>
        <v>stainless steel</v>
      </c>
    </row>
    <row r="90" spans="1:13" x14ac:dyDescent="0.3">
      <c r="D90">
        <f>AVERAGE(D2:D89)</f>
        <v>0.97707310386679391</v>
      </c>
      <c r="E90">
        <f>AVERAGE(E2:E89)</f>
        <v>0.97747543183240027</v>
      </c>
      <c r="F90">
        <f>AVERAGE(F2:F89)</f>
        <v>0.97727257826111535</v>
      </c>
      <c r="G90">
        <f>AVERAGE(G2:G89)</f>
        <v>0.85670609354472438</v>
      </c>
    </row>
  </sheetData>
  <autoFilter ref="A1:G90" xr:uid="{45BFC3CF-CBD1-46EF-883E-F29307B32810}"/>
  <phoneticPr fontId="1"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7DD69-8B31-491D-BB4A-1C9AA73D219F}">
  <sheetPr filterMode="1"/>
  <dimension ref="A1:N90"/>
  <sheetViews>
    <sheetView workbookViewId="0">
      <selection activeCell="G1" sqref="G1"/>
    </sheetView>
  </sheetViews>
  <sheetFormatPr defaultRowHeight="14" x14ac:dyDescent="0.3"/>
  <cols>
    <col min="8" max="8" width="9" customWidth="1"/>
    <col min="10" max="10" width="16.25" customWidth="1"/>
    <col min="11" max="11" width="18.83203125" customWidth="1"/>
    <col min="13" max="13" width="16.08203125" customWidth="1"/>
  </cols>
  <sheetData>
    <row r="1" spans="1:14" x14ac:dyDescent="0.3">
      <c r="A1" s="1" t="s">
        <v>265</v>
      </c>
      <c r="B1" s="1" t="s">
        <v>264</v>
      </c>
      <c r="C1" s="1" t="s">
        <v>263</v>
      </c>
      <c r="D1" s="1" t="s">
        <v>262</v>
      </c>
      <c r="E1" s="1" t="s">
        <v>261</v>
      </c>
      <c r="F1" s="1" t="s">
        <v>260</v>
      </c>
      <c r="G1" s="1" t="s">
        <v>259</v>
      </c>
    </row>
    <row r="2" spans="1:14" x14ac:dyDescent="0.3">
      <c r="A2" t="s">
        <v>1763</v>
      </c>
      <c r="B2" t="s">
        <v>2233</v>
      </c>
      <c r="C2" t="s">
        <v>1343</v>
      </c>
      <c r="D2">
        <v>0.97924494743347168</v>
      </c>
      <c r="E2">
        <v>0.97878718376159668</v>
      </c>
      <c r="F2">
        <v>0.97901606559753418</v>
      </c>
      <c r="G2">
        <v>0.16936650591845681</v>
      </c>
      <c r="I2">
        <f>FIND("using",B2)</f>
        <v>1178</v>
      </c>
      <c r="J2" s="18" t="str">
        <f>MID(B2,I2+LEN("using "),LEN(B2))</f>
        <v>carbon steel as the reactor material.</v>
      </c>
      <c r="K2" s="18" t="str">
        <f>LEFT(J2,FIND(" ",J2,FIND(" ",J2)+1)-1)</f>
        <v>carbon steel</v>
      </c>
      <c r="L2">
        <f>FIND("using",C2)</f>
        <v>1179</v>
      </c>
      <c r="M2" s="18" t="str">
        <f>MID(C2,L2+LEN("using "),LEN(C2))</f>
        <v xml:space="preserve">carbon steel as the reactor material.
</v>
      </c>
      <c r="N2" s="18" t="str">
        <f>LEFT(M2,FIND(" ",M2,FIND(" ",M2)+1)-1)</f>
        <v>carbon steel</v>
      </c>
    </row>
    <row r="3" spans="1:14" hidden="1" x14ac:dyDescent="0.3">
      <c r="A3" t="s">
        <v>1762</v>
      </c>
      <c r="B3" t="s">
        <v>2232</v>
      </c>
      <c r="C3" t="s">
        <v>1341</v>
      </c>
      <c r="D3">
        <v>0.96420317888259888</v>
      </c>
      <c r="E3">
        <v>0.96290332078933716</v>
      </c>
      <c r="F3">
        <v>0.96355277299880981</v>
      </c>
      <c r="G3">
        <v>4.3984197071810369</v>
      </c>
      <c r="I3">
        <f t="shared" ref="I3:I66" si="0">FIND("using",B3)</f>
        <v>1172</v>
      </c>
      <c r="J3" s="18" t="str">
        <f t="shared" ref="J3:J66" si="1">MID(B3,I3+LEN("using "),LEN(B3))</f>
        <v>carbon steel as the reactor material.</v>
      </c>
      <c r="K3" s="18" t="str">
        <f t="shared" ref="K3:K66" si="2">LEFT(J3,FIND(" ",J3,FIND(" ",J3)+1)-1)</f>
        <v>carbon steel</v>
      </c>
      <c r="L3">
        <f t="shared" ref="L3:L66" si="3">FIND("using",C3)</f>
        <v>1170</v>
      </c>
      <c r="M3" s="18" t="str">
        <f t="shared" ref="M3:M66" si="4">MID(C3,L3+LEN("using "),LEN(C3))</f>
        <v xml:space="preserve">carbon steel as the reactor material.
</v>
      </c>
      <c r="N3" s="18" t="str">
        <f t="shared" ref="N3:N66" si="5">LEFT(M3,FIND(" ",M3,FIND(" ",M3)+1)-1)</f>
        <v>carbon steel</v>
      </c>
    </row>
    <row r="4" spans="1:14" x14ac:dyDescent="0.3">
      <c r="A4" t="s">
        <v>1761</v>
      </c>
      <c r="B4" t="s">
        <v>2231</v>
      </c>
      <c r="C4" t="s">
        <v>1339</v>
      </c>
      <c r="D4">
        <v>0.98619890213012695</v>
      </c>
      <c r="E4">
        <v>0.98629450798034668</v>
      </c>
      <c r="F4">
        <v>0.98624670505523682</v>
      </c>
      <c r="G4">
        <v>0.14520376856452449</v>
      </c>
      <c r="I4">
        <f t="shared" si="0"/>
        <v>1180</v>
      </c>
      <c r="J4" s="18" t="str">
        <f t="shared" si="1"/>
        <v>carbon steel as the reactor material.</v>
      </c>
      <c r="K4" s="18" t="str">
        <f t="shared" si="2"/>
        <v>carbon steel</v>
      </c>
      <c r="L4">
        <f t="shared" si="3"/>
        <v>1180</v>
      </c>
      <c r="M4" s="18" t="str">
        <f t="shared" si="4"/>
        <v xml:space="preserve">carbon steel as the reactor material.
</v>
      </c>
      <c r="N4" s="18" t="str">
        <f t="shared" si="5"/>
        <v>carbon steel</v>
      </c>
    </row>
    <row r="5" spans="1:14" x14ac:dyDescent="0.3">
      <c r="A5" t="s">
        <v>1760</v>
      </c>
      <c r="B5" t="s">
        <v>2230</v>
      </c>
      <c r="C5" t="s">
        <v>1337</v>
      </c>
      <c r="D5">
        <v>0.96928215026855469</v>
      </c>
      <c r="E5">
        <v>0.96816575527191162</v>
      </c>
      <c r="F5">
        <v>0.96872365474700928</v>
      </c>
      <c r="G5">
        <v>0.52651682386781729</v>
      </c>
      <c r="I5">
        <f t="shared" si="0"/>
        <v>1180</v>
      </c>
      <c r="J5" s="18" t="str">
        <f t="shared" si="1"/>
        <v>carbon steel as the reactor material.</v>
      </c>
      <c r="K5" s="18" t="str">
        <f t="shared" si="2"/>
        <v>carbon steel</v>
      </c>
      <c r="L5">
        <f t="shared" si="3"/>
        <v>1176</v>
      </c>
      <c r="M5" s="18" t="str">
        <f t="shared" si="4"/>
        <v xml:space="preserve">carbon steel as the reactor material.
</v>
      </c>
      <c r="N5" s="18" t="str">
        <f t="shared" si="5"/>
        <v>carbon steel</v>
      </c>
    </row>
    <row r="6" spans="1:14" x14ac:dyDescent="0.3">
      <c r="A6" t="s">
        <v>1759</v>
      </c>
      <c r="B6" t="s">
        <v>2229</v>
      </c>
      <c r="C6" t="s">
        <v>1335</v>
      </c>
      <c r="D6">
        <v>0.97287940979003906</v>
      </c>
      <c r="E6">
        <v>0.97191452980041504</v>
      </c>
      <c r="F6">
        <v>0.97239673137664795</v>
      </c>
      <c r="G6">
        <v>0.82496807595518329</v>
      </c>
      <c r="I6">
        <f t="shared" si="0"/>
        <v>1190</v>
      </c>
      <c r="J6" s="18" t="str">
        <f t="shared" si="1"/>
        <v>carbon steel as the reactor material.</v>
      </c>
      <c r="K6" s="18" t="str">
        <f t="shared" si="2"/>
        <v>carbon steel</v>
      </c>
      <c r="L6">
        <f t="shared" si="3"/>
        <v>1186</v>
      </c>
      <c r="M6" s="18" t="str">
        <f t="shared" si="4"/>
        <v xml:space="preserve">carbon steel as the reactor material.
</v>
      </c>
      <c r="N6" s="18" t="str">
        <f t="shared" si="5"/>
        <v>carbon steel</v>
      </c>
    </row>
    <row r="7" spans="1:14" x14ac:dyDescent="0.3">
      <c r="A7" t="s">
        <v>1758</v>
      </c>
      <c r="B7" t="s">
        <v>2228</v>
      </c>
      <c r="C7" t="s">
        <v>1333</v>
      </c>
      <c r="D7">
        <v>0.97641068696975708</v>
      </c>
      <c r="E7">
        <v>0.97663450241088867</v>
      </c>
      <c r="F7">
        <v>0.97652262449264526</v>
      </c>
      <c r="G7">
        <v>0.82258522975300485</v>
      </c>
      <c r="I7">
        <f t="shared" si="0"/>
        <v>1135</v>
      </c>
      <c r="J7" s="18" t="str">
        <f t="shared" si="1"/>
        <v>carbon steel as the reactor material.</v>
      </c>
      <c r="K7" s="18" t="str">
        <f t="shared" si="2"/>
        <v>carbon steel</v>
      </c>
      <c r="L7">
        <f t="shared" si="3"/>
        <v>1136</v>
      </c>
      <c r="M7" s="18" t="str">
        <f t="shared" si="4"/>
        <v xml:space="preserve">carbon steel as the reactor material.
</v>
      </c>
      <c r="N7" s="18" t="str">
        <f t="shared" si="5"/>
        <v>carbon steel</v>
      </c>
    </row>
    <row r="8" spans="1:14" x14ac:dyDescent="0.3">
      <c r="A8" t="s">
        <v>1757</v>
      </c>
      <c r="B8" t="s">
        <v>2227</v>
      </c>
      <c r="C8" t="s">
        <v>1331</v>
      </c>
      <c r="D8">
        <v>0.97585272789001465</v>
      </c>
      <c r="E8">
        <v>0.9754866361618042</v>
      </c>
      <c r="F8">
        <v>0.97566962242126465</v>
      </c>
      <c r="G8">
        <v>0.7935237911398515</v>
      </c>
      <c r="I8">
        <f t="shared" si="0"/>
        <v>1187</v>
      </c>
      <c r="J8" s="18" t="str">
        <f t="shared" si="1"/>
        <v>carbon steel as the reactor material.</v>
      </c>
      <c r="K8" s="18" t="str">
        <f t="shared" si="2"/>
        <v>carbon steel</v>
      </c>
      <c r="L8">
        <f t="shared" si="3"/>
        <v>1184</v>
      </c>
      <c r="M8" s="18" t="str">
        <f t="shared" si="4"/>
        <v xml:space="preserve">carbon steel as the reactor material.
</v>
      </c>
      <c r="N8" s="18" t="str">
        <f t="shared" si="5"/>
        <v>carbon steel</v>
      </c>
    </row>
    <row r="9" spans="1:14" x14ac:dyDescent="0.3">
      <c r="A9" t="s">
        <v>1756</v>
      </c>
      <c r="B9" t="s">
        <v>2226</v>
      </c>
      <c r="C9" t="s">
        <v>1329</v>
      </c>
      <c r="D9">
        <v>0.97254848480224609</v>
      </c>
      <c r="E9">
        <v>0.97294867038726807</v>
      </c>
      <c r="F9">
        <v>0.97274857759475708</v>
      </c>
      <c r="G9">
        <v>0.49351640793515328</v>
      </c>
      <c r="I9">
        <f t="shared" si="0"/>
        <v>1188</v>
      </c>
      <c r="J9" s="18" t="str">
        <f t="shared" si="1"/>
        <v>carbon steel as the reactor material.</v>
      </c>
      <c r="K9" s="18" t="str">
        <f t="shared" si="2"/>
        <v>carbon steel</v>
      </c>
      <c r="L9">
        <f t="shared" si="3"/>
        <v>1191</v>
      </c>
      <c r="M9" s="18" t="str">
        <f t="shared" si="4"/>
        <v xml:space="preserve">carbon steel as the reactor material.
</v>
      </c>
      <c r="N9" s="18" t="str">
        <f t="shared" si="5"/>
        <v>carbon steel</v>
      </c>
    </row>
    <row r="10" spans="1:14" x14ac:dyDescent="0.3">
      <c r="A10" t="s">
        <v>1771</v>
      </c>
      <c r="B10" t="s">
        <v>2225</v>
      </c>
      <c r="C10" t="s">
        <v>1357</v>
      </c>
      <c r="D10">
        <v>0.98281556367874146</v>
      </c>
      <c r="E10">
        <v>0.98236620426177979</v>
      </c>
      <c r="F10">
        <v>0.98259079456329346</v>
      </c>
      <c r="G10">
        <v>0.71782064794024658</v>
      </c>
      <c r="I10">
        <f t="shared" si="0"/>
        <v>1173</v>
      </c>
      <c r="J10" s="18" t="str">
        <f t="shared" si="1"/>
        <v>carbon steel as the reactor material.</v>
      </c>
      <c r="K10" s="18" t="str">
        <f t="shared" si="2"/>
        <v>carbon steel</v>
      </c>
      <c r="L10">
        <f t="shared" si="3"/>
        <v>1176</v>
      </c>
      <c r="M10" s="18" t="str">
        <f t="shared" si="4"/>
        <v xml:space="preserve">carbon steel as the reactor material.
</v>
      </c>
      <c r="N10" s="18" t="str">
        <f t="shared" si="5"/>
        <v>carbon steel</v>
      </c>
    </row>
    <row r="11" spans="1:14" x14ac:dyDescent="0.3">
      <c r="A11" t="s">
        <v>1770</v>
      </c>
      <c r="B11" t="s">
        <v>2224</v>
      </c>
      <c r="C11" t="s">
        <v>1356</v>
      </c>
      <c r="D11">
        <v>0.97785401344299316</v>
      </c>
      <c r="E11">
        <v>0.97778403759002686</v>
      </c>
      <c r="F11">
        <v>0.97781902551651001</v>
      </c>
      <c r="G11">
        <v>3.6638538287588493E-2</v>
      </c>
      <c r="I11">
        <f t="shared" si="0"/>
        <v>1185</v>
      </c>
      <c r="J11" s="18" t="str">
        <f t="shared" si="1"/>
        <v>carbon steel as the reactor material.</v>
      </c>
      <c r="K11" s="18" t="str">
        <f t="shared" si="2"/>
        <v>carbon steel</v>
      </c>
      <c r="L11">
        <f t="shared" si="3"/>
        <v>1189</v>
      </c>
      <c r="M11" s="18" t="str">
        <f t="shared" si="4"/>
        <v xml:space="preserve">carbon steel as the reactor material.
</v>
      </c>
      <c r="N11" s="18" t="str">
        <f t="shared" si="5"/>
        <v>carbon steel</v>
      </c>
    </row>
    <row r="12" spans="1:14" x14ac:dyDescent="0.3">
      <c r="A12" t="s">
        <v>1769</v>
      </c>
      <c r="B12" t="s">
        <v>2223</v>
      </c>
      <c r="C12" t="s">
        <v>1354</v>
      </c>
      <c r="D12">
        <v>0.9743502140045166</v>
      </c>
      <c r="E12">
        <v>0.97423386573791504</v>
      </c>
      <c r="F12">
        <v>0.97429203987121582</v>
      </c>
      <c r="G12">
        <v>7.1694009591538238E-2</v>
      </c>
      <c r="I12">
        <f t="shared" si="0"/>
        <v>1189</v>
      </c>
      <c r="J12" s="18" t="str">
        <f t="shared" si="1"/>
        <v>carbon steel as the reactor material.</v>
      </c>
      <c r="K12" s="18" t="str">
        <f t="shared" si="2"/>
        <v>carbon steel</v>
      </c>
      <c r="L12">
        <f t="shared" si="3"/>
        <v>1191</v>
      </c>
      <c r="M12" s="18" t="str">
        <f t="shared" si="4"/>
        <v xml:space="preserve">carbon steel as the reactor material.
</v>
      </c>
      <c r="N12" s="18" t="str">
        <f t="shared" si="5"/>
        <v>carbon steel</v>
      </c>
    </row>
    <row r="13" spans="1:14" x14ac:dyDescent="0.3">
      <c r="A13" t="s">
        <v>1768</v>
      </c>
      <c r="B13" t="s">
        <v>2222</v>
      </c>
      <c r="C13" t="s">
        <v>1353</v>
      </c>
      <c r="D13">
        <v>0.96462857723236084</v>
      </c>
      <c r="E13">
        <v>0.96493339538574219</v>
      </c>
      <c r="F13">
        <v>0.96478098630905151</v>
      </c>
      <c r="G13">
        <v>0.10376515934944069</v>
      </c>
      <c r="I13">
        <f t="shared" si="0"/>
        <v>1123</v>
      </c>
      <c r="J13" s="18" t="str">
        <f t="shared" si="1"/>
        <v>carbon steel as the reactor material.</v>
      </c>
      <c r="K13" s="18" t="str">
        <f t="shared" si="2"/>
        <v>carbon steel</v>
      </c>
      <c r="L13">
        <f t="shared" si="3"/>
        <v>1121</v>
      </c>
      <c r="M13" s="18" t="str">
        <f t="shared" si="4"/>
        <v xml:space="preserve">carbon steel as the reactor material.
</v>
      </c>
      <c r="N13" s="18" t="str">
        <f t="shared" si="5"/>
        <v>carbon steel</v>
      </c>
    </row>
    <row r="14" spans="1:14" x14ac:dyDescent="0.3">
      <c r="A14" t="s">
        <v>1767</v>
      </c>
      <c r="B14" t="s">
        <v>2221</v>
      </c>
      <c r="C14" t="s">
        <v>1351</v>
      </c>
      <c r="D14">
        <v>0.97514712810516357</v>
      </c>
      <c r="E14">
        <v>0.97443163394927979</v>
      </c>
      <c r="F14">
        <v>0.97478926181793213</v>
      </c>
      <c r="G14">
        <v>0.55364580884772707</v>
      </c>
      <c r="I14">
        <f t="shared" si="0"/>
        <v>1119</v>
      </c>
      <c r="J14" s="18" t="str">
        <f t="shared" si="1"/>
        <v>carbon steel as the reactor material.</v>
      </c>
      <c r="K14" s="18" t="str">
        <f t="shared" si="2"/>
        <v>carbon steel</v>
      </c>
      <c r="L14">
        <f t="shared" si="3"/>
        <v>1117</v>
      </c>
      <c r="M14" s="18" t="str">
        <f t="shared" si="4"/>
        <v xml:space="preserve">carbon steel as the reactor material.
</v>
      </c>
      <c r="N14" s="18" t="str">
        <f t="shared" si="5"/>
        <v>carbon steel</v>
      </c>
    </row>
    <row r="15" spans="1:14" x14ac:dyDescent="0.3">
      <c r="A15" t="s">
        <v>1766</v>
      </c>
      <c r="B15" t="s">
        <v>2220</v>
      </c>
      <c r="C15" t="s">
        <v>1349</v>
      </c>
      <c r="D15">
        <v>0.96677720546722412</v>
      </c>
      <c r="E15">
        <v>0.96724420785903931</v>
      </c>
      <c r="F15">
        <v>0.96701061725616455</v>
      </c>
      <c r="G15">
        <v>0.61198977768246499</v>
      </c>
      <c r="I15">
        <f t="shared" si="0"/>
        <v>1186</v>
      </c>
      <c r="J15" s="18" t="str">
        <f t="shared" si="1"/>
        <v>carbon steel as the reactor material.</v>
      </c>
      <c r="K15" s="18" t="str">
        <f t="shared" si="2"/>
        <v>carbon steel</v>
      </c>
      <c r="L15">
        <f t="shared" si="3"/>
        <v>1188</v>
      </c>
      <c r="M15" s="18" t="str">
        <f t="shared" si="4"/>
        <v xml:space="preserve">carbon steel as the reactor material.
</v>
      </c>
      <c r="N15" s="18" t="str">
        <f t="shared" si="5"/>
        <v>carbon steel</v>
      </c>
    </row>
    <row r="16" spans="1:14" x14ac:dyDescent="0.3">
      <c r="A16" t="s">
        <v>1765</v>
      </c>
      <c r="B16" t="s">
        <v>2219</v>
      </c>
      <c r="C16" t="s">
        <v>1347</v>
      </c>
      <c r="D16">
        <v>0.97326982021331787</v>
      </c>
      <c r="E16">
        <v>0.97359901666641235</v>
      </c>
      <c r="F16">
        <v>0.97343438863754272</v>
      </c>
      <c r="G16">
        <v>0.19499700924832439</v>
      </c>
      <c r="I16">
        <f t="shared" si="0"/>
        <v>1179</v>
      </c>
      <c r="J16" s="18" t="str">
        <f t="shared" si="1"/>
        <v>carbon steel as the reactor material.</v>
      </c>
      <c r="K16" s="18" t="str">
        <f t="shared" si="2"/>
        <v>carbon steel</v>
      </c>
      <c r="L16">
        <f t="shared" si="3"/>
        <v>1180</v>
      </c>
      <c r="M16" s="18" t="str">
        <f t="shared" si="4"/>
        <v xml:space="preserve">carbon steel as the reactor material.
</v>
      </c>
      <c r="N16" s="18" t="str">
        <f t="shared" si="5"/>
        <v>carbon steel</v>
      </c>
    </row>
    <row r="17" spans="1:14" x14ac:dyDescent="0.3">
      <c r="A17" t="s">
        <v>1764</v>
      </c>
      <c r="B17" t="s">
        <v>2218</v>
      </c>
      <c r="C17" t="s">
        <v>1345</v>
      </c>
      <c r="D17">
        <v>0.97402739524841309</v>
      </c>
      <c r="E17">
        <v>0.97412365674972534</v>
      </c>
      <c r="F17">
        <v>0.97407549619674683</v>
      </c>
      <c r="G17">
        <v>8.5866763597911622E-2</v>
      </c>
      <c r="I17">
        <f t="shared" si="0"/>
        <v>1181</v>
      </c>
      <c r="J17" s="18" t="str">
        <f t="shared" si="1"/>
        <v>carbon steel as the reactor material.</v>
      </c>
      <c r="K17" s="18" t="str">
        <f t="shared" si="2"/>
        <v>carbon steel</v>
      </c>
      <c r="L17">
        <f t="shared" si="3"/>
        <v>1184</v>
      </c>
      <c r="M17" s="18" t="str">
        <f t="shared" si="4"/>
        <v xml:space="preserve">carbon steel as the reactor material.
</v>
      </c>
      <c r="N17" s="18" t="str">
        <f t="shared" si="5"/>
        <v>carbon steel</v>
      </c>
    </row>
    <row r="18" spans="1:14" x14ac:dyDescent="0.3">
      <c r="A18" t="s">
        <v>1755</v>
      </c>
      <c r="B18" t="s">
        <v>2217</v>
      </c>
      <c r="C18" t="s">
        <v>1327</v>
      </c>
      <c r="D18">
        <v>0.97497272491455078</v>
      </c>
      <c r="E18">
        <v>0.97532963752746582</v>
      </c>
      <c r="F18">
        <v>0.9751511812210083</v>
      </c>
      <c r="G18">
        <v>8.4747549277959314E-2</v>
      </c>
      <c r="I18">
        <f t="shared" si="0"/>
        <v>1181</v>
      </c>
      <c r="J18" s="18" t="str">
        <f t="shared" si="1"/>
        <v>carbon steel as the reactor material.</v>
      </c>
      <c r="K18" s="18" t="str">
        <f t="shared" si="2"/>
        <v>carbon steel</v>
      </c>
      <c r="L18">
        <f t="shared" si="3"/>
        <v>1182</v>
      </c>
      <c r="M18" s="18" t="str">
        <f t="shared" si="4"/>
        <v xml:space="preserve">carbon steel as the reactor material.
</v>
      </c>
      <c r="N18" s="18" t="str">
        <f t="shared" si="5"/>
        <v>carbon steel</v>
      </c>
    </row>
    <row r="19" spans="1:14" x14ac:dyDescent="0.3">
      <c r="A19" t="s">
        <v>1754</v>
      </c>
      <c r="B19" t="s">
        <v>2216</v>
      </c>
      <c r="C19" t="s">
        <v>1325</v>
      </c>
      <c r="D19">
        <v>0.97732073068618774</v>
      </c>
      <c r="E19">
        <v>0.97749048471450806</v>
      </c>
      <c r="F19">
        <v>0.9774056077003479</v>
      </c>
      <c r="G19">
        <v>0.59681305432399323</v>
      </c>
      <c r="I19">
        <f t="shared" si="0"/>
        <v>1120</v>
      </c>
      <c r="J19" s="18" t="str">
        <f t="shared" si="1"/>
        <v>carbon steel as the reactor material.</v>
      </c>
      <c r="K19" s="18" t="str">
        <f t="shared" si="2"/>
        <v>carbon steel</v>
      </c>
      <c r="L19">
        <f t="shared" si="3"/>
        <v>1118</v>
      </c>
      <c r="M19" s="18" t="str">
        <f t="shared" si="4"/>
        <v xml:space="preserve">carbon steel as the reactor material.
</v>
      </c>
      <c r="N19" s="18" t="str">
        <f t="shared" si="5"/>
        <v>carbon steel</v>
      </c>
    </row>
    <row r="20" spans="1:14" x14ac:dyDescent="0.3">
      <c r="A20" t="s">
        <v>1753</v>
      </c>
      <c r="B20" t="s">
        <v>2215</v>
      </c>
      <c r="C20" t="s">
        <v>1323</v>
      </c>
      <c r="D20">
        <v>0.97803229093551636</v>
      </c>
      <c r="E20">
        <v>0.97820371389389038</v>
      </c>
      <c r="F20">
        <v>0.97811800241470337</v>
      </c>
      <c r="G20">
        <v>0.45351248053950749</v>
      </c>
      <c r="I20">
        <f t="shared" si="0"/>
        <v>1181</v>
      </c>
      <c r="J20" s="18" t="str">
        <f t="shared" si="1"/>
        <v>carbon steel as the reactor material.</v>
      </c>
      <c r="K20" s="18" t="str">
        <f t="shared" si="2"/>
        <v>carbon steel</v>
      </c>
      <c r="L20">
        <f t="shared" si="3"/>
        <v>1181</v>
      </c>
      <c r="M20" s="18" t="str">
        <f t="shared" si="4"/>
        <v xml:space="preserve">carbon steel as the reactor material.
</v>
      </c>
      <c r="N20" s="18" t="str">
        <f t="shared" si="5"/>
        <v>carbon steel</v>
      </c>
    </row>
    <row r="21" spans="1:14" x14ac:dyDescent="0.3">
      <c r="A21" t="s">
        <v>1752</v>
      </c>
      <c r="B21" t="s">
        <v>2214</v>
      </c>
      <c r="C21" t="s">
        <v>1321</v>
      </c>
      <c r="D21">
        <v>0.97636675834655762</v>
      </c>
      <c r="E21">
        <v>0.9771532416343689</v>
      </c>
      <c r="F21">
        <v>0.97675985097885132</v>
      </c>
      <c r="G21">
        <v>0.1056415461388818</v>
      </c>
      <c r="I21">
        <f t="shared" si="0"/>
        <v>1183</v>
      </c>
      <c r="J21" s="18" t="str">
        <f t="shared" si="1"/>
        <v>carbon steel as the reactor material.</v>
      </c>
      <c r="K21" s="18" t="str">
        <f t="shared" si="2"/>
        <v>carbon steel</v>
      </c>
      <c r="L21">
        <f t="shared" si="3"/>
        <v>1183</v>
      </c>
      <c r="M21" s="18" t="str">
        <f t="shared" si="4"/>
        <v xml:space="preserve">carbon steel as the reactor material.
</v>
      </c>
      <c r="N21" s="18" t="str">
        <f t="shared" si="5"/>
        <v>carbon steel</v>
      </c>
    </row>
    <row r="22" spans="1:14" x14ac:dyDescent="0.3">
      <c r="A22" t="s">
        <v>1751</v>
      </c>
      <c r="B22" t="s">
        <v>2213</v>
      </c>
      <c r="C22" t="s">
        <v>1319</v>
      </c>
      <c r="D22">
        <v>0.96460437774658203</v>
      </c>
      <c r="E22">
        <v>0.96306955814361572</v>
      </c>
      <c r="F22">
        <v>0.96383637189865112</v>
      </c>
      <c r="G22">
        <v>8.2697922033316315E-2</v>
      </c>
      <c r="I22">
        <f t="shared" si="0"/>
        <v>1184</v>
      </c>
      <c r="J22" s="18" t="str">
        <f t="shared" si="1"/>
        <v>carbon steel as the reactor material.</v>
      </c>
      <c r="K22" s="18" t="str">
        <f t="shared" si="2"/>
        <v>carbon steel</v>
      </c>
      <c r="L22">
        <f t="shared" si="3"/>
        <v>1186</v>
      </c>
      <c r="M22" s="18" t="str">
        <f t="shared" si="4"/>
        <v xml:space="preserve">carbon steel as the reactor material.
</v>
      </c>
      <c r="N22" s="18" t="str">
        <f t="shared" si="5"/>
        <v>carbon steel</v>
      </c>
    </row>
    <row r="23" spans="1:14" hidden="1" x14ac:dyDescent="0.3">
      <c r="A23" t="s">
        <v>1750</v>
      </c>
      <c r="B23" t="s">
        <v>2212</v>
      </c>
      <c r="C23" t="s">
        <v>1317</v>
      </c>
      <c r="D23">
        <v>0.98726332187652588</v>
      </c>
      <c r="E23">
        <v>0.98719775676727295</v>
      </c>
      <c r="F23">
        <v>0.98723053932189941</v>
      </c>
      <c r="G23">
        <v>1.2584671956647959</v>
      </c>
      <c r="I23">
        <f t="shared" si="0"/>
        <v>1175</v>
      </c>
      <c r="J23" s="18" t="str">
        <f t="shared" si="1"/>
        <v>carbon steel as the reactor material.</v>
      </c>
      <c r="K23" s="18" t="str">
        <f t="shared" si="2"/>
        <v>carbon steel</v>
      </c>
      <c r="L23">
        <f t="shared" si="3"/>
        <v>1175</v>
      </c>
      <c r="M23" s="18" t="str">
        <f t="shared" si="4"/>
        <v xml:space="preserve">carbon steel as the reactor material.
</v>
      </c>
      <c r="N23" s="18" t="str">
        <f t="shared" si="5"/>
        <v>carbon steel</v>
      </c>
    </row>
    <row r="24" spans="1:14" x14ac:dyDescent="0.3">
      <c r="A24" t="s">
        <v>1749</v>
      </c>
      <c r="B24" t="s">
        <v>2211</v>
      </c>
      <c r="C24" t="s">
        <v>1315</v>
      </c>
      <c r="D24">
        <v>0.9703681468963623</v>
      </c>
      <c r="E24">
        <v>0.96880114078521729</v>
      </c>
      <c r="F24">
        <v>0.96958398818969727</v>
      </c>
      <c r="G24">
        <v>0.35177373999567391</v>
      </c>
      <c r="I24">
        <f t="shared" si="0"/>
        <v>1166</v>
      </c>
      <c r="J24" s="18" t="str">
        <f t="shared" si="1"/>
        <v>carbon steel as the reactor material.</v>
      </c>
      <c r="K24" s="18" t="str">
        <f t="shared" si="2"/>
        <v>carbon steel</v>
      </c>
      <c r="L24">
        <f t="shared" si="3"/>
        <v>1173</v>
      </c>
      <c r="M24" s="18" t="str">
        <f t="shared" si="4"/>
        <v xml:space="preserve">carbon steel as the reactor material.
</v>
      </c>
      <c r="N24" s="18" t="str">
        <f t="shared" si="5"/>
        <v>carbon steel</v>
      </c>
    </row>
    <row r="25" spans="1:14" x14ac:dyDescent="0.3">
      <c r="A25" t="s">
        <v>1748</v>
      </c>
      <c r="B25" t="s">
        <v>2210</v>
      </c>
      <c r="C25" t="s">
        <v>1313</v>
      </c>
      <c r="D25">
        <v>0.97936320304870605</v>
      </c>
      <c r="E25">
        <v>0.9795035719871521</v>
      </c>
      <c r="F25">
        <v>0.97943329811096191</v>
      </c>
      <c r="G25">
        <v>0.66740141382740881</v>
      </c>
      <c r="I25">
        <f t="shared" si="0"/>
        <v>1180</v>
      </c>
      <c r="J25" s="18" t="str">
        <f t="shared" si="1"/>
        <v>carbon steel as the reactor material.</v>
      </c>
      <c r="K25" s="18" t="str">
        <f t="shared" si="2"/>
        <v>carbon steel</v>
      </c>
      <c r="L25">
        <f t="shared" si="3"/>
        <v>1180</v>
      </c>
      <c r="M25" s="18" t="str">
        <f t="shared" si="4"/>
        <v xml:space="preserve">carbon steel as the reactor material.
</v>
      </c>
      <c r="N25" s="18" t="str">
        <f t="shared" si="5"/>
        <v>carbon steel</v>
      </c>
    </row>
    <row r="26" spans="1:14" x14ac:dyDescent="0.3">
      <c r="A26" t="s">
        <v>1747</v>
      </c>
      <c r="B26" t="s">
        <v>2209</v>
      </c>
      <c r="C26" t="s">
        <v>1311</v>
      </c>
      <c r="D26">
        <v>0.97494816780090332</v>
      </c>
      <c r="E26">
        <v>0.97514748573303223</v>
      </c>
      <c r="F26">
        <v>0.97504782676696777</v>
      </c>
      <c r="G26">
        <v>0.28593590924516421</v>
      </c>
      <c r="I26">
        <f t="shared" si="0"/>
        <v>1184</v>
      </c>
      <c r="J26" s="18" t="str">
        <f t="shared" si="1"/>
        <v>carbon steel as the reactor material.</v>
      </c>
      <c r="K26" s="18" t="str">
        <f t="shared" si="2"/>
        <v>carbon steel</v>
      </c>
      <c r="L26">
        <f t="shared" si="3"/>
        <v>1191</v>
      </c>
      <c r="M26" s="18" t="str">
        <f t="shared" si="4"/>
        <v xml:space="preserve">carbon steel as the reactor material.
</v>
      </c>
      <c r="N26" s="18" t="str">
        <f t="shared" si="5"/>
        <v>carbon steel</v>
      </c>
    </row>
    <row r="27" spans="1:14" x14ac:dyDescent="0.3">
      <c r="A27" t="s">
        <v>1746</v>
      </c>
      <c r="B27" t="s">
        <v>2208</v>
      </c>
      <c r="C27" t="s">
        <v>1309</v>
      </c>
      <c r="D27">
        <v>0.97486340999603271</v>
      </c>
      <c r="E27">
        <v>0.97465407848358154</v>
      </c>
      <c r="F27">
        <v>0.97475874423980713</v>
      </c>
      <c r="G27">
        <v>0.229540653955558</v>
      </c>
      <c r="I27">
        <f t="shared" si="0"/>
        <v>1183</v>
      </c>
      <c r="J27" s="18" t="str">
        <f t="shared" si="1"/>
        <v>carbon steel as the reactor material.</v>
      </c>
      <c r="K27" s="18" t="str">
        <f t="shared" si="2"/>
        <v>carbon steel</v>
      </c>
      <c r="L27">
        <f t="shared" si="3"/>
        <v>1187</v>
      </c>
      <c r="M27" s="18" t="str">
        <f t="shared" si="4"/>
        <v xml:space="preserve">carbon steel as the reactor material.
</v>
      </c>
      <c r="N27" s="18" t="str">
        <f t="shared" si="5"/>
        <v>carbon steel</v>
      </c>
    </row>
    <row r="28" spans="1:14" x14ac:dyDescent="0.3">
      <c r="A28" t="s">
        <v>1745</v>
      </c>
      <c r="B28" t="s">
        <v>2207</v>
      </c>
      <c r="C28" t="s">
        <v>1307</v>
      </c>
      <c r="D28">
        <v>0.97822248935699463</v>
      </c>
      <c r="E28">
        <v>0.97796940803527832</v>
      </c>
      <c r="F28">
        <v>0.9780958890914917</v>
      </c>
      <c r="G28">
        <v>0.1131655728868087</v>
      </c>
      <c r="I28">
        <f t="shared" si="0"/>
        <v>1184</v>
      </c>
      <c r="J28" s="18" t="str">
        <f t="shared" si="1"/>
        <v>carbon steel as the reactor material.</v>
      </c>
      <c r="K28" s="18" t="str">
        <f t="shared" si="2"/>
        <v>carbon steel</v>
      </c>
      <c r="L28">
        <f t="shared" si="3"/>
        <v>1185</v>
      </c>
      <c r="M28" s="18" t="str">
        <f t="shared" si="4"/>
        <v xml:space="preserve">carbon steel as the reactor material.
</v>
      </c>
      <c r="N28" s="18" t="str">
        <f t="shared" si="5"/>
        <v>carbon steel</v>
      </c>
    </row>
    <row r="29" spans="1:14" x14ac:dyDescent="0.3">
      <c r="A29" t="s">
        <v>1744</v>
      </c>
      <c r="B29" t="s">
        <v>2206</v>
      </c>
      <c r="C29" t="s">
        <v>1305</v>
      </c>
      <c r="D29">
        <v>0.9851992130279541</v>
      </c>
      <c r="E29">
        <v>0.98499482870101929</v>
      </c>
      <c r="F29">
        <v>0.98509699106216431</v>
      </c>
      <c r="G29">
        <v>0.77616395932284143</v>
      </c>
      <c r="I29">
        <f t="shared" si="0"/>
        <v>1180</v>
      </c>
      <c r="J29" s="18" t="str">
        <f t="shared" si="1"/>
        <v>carbon steel as the reactor material.</v>
      </c>
      <c r="K29" s="18" t="str">
        <f t="shared" si="2"/>
        <v>carbon steel</v>
      </c>
      <c r="L29">
        <f t="shared" si="3"/>
        <v>1181</v>
      </c>
      <c r="M29" s="18" t="str">
        <f t="shared" si="4"/>
        <v xml:space="preserve">carbon steel as the reactor material.
</v>
      </c>
      <c r="N29" s="18" t="str">
        <f t="shared" si="5"/>
        <v>carbon steel</v>
      </c>
    </row>
    <row r="30" spans="1:14" x14ac:dyDescent="0.3">
      <c r="A30" t="s">
        <v>1743</v>
      </c>
      <c r="B30" t="s">
        <v>2205</v>
      </c>
      <c r="C30" t="s">
        <v>1303</v>
      </c>
      <c r="D30">
        <v>0.96658873558044434</v>
      </c>
      <c r="E30">
        <v>0.96721732616424561</v>
      </c>
      <c r="F30">
        <v>0.96690291166305542</v>
      </c>
      <c r="G30">
        <v>2.2984579754575799E-2</v>
      </c>
      <c r="I30">
        <f t="shared" si="0"/>
        <v>1187</v>
      </c>
      <c r="J30" s="18" t="str">
        <f t="shared" si="1"/>
        <v>carbon steel as the reactor material.</v>
      </c>
      <c r="K30" s="18" t="str">
        <f t="shared" si="2"/>
        <v>carbon steel</v>
      </c>
      <c r="L30">
        <f t="shared" si="3"/>
        <v>1187</v>
      </c>
      <c r="M30" s="18" t="str">
        <f t="shared" si="4"/>
        <v xml:space="preserve">carbon steel as the reactor material.
</v>
      </c>
      <c r="N30" s="18" t="str">
        <f t="shared" si="5"/>
        <v>carbon steel</v>
      </c>
    </row>
    <row r="31" spans="1:14" x14ac:dyDescent="0.3">
      <c r="A31" t="s">
        <v>1742</v>
      </c>
      <c r="B31" t="s">
        <v>2204</v>
      </c>
      <c r="C31" t="s">
        <v>1301</v>
      </c>
      <c r="D31">
        <v>0.97181546688079834</v>
      </c>
      <c r="E31">
        <v>0.97245705127716064</v>
      </c>
      <c r="F31">
        <v>0.97213613986968994</v>
      </c>
      <c r="G31">
        <v>0.13508955251242</v>
      </c>
      <c r="I31">
        <f t="shared" si="0"/>
        <v>1178</v>
      </c>
      <c r="J31" s="18" t="str">
        <f t="shared" si="1"/>
        <v>carbon steel as the reactor material.</v>
      </c>
      <c r="K31" s="18" t="str">
        <f t="shared" si="2"/>
        <v>carbon steel</v>
      </c>
      <c r="L31">
        <f t="shared" si="3"/>
        <v>1174</v>
      </c>
      <c r="M31" s="18" t="str">
        <f t="shared" si="4"/>
        <v xml:space="preserve">carbon steel as the reactor material.
</v>
      </c>
      <c r="N31" s="18" t="str">
        <f t="shared" si="5"/>
        <v>carbon steel</v>
      </c>
    </row>
    <row r="32" spans="1:14" hidden="1" x14ac:dyDescent="0.3">
      <c r="A32" t="s">
        <v>1741</v>
      </c>
      <c r="B32" t="s">
        <v>2203</v>
      </c>
      <c r="C32" t="s">
        <v>1299</v>
      </c>
      <c r="D32">
        <v>0.95795369148254395</v>
      </c>
      <c r="E32">
        <v>0.96625494956970215</v>
      </c>
      <c r="F32">
        <v>0.96208637952804565</v>
      </c>
      <c r="G32">
        <v>3.0529925187032418</v>
      </c>
      <c r="I32">
        <f t="shared" si="0"/>
        <v>938</v>
      </c>
      <c r="J32" s="18" t="str">
        <f t="shared" si="1"/>
        <v>stainless steel as the reactor material.</v>
      </c>
      <c r="K32" s="18" t="str">
        <f t="shared" si="2"/>
        <v>stainless steel</v>
      </c>
      <c r="L32">
        <f t="shared" si="3"/>
        <v>935</v>
      </c>
      <c r="M32" s="18" t="str">
        <f t="shared" si="4"/>
        <v xml:space="preserve">stainless steel as the reactor material.
</v>
      </c>
      <c r="N32" s="18" t="str">
        <f t="shared" si="5"/>
        <v>stainless steel</v>
      </c>
    </row>
    <row r="33" spans="1:14" x14ac:dyDescent="0.3">
      <c r="A33" t="s">
        <v>1740</v>
      </c>
      <c r="B33" t="s">
        <v>2202</v>
      </c>
      <c r="C33" t="s">
        <v>1297</v>
      </c>
      <c r="D33">
        <v>0.96860820055007935</v>
      </c>
      <c r="E33">
        <v>0.97458779811859131</v>
      </c>
      <c r="F33">
        <v>0.97158879041671753</v>
      </c>
      <c r="G33">
        <v>0.13763779527559061</v>
      </c>
      <c r="I33">
        <f t="shared" si="0"/>
        <v>954</v>
      </c>
      <c r="J33" s="18" t="str">
        <f t="shared" si="1"/>
        <v>stainless steel as the reactor material.</v>
      </c>
      <c r="K33" s="18" t="str">
        <f t="shared" si="2"/>
        <v>stainless steel</v>
      </c>
      <c r="L33">
        <f t="shared" si="3"/>
        <v>954</v>
      </c>
      <c r="M33" s="18" t="str">
        <f t="shared" si="4"/>
        <v xml:space="preserve">stainless steel as the reactor material.
</v>
      </c>
      <c r="N33" s="18" t="str">
        <f t="shared" si="5"/>
        <v>stainless steel</v>
      </c>
    </row>
    <row r="34" spans="1:14" hidden="1" x14ac:dyDescent="0.3">
      <c r="A34" t="s">
        <v>1736</v>
      </c>
      <c r="B34" t="s">
        <v>2201</v>
      </c>
      <c r="C34" t="s">
        <v>1289</v>
      </c>
      <c r="D34">
        <v>0.9563332200050354</v>
      </c>
      <c r="E34">
        <v>0.9651639461517334</v>
      </c>
      <c r="F34">
        <v>0.96072828769683838</v>
      </c>
      <c r="G34">
        <v>5.5313876651982383</v>
      </c>
      <c r="I34">
        <f t="shared" si="0"/>
        <v>940</v>
      </c>
      <c r="J34" s="18" t="str">
        <f t="shared" si="1"/>
        <v>stainless steel as the reactor material.</v>
      </c>
      <c r="K34" s="18" t="str">
        <f t="shared" si="2"/>
        <v>stainless steel</v>
      </c>
      <c r="L34">
        <f t="shared" si="3"/>
        <v>934</v>
      </c>
      <c r="M34" s="18" t="str">
        <f t="shared" si="4"/>
        <v xml:space="preserve">stainless steel as the reactor material.
</v>
      </c>
      <c r="N34" s="18" t="str">
        <f t="shared" si="5"/>
        <v>stainless steel</v>
      </c>
    </row>
    <row r="35" spans="1:14" x14ac:dyDescent="0.3">
      <c r="A35" t="s">
        <v>1735</v>
      </c>
      <c r="B35" t="s">
        <v>2200</v>
      </c>
      <c r="C35" t="s">
        <v>1287</v>
      </c>
      <c r="D35">
        <v>0.9863283634185791</v>
      </c>
      <c r="E35">
        <v>0.98567062616348267</v>
      </c>
      <c r="F35">
        <v>0.98599940538406372</v>
      </c>
      <c r="G35">
        <v>0.82317398258397012</v>
      </c>
      <c r="I35">
        <f t="shared" si="0"/>
        <v>955</v>
      </c>
      <c r="J35" s="18" t="str">
        <f t="shared" si="1"/>
        <v>stainless steel as the reactor material.</v>
      </c>
      <c r="K35" s="18" t="str">
        <f t="shared" si="2"/>
        <v>stainless steel</v>
      </c>
      <c r="L35">
        <f t="shared" si="3"/>
        <v>949</v>
      </c>
      <c r="M35" s="18" t="str">
        <f t="shared" si="4"/>
        <v xml:space="preserve">stainless steel as the reactor material.
</v>
      </c>
      <c r="N35" s="18" t="str">
        <f t="shared" si="5"/>
        <v>stainless steel</v>
      </c>
    </row>
    <row r="36" spans="1:14" x14ac:dyDescent="0.3">
      <c r="A36" t="s">
        <v>1734</v>
      </c>
      <c r="B36" t="s">
        <v>2199</v>
      </c>
      <c r="C36" t="s">
        <v>1285</v>
      </c>
      <c r="D36">
        <v>0.98705482482910156</v>
      </c>
      <c r="E36">
        <v>0.98697465658187866</v>
      </c>
      <c r="F36">
        <v>0.98701471090316772</v>
      </c>
      <c r="G36">
        <v>0.91024824952259709</v>
      </c>
      <c r="I36">
        <f t="shared" si="0"/>
        <v>941</v>
      </c>
      <c r="J36" s="18" t="str">
        <f t="shared" si="1"/>
        <v>stainless steel as the reactor material.</v>
      </c>
      <c r="K36" s="18" t="str">
        <f t="shared" si="2"/>
        <v>stainless steel</v>
      </c>
      <c r="L36">
        <f t="shared" si="3"/>
        <v>950</v>
      </c>
      <c r="M36" s="18" t="str">
        <f t="shared" si="4"/>
        <v xml:space="preserve">stainless steel as the reactor material.
</v>
      </c>
      <c r="N36" s="18" t="str">
        <f t="shared" si="5"/>
        <v>stainless steel</v>
      </c>
    </row>
    <row r="37" spans="1:14" x14ac:dyDescent="0.3">
      <c r="A37" t="s">
        <v>1733</v>
      </c>
      <c r="B37" t="s">
        <v>2198</v>
      </c>
      <c r="C37" t="s">
        <v>1283</v>
      </c>
      <c r="D37">
        <v>0.98094832897186279</v>
      </c>
      <c r="E37">
        <v>0.98076200485229492</v>
      </c>
      <c r="F37">
        <v>0.98085516691207886</v>
      </c>
      <c r="G37">
        <v>0.86988974868177771</v>
      </c>
      <c r="I37">
        <f t="shared" si="0"/>
        <v>933</v>
      </c>
      <c r="J37" s="18" t="str">
        <f t="shared" si="1"/>
        <v>stainless steel as the reactor material.</v>
      </c>
      <c r="K37" s="18" t="str">
        <f t="shared" si="2"/>
        <v>stainless steel</v>
      </c>
      <c r="L37">
        <f t="shared" si="3"/>
        <v>935</v>
      </c>
      <c r="M37" s="18" t="str">
        <f t="shared" si="4"/>
        <v xml:space="preserve">stainless steel as the reactor material.
</v>
      </c>
      <c r="N37" s="18" t="str">
        <f t="shared" si="5"/>
        <v>stainless steel</v>
      </c>
    </row>
    <row r="38" spans="1:14" x14ac:dyDescent="0.3">
      <c r="A38" t="s">
        <v>1732</v>
      </c>
      <c r="B38" t="s">
        <v>2197</v>
      </c>
      <c r="C38" t="s">
        <v>1281</v>
      </c>
      <c r="D38">
        <v>0.97528505325317383</v>
      </c>
      <c r="E38">
        <v>0.97166204452514648</v>
      </c>
      <c r="F38">
        <v>0.97347015142440796</v>
      </c>
      <c r="G38">
        <v>0.1906443071491615</v>
      </c>
      <c r="I38">
        <f t="shared" si="0"/>
        <v>949</v>
      </c>
      <c r="J38" s="18" t="str">
        <f t="shared" si="1"/>
        <v>stainless steel as the reactor material.</v>
      </c>
      <c r="K38" s="18" t="str">
        <f t="shared" si="2"/>
        <v>stainless steel</v>
      </c>
      <c r="L38">
        <f t="shared" si="3"/>
        <v>949</v>
      </c>
      <c r="M38" s="18" t="str">
        <f t="shared" si="4"/>
        <v xml:space="preserve">stainless steel as the reactor material.
</v>
      </c>
      <c r="N38" s="18" t="str">
        <f t="shared" si="5"/>
        <v>stainless steel</v>
      </c>
    </row>
    <row r="39" spans="1:14" x14ac:dyDescent="0.3">
      <c r="A39" t="s">
        <v>1731</v>
      </c>
      <c r="B39" t="s">
        <v>2196</v>
      </c>
      <c r="C39" t="s">
        <v>1279</v>
      </c>
      <c r="D39">
        <v>0.97388368844985962</v>
      </c>
      <c r="E39">
        <v>0.97191327810287476</v>
      </c>
      <c r="F39">
        <v>0.97289746999740601</v>
      </c>
      <c r="G39">
        <v>0.16620167397369459</v>
      </c>
      <c r="I39">
        <f t="shared" si="0"/>
        <v>950</v>
      </c>
      <c r="J39" s="18" t="str">
        <f t="shared" si="1"/>
        <v>stainless steel as the reactor material.</v>
      </c>
      <c r="K39" s="18" t="str">
        <f t="shared" si="2"/>
        <v>stainless steel</v>
      </c>
      <c r="L39">
        <f t="shared" si="3"/>
        <v>950</v>
      </c>
      <c r="M39" s="18" t="str">
        <f t="shared" si="4"/>
        <v xml:space="preserve">stainless steel as the reactor material.
</v>
      </c>
      <c r="N39" s="18" t="str">
        <f t="shared" si="5"/>
        <v>stainless steel</v>
      </c>
    </row>
    <row r="40" spans="1:14" x14ac:dyDescent="0.3">
      <c r="A40" t="s">
        <v>1730</v>
      </c>
      <c r="B40" t="s">
        <v>2195</v>
      </c>
      <c r="C40" t="s">
        <v>1277</v>
      </c>
      <c r="D40">
        <v>0.99005293846130371</v>
      </c>
      <c r="E40">
        <v>0.99013751745223999</v>
      </c>
      <c r="F40">
        <v>0.99009519815444946</v>
      </c>
      <c r="G40">
        <v>6.8343357025697105E-2</v>
      </c>
      <c r="I40">
        <f t="shared" si="0"/>
        <v>950</v>
      </c>
      <c r="J40" s="18" t="str">
        <f t="shared" si="1"/>
        <v>stainless steel as the reactor material.</v>
      </c>
      <c r="K40" s="18" t="str">
        <f t="shared" si="2"/>
        <v>stainless steel</v>
      </c>
      <c r="L40">
        <f t="shared" si="3"/>
        <v>951</v>
      </c>
      <c r="M40" s="18" t="str">
        <f t="shared" si="4"/>
        <v xml:space="preserve">stainless steel as the reactor material.
</v>
      </c>
      <c r="N40" s="18" t="str">
        <f t="shared" si="5"/>
        <v>stainless steel</v>
      </c>
    </row>
    <row r="41" spans="1:14" x14ac:dyDescent="0.3">
      <c r="A41" t="s">
        <v>1729</v>
      </c>
      <c r="B41" t="s">
        <v>2194</v>
      </c>
      <c r="C41" t="s">
        <v>1275</v>
      </c>
      <c r="D41">
        <v>0.97781950235366821</v>
      </c>
      <c r="E41">
        <v>0.97555077075958252</v>
      </c>
      <c r="F41">
        <v>0.97668379545211792</v>
      </c>
      <c r="G41">
        <v>0.43710870802504259</v>
      </c>
      <c r="I41">
        <f t="shared" si="0"/>
        <v>948</v>
      </c>
      <c r="J41" s="18" t="str">
        <f t="shared" si="1"/>
        <v>stainless steel as the reactor material.</v>
      </c>
      <c r="K41" s="18" t="str">
        <f t="shared" si="2"/>
        <v>stainless steel</v>
      </c>
      <c r="L41">
        <f t="shared" si="3"/>
        <v>949</v>
      </c>
      <c r="M41" s="18" t="str">
        <f t="shared" si="4"/>
        <v xml:space="preserve">stainless steel as the reactor material.
</v>
      </c>
      <c r="N41" s="18" t="str">
        <f t="shared" si="5"/>
        <v>stainless steel</v>
      </c>
    </row>
    <row r="42" spans="1:14" hidden="1" x14ac:dyDescent="0.3">
      <c r="A42" t="s">
        <v>1728</v>
      </c>
      <c r="B42" t="s">
        <v>2193</v>
      </c>
      <c r="C42" t="s">
        <v>1273</v>
      </c>
      <c r="D42">
        <v>0.95813637971878052</v>
      </c>
      <c r="E42">
        <v>0.9638860821723938</v>
      </c>
      <c r="F42">
        <v>0.9610026478767395</v>
      </c>
      <c r="G42">
        <v>3.8159340659340661</v>
      </c>
      <c r="I42">
        <f t="shared" si="0"/>
        <v>951</v>
      </c>
      <c r="J42" s="18" t="str">
        <f t="shared" si="1"/>
        <v>stainless steel as the reactor material.</v>
      </c>
      <c r="K42" s="18" t="str">
        <f t="shared" si="2"/>
        <v>stainless steel</v>
      </c>
      <c r="L42">
        <f t="shared" si="3"/>
        <v>949</v>
      </c>
      <c r="M42" s="18" t="str">
        <f t="shared" si="4"/>
        <v xml:space="preserve">stainless steel as the reactor material.
</v>
      </c>
      <c r="N42" s="18" t="str">
        <f t="shared" si="5"/>
        <v>stainless steel</v>
      </c>
    </row>
    <row r="43" spans="1:14" x14ac:dyDescent="0.3">
      <c r="A43" t="s">
        <v>1727</v>
      </c>
      <c r="B43" t="s">
        <v>2192</v>
      </c>
      <c r="C43" t="s">
        <v>1271</v>
      </c>
      <c r="D43">
        <v>0.95953983068466187</v>
      </c>
      <c r="E43">
        <v>0.96525585651397705</v>
      </c>
      <c r="F43">
        <v>0.96238940954208374</v>
      </c>
      <c r="G43">
        <v>0.11349419124218051</v>
      </c>
      <c r="I43">
        <f t="shared" si="0"/>
        <v>949</v>
      </c>
      <c r="J43" s="18" t="str">
        <f t="shared" si="1"/>
        <v>stainless steel as the reactor material.</v>
      </c>
      <c r="K43" s="18" t="str">
        <f t="shared" si="2"/>
        <v>stainless steel</v>
      </c>
      <c r="L43">
        <f t="shared" si="3"/>
        <v>950</v>
      </c>
      <c r="M43" s="18" t="str">
        <f t="shared" si="4"/>
        <v xml:space="preserve">stainless steel as the reactor material.
</v>
      </c>
      <c r="N43" s="18" t="str">
        <f t="shared" si="5"/>
        <v>stainless steel</v>
      </c>
    </row>
    <row r="44" spans="1:14" x14ac:dyDescent="0.3">
      <c r="A44" t="s">
        <v>1726</v>
      </c>
      <c r="B44" t="s">
        <v>2191</v>
      </c>
      <c r="C44" t="s">
        <v>1269</v>
      </c>
      <c r="D44">
        <v>0.97110503911972046</v>
      </c>
      <c r="E44">
        <v>0.96755051612854004</v>
      </c>
      <c r="F44">
        <v>0.96932452917098999</v>
      </c>
      <c r="G44">
        <v>0.49856321839080459</v>
      </c>
      <c r="I44">
        <f t="shared" si="0"/>
        <v>949</v>
      </c>
      <c r="J44" s="18" t="str">
        <f t="shared" si="1"/>
        <v>stainless steel as the reactor material.</v>
      </c>
      <c r="K44" s="18" t="str">
        <f t="shared" si="2"/>
        <v>stainless steel</v>
      </c>
      <c r="L44">
        <f t="shared" si="3"/>
        <v>952</v>
      </c>
      <c r="M44" s="18" t="str">
        <f t="shared" si="4"/>
        <v xml:space="preserve">stainless steel as the reactor material.
</v>
      </c>
      <c r="N44" s="18" t="str">
        <f t="shared" si="5"/>
        <v>stainless steel</v>
      </c>
    </row>
    <row r="45" spans="1:14" x14ac:dyDescent="0.3">
      <c r="A45" t="s">
        <v>1725</v>
      </c>
      <c r="B45" t="s">
        <v>2190</v>
      </c>
      <c r="C45" t="s">
        <v>1267</v>
      </c>
      <c r="D45">
        <v>0.98710119724273682</v>
      </c>
      <c r="E45">
        <v>0.98698687553405762</v>
      </c>
      <c r="F45">
        <v>0.98704403638839722</v>
      </c>
      <c r="G45">
        <v>0.48455428067078549</v>
      </c>
      <c r="I45">
        <f t="shared" si="0"/>
        <v>950</v>
      </c>
      <c r="J45" s="18" t="str">
        <f t="shared" si="1"/>
        <v>stainless steel as the reactor material.</v>
      </c>
      <c r="K45" s="18" t="str">
        <f t="shared" si="2"/>
        <v>stainless steel</v>
      </c>
      <c r="L45">
        <f t="shared" si="3"/>
        <v>954</v>
      </c>
      <c r="M45" s="18" t="str">
        <f t="shared" si="4"/>
        <v xml:space="preserve">stainless steel as the reactor material.
</v>
      </c>
      <c r="N45" s="18" t="str">
        <f t="shared" si="5"/>
        <v>stainless steel</v>
      </c>
    </row>
    <row r="46" spans="1:14" x14ac:dyDescent="0.3">
      <c r="A46" t="s">
        <v>1724</v>
      </c>
      <c r="B46" t="s">
        <v>2189</v>
      </c>
      <c r="C46" t="s">
        <v>1265</v>
      </c>
      <c r="D46">
        <v>0.98669171333312988</v>
      </c>
      <c r="E46">
        <v>0.98673224449157715</v>
      </c>
      <c r="F46">
        <v>0.98671197891235352</v>
      </c>
      <c r="G46">
        <v>0.21206418383518219</v>
      </c>
      <c r="I46">
        <f t="shared" si="0"/>
        <v>933</v>
      </c>
      <c r="J46" s="18" t="str">
        <f t="shared" si="1"/>
        <v>stainless steel as the reactor material.</v>
      </c>
      <c r="K46" s="18" t="str">
        <f t="shared" si="2"/>
        <v>stainless steel</v>
      </c>
      <c r="L46">
        <f t="shared" si="3"/>
        <v>935</v>
      </c>
      <c r="M46" s="18" t="str">
        <f t="shared" si="4"/>
        <v xml:space="preserve">stainless steel as the reactor material.
</v>
      </c>
      <c r="N46" s="18" t="str">
        <f t="shared" si="5"/>
        <v>stainless steel</v>
      </c>
    </row>
    <row r="47" spans="1:14" x14ac:dyDescent="0.3">
      <c r="A47" t="s">
        <v>1723</v>
      </c>
      <c r="B47" t="s">
        <v>2188</v>
      </c>
      <c r="C47" t="s">
        <v>1263</v>
      </c>
      <c r="D47">
        <v>0.96277087926864624</v>
      </c>
      <c r="E47">
        <v>0.95473295450210571</v>
      </c>
      <c r="F47">
        <v>0.95873510837554932</v>
      </c>
      <c r="G47">
        <v>0.72985781990521326</v>
      </c>
      <c r="I47">
        <f t="shared" si="0"/>
        <v>933</v>
      </c>
      <c r="J47" s="18" t="str">
        <f t="shared" si="1"/>
        <v>stainless steel as the reactor material.</v>
      </c>
      <c r="K47" s="18" t="str">
        <f t="shared" si="2"/>
        <v>stainless steel</v>
      </c>
      <c r="L47">
        <f t="shared" si="3"/>
        <v>934</v>
      </c>
      <c r="M47" s="18" t="str">
        <f t="shared" si="4"/>
        <v xml:space="preserve">stainless steel as the reactor material.
</v>
      </c>
      <c r="N47" s="18" t="str">
        <f t="shared" si="5"/>
        <v>stainless steel</v>
      </c>
    </row>
    <row r="48" spans="1:14" x14ac:dyDescent="0.3">
      <c r="A48" t="s">
        <v>1722</v>
      </c>
      <c r="B48" t="s">
        <v>2187</v>
      </c>
      <c r="C48" t="s">
        <v>1261</v>
      </c>
      <c r="D48">
        <v>0.98789596557617188</v>
      </c>
      <c r="E48">
        <v>0.98799389600753784</v>
      </c>
      <c r="F48">
        <v>0.98794490098953247</v>
      </c>
      <c r="G48">
        <v>0.42592592592592587</v>
      </c>
      <c r="I48">
        <f t="shared" si="0"/>
        <v>950</v>
      </c>
      <c r="J48" s="18" t="str">
        <f t="shared" si="1"/>
        <v>stainless steel as the reactor material.</v>
      </c>
      <c r="K48" s="18" t="str">
        <f t="shared" si="2"/>
        <v>stainless steel</v>
      </c>
      <c r="L48">
        <f t="shared" si="3"/>
        <v>950</v>
      </c>
      <c r="M48" s="18" t="str">
        <f t="shared" si="4"/>
        <v xml:space="preserve">stainless steel as the reactor material.
</v>
      </c>
      <c r="N48" s="18" t="str">
        <f t="shared" si="5"/>
        <v>stainless steel</v>
      </c>
    </row>
    <row r="49" spans="1:14" x14ac:dyDescent="0.3">
      <c r="A49" t="s">
        <v>1721</v>
      </c>
      <c r="B49" t="s">
        <v>2186</v>
      </c>
      <c r="C49" t="s">
        <v>1259</v>
      </c>
      <c r="D49">
        <v>0.97075760364532471</v>
      </c>
      <c r="E49">
        <v>0.97133839130401611</v>
      </c>
      <c r="F49">
        <v>0.97104793787002563</v>
      </c>
      <c r="G49">
        <v>2.1516393442623041E-2</v>
      </c>
      <c r="I49">
        <f t="shared" si="0"/>
        <v>953</v>
      </c>
      <c r="J49" s="18" t="str">
        <f t="shared" si="1"/>
        <v>stainless steel as the reactor material.</v>
      </c>
      <c r="K49" s="18" t="str">
        <f t="shared" si="2"/>
        <v>stainless steel</v>
      </c>
      <c r="L49">
        <f t="shared" si="3"/>
        <v>944</v>
      </c>
      <c r="M49" s="18" t="str">
        <f t="shared" si="4"/>
        <v xml:space="preserve">stainless steel as the reactor material.
</v>
      </c>
      <c r="N49" s="18" t="str">
        <f t="shared" si="5"/>
        <v>stainless steel</v>
      </c>
    </row>
    <row r="50" spans="1:14" hidden="1" x14ac:dyDescent="0.3">
      <c r="A50" t="s">
        <v>1720</v>
      </c>
      <c r="B50" t="s">
        <v>2185</v>
      </c>
      <c r="C50" t="s">
        <v>1257</v>
      </c>
      <c r="D50">
        <v>0.95771479606628418</v>
      </c>
      <c r="E50">
        <v>0.96404218673706055</v>
      </c>
      <c r="F50">
        <v>0.96086806058883667</v>
      </c>
      <c r="G50">
        <v>3.9334811529933491</v>
      </c>
      <c r="I50">
        <f t="shared" si="0"/>
        <v>955</v>
      </c>
      <c r="J50" s="18" t="str">
        <f t="shared" si="1"/>
        <v>stainless steel as the reactor material.</v>
      </c>
      <c r="K50" s="18" t="str">
        <f t="shared" si="2"/>
        <v>stainless steel</v>
      </c>
      <c r="L50">
        <f t="shared" si="3"/>
        <v>950</v>
      </c>
      <c r="M50" s="18" t="str">
        <f t="shared" si="4"/>
        <v xml:space="preserve">stainless steel as the reactor material.
</v>
      </c>
      <c r="N50" s="18" t="str">
        <f t="shared" si="5"/>
        <v>stainless steel</v>
      </c>
    </row>
    <row r="51" spans="1:14" hidden="1" x14ac:dyDescent="0.3">
      <c r="A51" t="s">
        <v>1719</v>
      </c>
      <c r="B51" t="s">
        <v>2184</v>
      </c>
      <c r="C51" t="s">
        <v>1255</v>
      </c>
      <c r="D51">
        <v>0.95934146642684937</v>
      </c>
      <c r="E51">
        <v>0.96576821804046631</v>
      </c>
      <c r="F51">
        <v>0.96254414319992065</v>
      </c>
      <c r="G51">
        <v>1.3972413793103451</v>
      </c>
      <c r="I51">
        <f t="shared" si="0"/>
        <v>950</v>
      </c>
      <c r="J51" s="18" t="str">
        <f t="shared" si="1"/>
        <v>stainless steel as the reactor material.</v>
      </c>
      <c r="K51" s="18" t="str">
        <f t="shared" si="2"/>
        <v>stainless steel</v>
      </c>
      <c r="L51">
        <f t="shared" si="3"/>
        <v>949</v>
      </c>
      <c r="M51" s="18" t="str">
        <f t="shared" si="4"/>
        <v xml:space="preserve">stainless steel as the reactor material.
</v>
      </c>
      <c r="N51" s="18" t="str">
        <f t="shared" si="5"/>
        <v>stainless steel</v>
      </c>
    </row>
    <row r="52" spans="1:14" hidden="1" x14ac:dyDescent="0.3">
      <c r="A52" t="s">
        <v>1718</v>
      </c>
      <c r="B52" t="s">
        <v>2183</v>
      </c>
      <c r="C52" t="s">
        <v>1253</v>
      </c>
      <c r="D52">
        <v>0.9580456018447876</v>
      </c>
      <c r="E52">
        <v>0.96706306934356689</v>
      </c>
      <c r="F52">
        <v>0.96253323554992676</v>
      </c>
      <c r="G52">
        <v>3.8989667049368539</v>
      </c>
      <c r="I52">
        <f t="shared" si="0"/>
        <v>935</v>
      </c>
      <c r="J52" s="18" t="str">
        <f t="shared" si="1"/>
        <v>stainless steel as the reactor material.</v>
      </c>
      <c r="K52" s="18" t="str">
        <f t="shared" si="2"/>
        <v>stainless steel</v>
      </c>
      <c r="L52">
        <f t="shared" si="3"/>
        <v>933</v>
      </c>
      <c r="M52" s="18" t="str">
        <f t="shared" si="4"/>
        <v xml:space="preserve">stainless steel as the reactor material.
</v>
      </c>
      <c r="N52" s="18" t="str">
        <f t="shared" si="5"/>
        <v>stainless steel</v>
      </c>
    </row>
    <row r="53" spans="1:14" x14ac:dyDescent="0.3">
      <c r="A53" t="s">
        <v>1717</v>
      </c>
      <c r="B53" t="s">
        <v>2182</v>
      </c>
      <c r="C53" t="s">
        <v>1251</v>
      </c>
      <c r="D53">
        <v>0.97674870491027832</v>
      </c>
      <c r="E53">
        <v>0.97755813598632813</v>
      </c>
      <c r="F53">
        <v>0.9771532416343689</v>
      </c>
      <c r="G53">
        <v>0.80926847950976633</v>
      </c>
      <c r="I53">
        <f t="shared" si="0"/>
        <v>949</v>
      </c>
      <c r="J53" s="18" t="str">
        <f t="shared" si="1"/>
        <v>stainless steel as the reactor material.</v>
      </c>
      <c r="K53" s="18" t="str">
        <f t="shared" si="2"/>
        <v>stainless steel</v>
      </c>
      <c r="L53">
        <f t="shared" si="3"/>
        <v>954</v>
      </c>
      <c r="M53" s="18" t="str">
        <f t="shared" si="4"/>
        <v xml:space="preserve">stainless steel as the reactor material.
</v>
      </c>
      <c r="N53" s="18" t="str">
        <f t="shared" si="5"/>
        <v>stainless steel</v>
      </c>
    </row>
    <row r="54" spans="1:14" x14ac:dyDescent="0.3">
      <c r="A54" t="s">
        <v>1716</v>
      </c>
      <c r="B54" t="s">
        <v>2181</v>
      </c>
      <c r="C54" t="s">
        <v>1249</v>
      </c>
      <c r="D54">
        <v>0.98764210939407349</v>
      </c>
      <c r="E54">
        <v>0.98764210939407349</v>
      </c>
      <c r="F54">
        <v>0.98764210939407349</v>
      </c>
      <c r="G54">
        <v>0.48894842598794369</v>
      </c>
      <c r="I54">
        <f t="shared" si="0"/>
        <v>949</v>
      </c>
      <c r="J54" s="18" t="str">
        <f t="shared" si="1"/>
        <v>stainless steel as the reactor material.</v>
      </c>
      <c r="K54" s="18" t="str">
        <f t="shared" si="2"/>
        <v>stainless steel</v>
      </c>
      <c r="L54">
        <f t="shared" si="3"/>
        <v>950</v>
      </c>
      <c r="M54" s="18" t="str">
        <f t="shared" si="4"/>
        <v xml:space="preserve">stainless steel as the reactor material.
</v>
      </c>
      <c r="N54" s="18" t="str">
        <f t="shared" si="5"/>
        <v>stainless steel</v>
      </c>
    </row>
    <row r="55" spans="1:14" x14ac:dyDescent="0.3">
      <c r="A55" t="s">
        <v>1715</v>
      </c>
      <c r="B55" t="s">
        <v>2180</v>
      </c>
      <c r="C55" t="s">
        <v>1247</v>
      </c>
      <c r="D55">
        <v>0.97265136241912842</v>
      </c>
      <c r="E55">
        <v>0.97399121522903442</v>
      </c>
      <c r="F55">
        <v>0.97332084178924561</v>
      </c>
      <c r="G55">
        <v>0.98045267489711918</v>
      </c>
      <c r="I55">
        <f t="shared" si="0"/>
        <v>947</v>
      </c>
      <c r="J55" s="18" t="str">
        <f t="shared" si="1"/>
        <v>stainless steel as the reactor material.</v>
      </c>
      <c r="K55" s="18" t="str">
        <f t="shared" si="2"/>
        <v>stainless steel</v>
      </c>
      <c r="L55">
        <f t="shared" si="3"/>
        <v>948</v>
      </c>
      <c r="M55" s="18" t="str">
        <f t="shared" si="4"/>
        <v xml:space="preserve">stainless steel as the reactor material.
</v>
      </c>
      <c r="N55" s="18" t="str">
        <f t="shared" si="5"/>
        <v>stainless steel</v>
      </c>
    </row>
    <row r="56" spans="1:14" hidden="1" x14ac:dyDescent="0.3">
      <c r="A56" t="s">
        <v>1714</v>
      </c>
      <c r="B56" t="s">
        <v>2179</v>
      </c>
      <c r="C56" t="s">
        <v>1245</v>
      </c>
      <c r="D56">
        <v>0.95706444978713989</v>
      </c>
      <c r="E56">
        <v>0.96623241901397705</v>
      </c>
      <c r="F56">
        <v>0.96162652969360352</v>
      </c>
      <c r="H56">
        <v>6.2425952045133997</v>
      </c>
      <c r="I56">
        <f t="shared" si="0"/>
        <v>939</v>
      </c>
      <c r="J56" s="18" t="str">
        <f t="shared" si="1"/>
        <v>stainless steel as the reactor material.</v>
      </c>
      <c r="K56" s="18" t="str">
        <f t="shared" si="2"/>
        <v>stainless steel</v>
      </c>
      <c r="L56">
        <f t="shared" si="3"/>
        <v>934</v>
      </c>
      <c r="M56" s="18" t="str">
        <f t="shared" si="4"/>
        <v xml:space="preserve">stainless steel as the reactor material.
</v>
      </c>
      <c r="N56" s="18" t="str">
        <f t="shared" si="5"/>
        <v>stainless steel</v>
      </c>
    </row>
    <row r="57" spans="1:14" x14ac:dyDescent="0.3">
      <c r="A57" t="s">
        <v>1713</v>
      </c>
      <c r="B57" t="s">
        <v>2178</v>
      </c>
      <c r="C57" t="s">
        <v>1243</v>
      </c>
      <c r="D57">
        <v>0.96358054876327515</v>
      </c>
      <c r="E57">
        <v>0.95707070827484131</v>
      </c>
      <c r="F57">
        <v>0.96031463146209717</v>
      </c>
      <c r="G57">
        <v>0.67938931297709915</v>
      </c>
      <c r="I57">
        <f t="shared" si="0"/>
        <v>950</v>
      </c>
      <c r="J57" s="18" t="str">
        <f t="shared" si="1"/>
        <v>stainless steel as the reactor material.</v>
      </c>
      <c r="K57" s="18" t="str">
        <f t="shared" si="2"/>
        <v>stainless steel</v>
      </c>
      <c r="L57">
        <f t="shared" si="3"/>
        <v>951</v>
      </c>
      <c r="M57" s="18" t="str">
        <f t="shared" si="4"/>
        <v xml:space="preserve">stainless steel as the reactor material.
</v>
      </c>
      <c r="N57" s="18" t="str">
        <f t="shared" si="5"/>
        <v>stainless steel</v>
      </c>
    </row>
    <row r="58" spans="1:14" hidden="1" x14ac:dyDescent="0.3">
      <c r="A58" t="s">
        <v>1712</v>
      </c>
      <c r="B58" t="s">
        <v>2177</v>
      </c>
      <c r="C58" t="s">
        <v>1241</v>
      </c>
      <c r="D58">
        <v>0.97882652282714844</v>
      </c>
      <c r="E58">
        <v>0.97828710079193115</v>
      </c>
      <c r="F58">
        <v>0.97855675220489502</v>
      </c>
      <c r="G58">
        <v>1.287454725057622</v>
      </c>
      <c r="I58">
        <f t="shared" si="0"/>
        <v>939</v>
      </c>
      <c r="J58" s="18" t="str">
        <f t="shared" si="1"/>
        <v>stainless steel as the reactor material.</v>
      </c>
      <c r="K58" s="18" t="str">
        <f t="shared" si="2"/>
        <v>stainless steel</v>
      </c>
      <c r="L58">
        <f t="shared" si="3"/>
        <v>934</v>
      </c>
      <c r="M58" s="18" t="str">
        <f t="shared" si="4"/>
        <v xml:space="preserve">stainless steel as the reactor material.
</v>
      </c>
      <c r="N58" s="18" t="str">
        <f t="shared" si="5"/>
        <v>stainless steel</v>
      </c>
    </row>
    <row r="59" spans="1:14" x14ac:dyDescent="0.3">
      <c r="A59" t="s">
        <v>1711</v>
      </c>
      <c r="B59" t="s">
        <v>2176</v>
      </c>
      <c r="C59" t="s">
        <v>1239</v>
      </c>
      <c r="D59">
        <v>0.98489981889724731</v>
      </c>
      <c r="E59">
        <v>0.98446089029312134</v>
      </c>
      <c r="F59">
        <v>0.98468035459518433</v>
      </c>
      <c r="G59">
        <v>0.24321836935500279</v>
      </c>
      <c r="I59">
        <f t="shared" si="0"/>
        <v>1352</v>
      </c>
      <c r="J59" s="18" t="str">
        <f t="shared" si="1"/>
        <v>stainless steel as the reactor material.</v>
      </c>
      <c r="K59" s="18" t="str">
        <f t="shared" si="2"/>
        <v>stainless steel</v>
      </c>
      <c r="L59">
        <f t="shared" si="3"/>
        <v>1342</v>
      </c>
      <c r="M59" s="18" t="str">
        <f t="shared" si="4"/>
        <v xml:space="preserve">stainless steel as the reactor material.
</v>
      </c>
      <c r="N59" s="18" t="str">
        <f t="shared" si="5"/>
        <v>stainless steel</v>
      </c>
    </row>
    <row r="60" spans="1:14" x14ac:dyDescent="0.3">
      <c r="A60" t="s">
        <v>1710</v>
      </c>
      <c r="B60" t="s">
        <v>2175</v>
      </c>
      <c r="C60" t="s">
        <v>1237</v>
      </c>
      <c r="D60">
        <v>0.99023759365081787</v>
      </c>
      <c r="E60">
        <v>0.99009281396865845</v>
      </c>
      <c r="F60">
        <v>0.99016517400741577</v>
      </c>
      <c r="G60">
        <v>4.9484141149079293E-2</v>
      </c>
      <c r="I60">
        <f t="shared" si="0"/>
        <v>1438</v>
      </c>
      <c r="J60" s="18" t="str">
        <f t="shared" si="1"/>
        <v>stainless steel as the reactor material.</v>
      </c>
      <c r="K60" s="18" t="str">
        <f t="shared" si="2"/>
        <v>stainless steel</v>
      </c>
      <c r="L60">
        <f t="shared" si="3"/>
        <v>1432</v>
      </c>
      <c r="M60" s="18" t="str">
        <f t="shared" si="4"/>
        <v xml:space="preserve">stainless steel as the reactor material.
</v>
      </c>
      <c r="N60" s="18" t="str">
        <f t="shared" si="5"/>
        <v>stainless steel</v>
      </c>
    </row>
    <row r="61" spans="1:14" x14ac:dyDescent="0.3">
      <c r="A61" t="s">
        <v>1709</v>
      </c>
      <c r="B61" t="s">
        <v>2174</v>
      </c>
      <c r="C61" t="s">
        <v>1235</v>
      </c>
      <c r="D61">
        <v>0.97997784614562988</v>
      </c>
      <c r="E61">
        <v>0.97928959131240845</v>
      </c>
      <c r="F61">
        <v>0.979633629322052</v>
      </c>
      <c r="G61">
        <v>3.2818429457287378E-2</v>
      </c>
      <c r="I61">
        <f t="shared" si="0"/>
        <v>1438</v>
      </c>
      <c r="J61" s="18" t="str">
        <f t="shared" si="1"/>
        <v>stainless steel as the reactor material.</v>
      </c>
      <c r="K61" s="18" t="str">
        <f t="shared" si="2"/>
        <v>stainless steel</v>
      </c>
      <c r="L61">
        <f t="shared" si="3"/>
        <v>1441</v>
      </c>
      <c r="M61" s="18" t="str">
        <f t="shared" si="4"/>
        <v xml:space="preserve">stainless steel as the reactor material.
</v>
      </c>
      <c r="N61" s="18" t="str">
        <f t="shared" si="5"/>
        <v>stainless steel</v>
      </c>
    </row>
    <row r="62" spans="1:14" x14ac:dyDescent="0.3">
      <c r="A62" t="s">
        <v>1708</v>
      </c>
      <c r="B62" t="s">
        <v>2173</v>
      </c>
      <c r="C62" t="s">
        <v>1233</v>
      </c>
      <c r="D62">
        <v>0.98485827445983887</v>
      </c>
      <c r="E62">
        <v>0.985542893409729</v>
      </c>
      <c r="F62">
        <v>0.98520046472549438</v>
      </c>
      <c r="G62">
        <v>0.99319335444505652</v>
      </c>
      <c r="I62">
        <f t="shared" si="0"/>
        <v>1356</v>
      </c>
      <c r="J62" s="18" t="str">
        <f t="shared" si="1"/>
        <v>stainless steel as the reactor material.</v>
      </c>
      <c r="K62" s="18" t="str">
        <f t="shared" si="2"/>
        <v>stainless steel</v>
      </c>
      <c r="L62">
        <f t="shared" si="3"/>
        <v>1361</v>
      </c>
      <c r="M62" s="18" t="str">
        <f t="shared" si="4"/>
        <v xml:space="preserve">stainless steel as the reactor material.
</v>
      </c>
      <c r="N62" s="18" t="str">
        <f t="shared" si="5"/>
        <v>stainless steel</v>
      </c>
    </row>
    <row r="63" spans="1:14" x14ac:dyDescent="0.3">
      <c r="A63" t="s">
        <v>1707</v>
      </c>
      <c r="B63" t="s">
        <v>2172</v>
      </c>
      <c r="C63" t="s">
        <v>1231</v>
      </c>
      <c r="D63">
        <v>0.99345988035202026</v>
      </c>
      <c r="E63">
        <v>0.99342578649520874</v>
      </c>
      <c r="F63">
        <v>0.9934428334236145</v>
      </c>
      <c r="G63">
        <v>4.6469162232786743E-3</v>
      </c>
      <c r="I63">
        <f t="shared" si="0"/>
        <v>1448</v>
      </c>
      <c r="J63" s="18" t="str">
        <f t="shared" si="1"/>
        <v>stainless steel as the reactor material.</v>
      </c>
      <c r="K63" s="18" t="str">
        <f t="shared" si="2"/>
        <v>stainless steel</v>
      </c>
      <c r="L63">
        <f t="shared" si="3"/>
        <v>1447</v>
      </c>
      <c r="M63" s="18" t="str">
        <f t="shared" si="4"/>
        <v xml:space="preserve">stainless steel as the reactor material.
</v>
      </c>
      <c r="N63" s="18" t="str">
        <f t="shared" si="5"/>
        <v>stainless steel</v>
      </c>
    </row>
    <row r="64" spans="1:14" x14ac:dyDescent="0.3">
      <c r="A64" t="s">
        <v>1706</v>
      </c>
      <c r="B64" t="s">
        <v>2171</v>
      </c>
      <c r="C64" t="s">
        <v>1229</v>
      </c>
      <c r="D64">
        <v>0.97137570381164551</v>
      </c>
      <c r="E64">
        <v>0.97067868709564209</v>
      </c>
      <c r="F64">
        <v>0.97102707624435425</v>
      </c>
      <c r="G64">
        <v>0.63195341468479682</v>
      </c>
      <c r="I64">
        <f t="shared" si="0"/>
        <v>1359</v>
      </c>
      <c r="J64" s="18" t="str">
        <f t="shared" si="1"/>
        <v>stainless steel as the reactor material.</v>
      </c>
      <c r="K64" s="18" t="str">
        <f t="shared" si="2"/>
        <v>stainless steel</v>
      </c>
      <c r="L64">
        <f t="shared" si="3"/>
        <v>1361</v>
      </c>
      <c r="M64" s="18" t="str">
        <f t="shared" si="4"/>
        <v xml:space="preserve">stainless steel as the reactor material.
</v>
      </c>
      <c r="N64" s="18" t="str">
        <f t="shared" si="5"/>
        <v>stainless steel</v>
      </c>
    </row>
    <row r="65" spans="1:14" x14ac:dyDescent="0.3">
      <c r="A65" t="s">
        <v>1705</v>
      </c>
      <c r="B65" t="s">
        <v>2170</v>
      </c>
      <c r="C65" t="s">
        <v>1227</v>
      </c>
      <c r="D65">
        <v>0.97722166776657104</v>
      </c>
      <c r="E65">
        <v>0.97966194152832031</v>
      </c>
      <c r="F65">
        <v>0.97844022512435913</v>
      </c>
      <c r="G65">
        <v>4.0041111494460067E-2</v>
      </c>
      <c r="I65">
        <f t="shared" si="0"/>
        <v>1439</v>
      </c>
      <c r="J65" s="18" t="str">
        <f t="shared" si="1"/>
        <v>stainless steel as the reactor material.</v>
      </c>
      <c r="K65" s="18" t="str">
        <f t="shared" si="2"/>
        <v>stainless steel</v>
      </c>
      <c r="L65">
        <f t="shared" si="3"/>
        <v>1438</v>
      </c>
      <c r="M65" s="18" t="str">
        <f t="shared" si="4"/>
        <v xml:space="preserve">stainless steel as the reactor material.
</v>
      </c>
      <c r="N65" s="18" t="str">
        <f t="shared" si="5"/>
        <v>stainless steel</v>
      </c>
    </row>
    <row r="66" spans="1:14" x14ac:dyDescent="0.3">
      <c r="A66" t="s">
        <v>1703</v>
      </c>
      <c r="B66" t="s">
        <v>2169</v>
      </c>
      <c r="C66" t="s">
        <v>1223</v>
      </c>
      <c r="D66">
        <v>0.98981446027755737</v>
      </c>
      <c r="E66">
        <v>0.99005138874053955</v>
      </c>
      <c r="F66">
        <v>0.98993295431137085</v>
      </c>
      <c r="G66">
        <v>0.52128663663798125</v>
      </c>
      <c r="I66">
        <f t="shared" si="0"/>
        <v>1350</v>
      </c>
      <c r="J66" s="18" t="str">
        <f t="shared" si="1"/>
        <v>stainless steel as the reactor material.</v>
      </c>
      <c r="K66" s="18" t="str">
        <f t="shared" si="2"/>
        <v>stainless steel</v>
      </c>
      <c r="L66">
        <f t="shared" si="3"/>
        <v>1348</v>
      </c>
      <c r="M66" s="18" t="str">
        <f t="shared" si="4"/>
        <v xml:space="preserve">stainless steel as the reactor material.
</v>
      </c>
      <c r="N66" s="18" t="str">
        <f t="shared" si="5"/>
        <v>stainless steel</v>
      </c>
    </row>
    <row r="67" spans="1:14" x14ac:dyDescent="0.3">
      <c r="A67" t="s">
        <v>1702</v>
      </c>
      <c r="B67" t="s">
        <v>2168</v>
      </c>
      <c r="C67" t="s">
        <v>1221</v>
      </c>
      <c r="D67">
        <v>0.97198003530502319</v>
      </c>
      <c r="E67">
        <v>0.9732130765914917</v>
      </c>
      <c r="F67">
        <v>0.97259616851806641</v>
      </c>
      <c r="G67">
        <v>0.21589795855937441</v>
      </c>
      <c r="I67">
        <f t="shared" ref="I67:I89" si="6">FIND("using",B67)</f>
        <v>1353</v>
      </c>
      <c r="J67" s="18" t="str">
        <f t="shared" ref="J67:J89" si="7">MID(B67,I67+LEN("using "),LEN(B67))</f>
        <v>stainless steel as the reactor material.</v>
      </c>
      <c r="K67" s="18" t="str">
        <f t="shared" ref="K67:K89" si="8">LEFT(J67,FIND(" ",J67,FIND(" ",J67)+1)-1)</f>
        <v>stainless steel</v>
      </c>
      <c r="L67">
        <f t="shared" ref="L67:L89" si="9">FIND("using",C67)</f>
        <v>1359</v>
      </c>
      <c r="M67" s="18" t="str">
        <f t="shared" ref="M67:M89" si="10">MID(C67,L67+LEN("using "),LEN(C67))</f>
        <v xml:space="preserve">stainless steel as the reactor material.
</v>
      </c>
      <c r="N67" s="18" t="str">
        <f t="shared" ref="N67:N89" si="11">LEFT(M67,FIND(" ",M67,FIND(" ",M67)+1)-1)</f>
        <v>stainless steel</v>
      </c>
    </row>
    <row r="68" spans="1:14" hidden="1" x14ac:dyDescent="0.3">
      <c r="A68" t="s">
        <v>1701</v>
      </c>
      <c r="B68" t="s">
        <v>2167</v>
      </c>
      <c r="C68" t="s">
        <v>1219</v>
      </c>
      <c r="D68">
        <v>0.95928186178207397</v>
      </c>
      <c r="E68">
        <v>0.95977979898452759</v>
      </c>
      <c r="F68">
        <v>0.95953077077865601</v>
      </c>
      <c r="G68">
        <v>12.369247422093091</v>
      </c>
      <c r="I68">
        <f t="shared" si="6"/>
        <v>1358</v>
      </c>
      <c r="J68" s="18" t="str">
        <f t="shared" si="7"/>
        <v>stainless steel as the reactor material.</v>
      </c>
      <c r="K68" s="18" t="str">
        <f t="shared" si="8"/>
        <v>stainless steel</v>
      </c>
      <c r="L68">
        <f t="shared" si="9"/>
        <v>1355</v>
      </c>
      <c r="M68" s="18" t="str">
        <f t="shared" si="10"/>
        <v xml:space="preserve">stainless steel as the reactor material.
</v>
      </c>
      <c r="N68" s="18" t="str">
        <f t="shared" si="11"/>
        <v>stainless steel</v>
      </c>
    </row>
    <row r="69" spans="1:14" x14ac:dyDescent="0.3">
      <c r="A69" t="s">
        <v>1700</v>
      </c>
      <c r="B69" t="s">
        <v>2166</v>
      </c>
      <c r="C69" t="s">
        <v>1217</v>
      </c>
      <c r="D69">
        <v>0.98454201221466064</v>
      </c>
      <c r="E69">
        <v>0.98584520816802979</v>
      </c>
      <c r="F69">
        <v>0.98519319295883179</v>
      </c>
      <c r="G69">
        <v>9.735665621678545E-2</v>
      </c>
      <c r="I69">
        <f t="shared" si="6"/>
        <v>1432</v>
      </c>
      <c r="J69" s="18" t="str">
        <f t="shared" si="7"/>
        <v>stainless steel as the reactor material.</v>
      </c>
      <c r="K69" s="18" t="str">
        <f t="shared" si="8"/>
        <v>stainless steel</v>
      </c>
      <c r="L69">
        <f t="shared" si="9"/>
        <v>1434</v>
      </c>
      <c r="M69" s="18" t="str">
        <f t="shared" si="10"/>
        <v xml:space="preserve">stainless steel as the reactor material.
</v>
      </c>
      <c r="N69" s="18" t="str">
        <f t="shared" si="11"/>
        <v>stainless steel</v>
      </c>
    </row>
    <row r="70" spans="1:14" x14ac:dyDescent="0.3">
      <c r="A70" t="s">
        <v>1699</v>
      </c>
      <c r="B70" s="2" t="s">
        <v>2165</v>
      </c>
      <c r="C70" s="2" t="s">
        <v>2164</v>
      </c>
      <c r="D70">
        <v>0.99584901332855225</v>
      </c>
      <c r="E70">
        <v>0.99609649181365967</v>
      </c>
      <c r="F70">
        <v>0.99597275257110596</v>
      </c>
      <c r="G70">
        <v>1</v>
      </c>
      <c r="I70">
        <f t="shared" si="6"/>
        <v>1429</v>
      </c>
      <c r="J70" s="18" t="str">
        <f t="shared" si="7"/>
        <v>stainless steel as the reactor material.</v>
      </c>
      <c r="K70" s="18" t="str">
        <f t="shared" si="8"/>
        <v>stainless steel</v>
      </c>
      <c r="L70">
        <f t="shared" si="9"/>
        <v>1435</v>
      </c>
      <c r="M70" s="18" t="str">
        <f t="shared" si="10"/>
        <v xml:space="preserve">stainless steel as the reactor material.
</v>
      </c>
      <c r="N70" s="18" t="str">
        <f t="shared" si="11"/>
        <v>stainless steel</v>
      </c>
    </row>
    <row r="71" spans="1:14" x14ac:dyDescent="0.3">
      <c r="A71" t="s">
        <v>1698</v>
      </c>
      <c r="B71" t="s">
        <v>2163</v>
      </c>
      <c r="C71" t="s">
        <v>1213</v>
      </c>
      <c r="D71">
        <v>0.98885464668273926</v>
      </c>
      <c r="E71">
        <v>0.98886144161224365</v>
      </c>
      <c r="F71">
        <v>0.98885804414749146</v>
      </c>
      <c r="G71">
        <v>1.0208630960854699E-2</v>
      </c>
      <c r="I71">
        <f t="shared" si="6"/>
        <v>1361</v>
      </c>
      <c r="J71" s="18" t="str">
        <f t="shared" si="7"/>
        <v>stainless steel as the reactor material.</v>
      </c>
      <c r="K71" s="18" t="str">
        <f t="shared" si="8"/>
        <v>stainless steel</v>
      </c>
      <c r="L71">
        <f t="shared" si="9"/>
        <v>1355</v>
      </c>
      <c r="M71" s="18" t="str">
        <f t="shared" si="10"/>
        <v xml:space="preserve">stainless steel as the reactor material.
</v>
      </c>
      <c r="N71" s="18" t="str">
        <f t="shared" si="11"/>
        <v>stainless steel</v>
      </c>
    </row>
    <row r="72" spans="1:14" x14ac:dyDescent="0.3">
      <c r="A72" t="s">
        <v>1697</v>
      </c>
      <c r="B72" t="s">
        <v>2162</v>
      </c>
      <c r="C72" t="s">
        <v>1211</v>
      </c>
      <c r="D72">
        <v>0.99675965309143066</v>
      </c>
      <c r="E72">
        <v>0.99695038795471191</v>
      </c>
      <c r="F72">
        <v>0.99685502052307129</v>
      </c>
      <c r="G72">
        <v>8.4337810996966411E-2</v>
      </c>
      <c r="I72">
        <f t="shared" si="6"/>
        <v>1437</v>
      </c>
      <c r="J72" s="18" t="str">
        <f t="shared" si="7"/>
        <v>stainless steel as the reactor material.</v>
      </c>
      <c r="K72" s="18" t="str">
        <f t="shared" si="8"/>
        <v>stainless steel</v>
      </c>
      <c r="L72">
        <f t="shared" si="9"/>
        <v>1438</v>
      </c>
      <c r="M72" s="18" t="str">
        <f t="shared" si="10"/>
        <v xml:space="preserve">stainless steel as the reactor material.
</v>
      </c>
      <c r="N72" s="18" t="str">
        <f t="shared" si="11"/>
        <v>stainless steel</v>
      </c>
    </row>
    <row r="73" spans="1:14" x14ac:dyDescent="0.3">
      <c r="A73" t="s">
        <v>1696</v>
      </c>
      <c r="B73" t="s">
        <v>2161</v>
      </c>
      <c r="C73" t="s">
        <v>1209</v>
      </c>
      <c r="D73">
        <v>0.99836874008178711</v>
      </c>
      <c r="E73">
        <v>0.9983985424041748</v>
      </c>
      <c r="F73">
        <v>0.99838364124298096</v>
      </c>
      <c r="G73">
        <v>6.835226401233528E-3</v>
      </c>
      <c r="I73">
        <f t="shared" si="6"/>
        <v>1435</v>
      </c>
      <c r="J73" s="18" t="str">
        <f t="shared" si="7"/>
        <v>stainless steel as the reactor material.</v>
      </c>
      <c r="K73" s="18" t="str">
        <f t="shared" si="8"/>
        <v>stainless steel</v>
      </c>
      <c r="L73">
        <f t="shared" si="9"/>
        <v>1434</v>
      </c>
      <c r="M73" s="18" t="str">
        <f t="shared" si="10"/>
        <v xml:space="preserve">stainless steel as the reactor material.
</v>
      </c>
      <c r="N73" s="18" t="str">
        <f t="shared" si="11"/>
        <v>stainless steel</v>
      </c>
    </row>
    <row r="74" spans="1:14" hidden="1" x14ac:dyDescent="0.3">
      <c r="A74" t="s">
        <v>1695</v>
      </c>
      <c r="B74" t="s">
        <v>2160</v>
      </c>
      <c r="C74" s="2" t="s">
        <v>2159</v>
      </c>
      <c r="D74">
        <v>0.96188652515411377</v>
      </c>
      <c r="E74">
        <v>0.96307206153869629</v>
      </c>
      <c r="F74">
        <v>0.96247893571853638</v>
      </c>
      <c r="H74">
        <v>268.29729486023439</v>
      </c>
      <c r="I74">
        <f t="shared" si="6"/>
        <v>1361</v>
      </c>
      <c r="J74" s="18" t="str">
        <f t="shared" si="7"/>
        <v>stainless steel as the reactor material.</v>
      </c>
      <c r="K74" s="18" t="str">
        <f t="shared" si="8"/>
        <v>stainless steel</v>
      </c>
      <c r="L74">
        <f t="shared" si="9"/>
        <v>1356</v>
      </c>
      <c r="M74" s="18" t="str">
        <f t="shared" si="10"/>
        <v xml:space="preserve">stainless steel as the reactor material.
</v>
      </c>
      <c r="N74" s="18" t="str">
        <f t="shared" si="11"/>
        <v>stainless steel</v>
      </c>
    </row>
    <row r="75" spans="1:14" x14ac:dyDescent="0.3">
      <c r="A75" t="s">
        <v>1694</v>
      </c>
      <c r="B75" t="s">
        <v>2158</v>
      </c>
      <c r="C75" t="s">
        <v>1205</v>
      </c>
      <c r="D75">
        <v>0.97757023572921753</v>
      </c>
      <c r="E75">
        <v>0.98006266355514526</v>
      </c>
      <c r="F75">
        <v>0.97881489992141724</v>
      </c>
      <c r="G75">
        <v>0.11881809019562339</v>
      </c>
      <c r="I75">
        <f t="shared" si="6"/>
        <v>1449</v>
      </c>
      <c r="J75" s="18" t="str">
        <f t="shared" si="7"/>
        <v>stainless steel as the reactor material.</v>
      </c>
      <c r="K75" s="18" t="str">
        <f t="shared" si="8"/>
        <v>stainless steel</v>
      </c>
      <c r="L75">
        <f t="shared" si="9"/>
        <v>1438</v>
      </c>
      <c r="M75" s="18" t="str">
        <f t="shared" si="10"/>
        <v xml:space="preserve">stainless steel as the reactor material.
</v>
      </c>
      <c r="N75" s="18" t="str">
        <f t="shared" si="11"/>
        <v>stainless steel</v>
      </c>
    </row>
    <row r="76" spans="1:14" hidden="1" x14ac:dyDescent="0.3">
      <c r="A76" t="s">
        <v>1693</v>
      </c>
      <c r="B76" t="s">
        <v>2157</v>
      </c>
      <c r="C76" t="s">
        <v>1203</v>
      </c>
      <c r="D76">
        <v>0.95987451076507568</v>
      </c>
      <c r="E76">
        <v>0.96195089817047119</v>
      </c>
      <c r="F76">
        <v>0.96091157197952271</v>
      </c>
      <c r="H76">
        <v>326.77276825969341</v>
      </c>
      <c r="I76">
        <f t="shared" si="6"/>
        <v>1360</v>
      </c>
      <c r="J76" s="18" t="str">
        <f t="shared" si="7"/>
        <v>stainless steel as the reactor material.</v>
      </c>
      <c r="K76" s="18" t="str">
        <f t="shared" si="8"/>
        <v>stainless steel</v>
      </c>
      <c r="L76">
        <f t="shared" si="9"/>
        <v>1356</v>
      </c>
      <c r="M76" s="18" t="str">
        <f t="shared" si="10"/>
        <v xml:space="preserve">stainless steel as the reactor material.
</v>
      </c>
      <c r="N76" s="18" t="str">
        <f t="shared" si="11"/>
        <v>stainless steel</v>
      </c>
    </row>
    <row r="77" spans="1:14" x14ac:dyDescent="0.3">
      <c r="A77" t="s">
        <v>1692</v>
      </c>
      <c r="B77" t="s">
        <v>2156</v>
      </c>
      <c r="C77" t="s">
        <v>1201</v>
      </c>
      <c r="D77">
        <v>0.99165868759155273</v>
      </c>
      <c r="E77">
        <v>0.99154222011566162</v>
      </c>
      <c r="F77">
        <v>0.99160045385360718</v>
      </c>
      <c r="G77">
        <v>3.3362076131782888E-2</v>
      </c>
      <c r="I77">
        <f t="shared" si="6"/>
        <v>1438</v>
      </c>
      <c r="J77" s="18" t="str">
        <f t="shared" si="7"/>
        <v>stainless steel as the reactor material.</v>
      </c>
      <c r="K77" s="18" t="str">
        <f t="shared" si="8"/>
        <v>stainless steel</v>
      </c>
      <c r="L77">
        <f t="shared" si="9"/>
        <v>1436</v>
      </c>
      <c r="M77" s="18" t="str">
        <f t="shared" si="10"/>
        <v xml:space="preserve">stainless steel as the reactor material.
</v>
      </c>
      <c r="N77" s="18" t="str">
        <f t="shared" si="11"/>
        <v>stainless steel</v>
      </c>
    </row>
    <row r="78" spans="1:14" x14ac:dyDescent="0.3">
      <c r="A78" t="s">
        <v>1691</v>
      </c>
      <c r="B78" t="s">
        <v>2155</v>
      </c>
      <c r="C78" t="s">
        <v>1199</v>
      </c>
      <c r="D78">
        <v>0.98980295658111572</v>
      </c>
      <c r="E78">
        <v>0.99066686630249023</v>
      </c>
      <c r="F78">
        <v>0.99023473262786865</v>
      </c>
      <c r="G78">
        <v>7.8338608412550984E-3</v>
      </c>
      <c r="I78">
        <f t="shared" si="6"/>
        <v>1430</v>
      </c>
      <c r="J78" s="18" t="str">
        <f t="shared" si="7"/>
        <v>stainless steel as the reactor material.</v>
      </c>
      <c r="K78" s="18" t="str">
        <f t="shared" si="8"/>
        <v>stainless steel</v>
      </c>
      <c r="L78">
        <f t="shared" si="9"/>
        <v>1429</v>
      </c>
      <c r="M78" s="18" t="str">
        <f t="shared" si="10"/>
        <v xml:space="preserve">stainless steel as the reactor material.
</v>
      </c>
      <c r="N78" s="18" t="str">
        <f t="shared" si="11"/>
        <v>stainless steel</v>
      </c>
    </row>
    <row r="79" spans="1:14" x14ac:dyDescent="0.3">
      <c r="A79" t="s">
        <v>1690</v>
      </c>
      <c r="B79" t="s">
        <v>2154</v>
      </c>
      <c r="C79" t="s">
        <v>1197</v>
      </c>
      <c r="D79">
        <v>0.99167478084564209</v>
      </c>
      <c r="E79">
        <v>0.99162977933883667</v>
      </c>
      <c r="F79">
        <v>0.99165230989456177</v>
      </c>
      <c r="G79">
        <v>0.65830167611704749</v>
      </c>
      <c r="I79">
        <f t="shared" si="6"/>
        <v>1358</v>
      </c>
      <c r="J79" s="18" t="str">
        <f t="shared" si="7"/>
        <v>stainless steel as the reactor material.</v>
      </c>
      <c r="K79" s="18" t="str">
        <f t="shared" si="8"/>
        <v>stainless steel</v>
      </c>
      <c r="L79">
        <f t="shared" si="9"/>
        <v>1359</v>
      </c>
      <c r="M79" s="18" t="str">
        <f t="shared" si="10"/>
        <v xml:space="preserve">stainless steel as the reactor material.
</v>
      </c>
      <c r="N79" s="18" t="str">
        <f t="shared" si="11"/>
        <v>stainless steel</v>
      </c>
    </row>
    <row r="80" spans="1:14" x14ac:dyDescent="0.3">
      <c r="A80" t="s">
        <v>1688</v>
      </c>
      <c r="B80" t="s">
        <v>2153</v>
      </c>
      <c r="C80" t="s">
        <v>1193</v>
      </c>
      <c r="D80">
        <v>0.99338030815124512</v>
      </c>
      <c r="E80">
        <v>0.99318313598632813</v>
      </c>
      <c r="F80">
        <v>0.99328172206878662</v>
      </c>
      <c r="G80">
        <v>2.0629764268096661E-2</v>
      </c>
      <c r="I80">
        <f t="shared" si="6"/>
        <v>1432</v>
      </c>
      <c r="J80" s="18" t="str">
        <f t="shared" si="7"/>
        <v>stainless steel as the reactor material.</v>
      </c>
      <c r="K80" s="18" t="str">
        <f t="shared" si="8"/>
        <v>stainless steel</v>
      </c>
      <c r="L80">
        <f t="shared" si="9"/>
        <v>1432</v>
      </c>
      <c r="M80" s="18" t="str">
        <f t="shared" si="10"/>
        <v xml:space="preserve">stainless steel as the reactor material.
</v>
      </c>
      <c r="N80" s="18" t="str">
        <f t="shared" si="11"/>
        <v>stainless steel</v>
      </c>
    </row>
    <row r="81" spans="1:14" x14ac:dyDescent="0.3">
      <c r="A81" t="s">
        <v>1687</v>
      </c>
      <c r="B81" t="s">
        <v>2152</v>
      </c>
      <c r="C81" t="s">
        <v>1191</v>
      </c>
      <c r="D81">
        <v>0.98023051023483276</v>
      </c>
      <c r="E81">
        <v>0.98135232925415039</v>
      </c>
      <c r="F81">
        <v>0.98079109191894531</v>
      </c>
      <c r="G81">
        <v>8.2527491212169041E-2</v>
      </c>
      <c r="I81">
        <f t="shared" si="6"/>
        <v>1439</v>
      </c>
      <c r="J81" s="18" t="str">
        <f t="shared" si="7"/>
        <v>stainless steel as the reactor material.</v>
      </c>
      <c r="K81" s="18" t="str">
        <f t="shared" si="8"/>
        <v>stainless steel</v>
      </c>
      <c r="L81">
        <f t="shared" si="9"/>
        <v>1439</v>
      </c>
      <c r="M81" s="18" t="str">
        <f t="shared" si="10"/>
        <v xml:space="preserve">stainless steel as the reactor material.
</v>
      </c>
      <c r="N81" s="18" t="str">
        <f t="shared" si="11"/>
        <v>stainless steel</v>
      </c>
    </row>
    <row r="82" spans="1:14" x14ac:dyDescent="0.3">
      <c r="A82" t="s">
        <v>1686</v>
      </c>
      <c r="B82" t="s">
        <v>2151</v>
      </c>
      <c r="C82" t="s">
        <v>1189</v>
      </c>
      <c r="D82">
        <v>0.97217881679534912</v>
      </c>
      <c r="E82">
        <v>0.97417110204696655</v>
      </c>
      <c r="F82">
        <v>0.97317397594451904</v>
      </c>
      <c r="G82">
        <v>1.5023202292681691E-2</v>
      </c>
      <c r="I82">
        <f t="shared" si="6"/>
        <v>1450</v>
      </c>
      <c r="J82" s="18" t="str">
        <f t="shared" si="7"/>
        <v>stainless steel as the reactor material.</v>
      </c>
      <c r="K82" s="18" t="str">
        <f t="shared" si="8"/>
        <v>stainless steel</v>
      </c>
      <c r="L82">
        <f t="shared" si="9"/>
        <v>1442</v>
      </c>
      <c r="M82" s="18" t="str">
        <f t="shared" si="10"/>
        <v xml:space="preserve">stainless steel as the reactor material.
</v>
      </c>
      <c r="N82" s="18" t="str">
        <f t="shared" si="11"/>
        <v>stainless steel</v>
      </c>
    </row>
    <row r="83" spans="1:14" x14ac:dyDescent="0.3">
      <c r="A83" t="s">
        <v>1685</v>
      </c>
      <c r="B83" t="s">
        <v>2150</v>
      </c>
      <c r="C83" t="s">
        <v>1187</v>
      </c>
      <c r="D83">
        <v>0.96636778116226196</v>
      </c>
      <c r="E83">
        <v>0.96950185298919678</v>
      </c>
      <c r="F83">
        <v>0.96793228387832642</v>
      </c>
      <c r="G83">
        <v>6.9344190729943092E-2</v>
      </c>
      <c r="I83">
        <f t="shared" si="6"/>
        <v>1441</v>
      </c>
      <c r="J83" s="18" t="str">
        <f t="shared" si="7"/>
        <v>stainless steel as the reactor material.</v>
      </c>
      <c r="K83" s="18" t="str">
        <f t="shared" si="8"/>
        <v>stainless steel</v>
      </c>
      <c r="L83">
        <f t="shared" si="9"/>
        <v>1430</v>
      </c>
      <c r="M83" s="18" t="str">
        <f t="shared" si="10"/>
        <v xml:space="preserve">stainless steel as the reactor material.
</v>
      </c>
      <c r="N83" s="18" t="str">
        <f t="shared" si="11"/>
        <v>stainless steel</v>
      </c>
    </row>
    <row r="84" spans="1:14" x14ac:dyDescent="0.3">
      <c r="A84" t="s">
        <v>1684</v>
      </c>
      <c r="B84" t="s">
        <v>2149</v>
      </c>
      <c r="C84" t="s">
        <v>1185</v>
      </c>
      <c r="D84">
        <v>0.99004667997360229</v>
      </c>
      <c r="E84">
        <v>0.99012607336044312</v>
      </c>
      <c r="F84">
        <v>0.99008637666702271</v>
      </c>
      <c r="G84">
        <v>0.38471099063618719</v>
      </c>
      <c r="I84">
        <f t="shared" si="6"/>
        <v>1366</v>
      </c>
      <c r="J84" s="18" t="str">
        <f t="shared" si="7"/>
        <v>stainless steel as the reactor material.</v>
      </c>
      <c r="K84" s="18" t="str">
        <f t="shared" si="8"/>
        <v>stainless steel</v>
      </c>
      <c r="L84">
        <f t="shared" si="9"/>
        <v>1367</v>
      </c>
      <c r="M84" s="18" t="str">
        <f t="shared" si="10"/>
        <v xml:space="preserve">stainless steel as the reactor material.
</v>
      </c>
      <c r="N84" s="18" t="str">
        <f t="shared" si="11"/>
        <v>stainless steel</v>
      </c>
    </row>
    <row r="85" spans="1:14" x14ac:dyDescent="0.3">
      <c r="A85" t="s">
        <v>1739</v>
      </c>
      <c r="B85" t="s">
        <v>2148</v>
      </c>
      <c r="C85" t="s">
        <v>1295</v>
      </c>
      <c r="D85">
        <v>0.97020995616912842</v>
      </c>
      <c r="E85">
        <v>0.973907470703125</v>
      </c>
      <c r="F85">
        <v>0.97205519676208496</v>
      </c>
      <c r="G85">
        <v>0.46221725080785497</v>
      </c>
      <c r="I85">
        <f t="shared" si="6"/>
        <v>939</v>
      </c>
      <c r="J85" s="18" t="str">
        <f t="shared" si="7"/>
        <v>stainless steel as the reactor material.</v>
      </c>
      <c r="K85" s="18" t="str">
        <f t="shared" si="8"/>
        <v>stainless steel</v>
      </c>
      <c r="L85">
        <f t="shared" si="9"/>
        <v>934</v>
      </c>
      <c r="M85" s="18" t="str">
        <f t="shared" si="10"/>
        <v xml:space="preserve">stainless steel as the reactor material.
</v>
      </c>
      <c r="N85" s="18" t="str">
        <f t="shared" si="11"/>
        <v>stainless steel</v>
      </c>
    </row>
    <row r="86" spans="1:14" hidden="1" x14ac:dyDescent="0.3">
      <c r="A86" t="s">
        <v>1738</v>
      </c>
      <c r="B86" t="s">
        <v>2147</v>
      </c>
      <c r="C86" t="s">
        <v>1293</v>
      </c>
      <c r="D86">
        <v>0.9530637264251709</v>
      </c>
      <c r="E86">
        <v>0.96254026889801025</v>
      </c>
      <c r="F86">
        <v>0.95777857303619385</v>
      </c>
      <c r="G86">
        <v>3.7953623188405801</v>
      </c>
      <c r="I86">
        <f t="shared" si="6"/>
        <v>934</v>
      </c>
      <c r="J86" s="18" t="str">
        <f t="shared" si="7"/>
        <v>stainless steel as the reactor material.</v>
      </c>
      <c r="K86" s="18" t="str">
        <f t="shared" si="8"/>
        <v>stainless steel</v>
      </c>
      <c r="L86">
        <f t="shared" si="9"/>
        <v>933</v>
      </c>
      <c r="M86" s="18" t="str">
        <f t="shared" si="10"/>
        <v xml:space="preserve">stainless steel as the reactor material.
</v>
      </c>
      <c r="N86" s="18" t="str">
        <f t="shared" si="11"/>
        <v>stainless steel</v>
      </c>
    </row>
    <row r="87" spans="1:14" x14ac:dyDescent="0.3">
      <c r="A87" t="s">
        <v>1737</v>
      </c>
      <c r="B87" t="s">
        <v>2146</v>
      </c>
      <c r="C87" t="s">
        <v>1291</v>
      </c>
      <c r="D87">
        <v>0.98994779586791992</v>
      </c>
      <c r="E87">
        <v>0.98994779586791992</v>
      </c>
      <c r="F87">
        <v>0.98994779586791992</v>
      </c>
      <c r="G87">
        <v>0.41284403669724778</v>
      </c>
      <c r="I87">
        <f t="shared" si="6"/>
        <v>954</v>
      </c>
      <c r="J87" s="18" t="str">
        <f t="shared" si="7"/>
        <v>stainless steel as the reactor material.</v>
      </c>
      <c r="K87" s="18" t="str">
        <f t="shared" si="8"/>
        <v>stainless steel</v>
      </c>
      <c r="L87">
        <f t="shared" si="9"/>
        <v>953</v>
      </c>
      <c r="M87" s="18" t="str">
        <f t="shared" si="10"/>
        <v xml:space="preserve">stainless steel as the reactor material.
</v>
      </c>
      <c r="N87" s="18" t="str">
        <f t="shared" si="11"/>
        <v>stainless steel</v>
      </c>
    </row>
    <row r="88" spans="1:14" x14ac:dyDescent="0.3">
      <c r="A88" t="s">
        <v>1689</v>
      </c>
      <c r="B88" t="s">
        <v>2145</v>
      </c>
      <c r="C88" t="s">
        <v>1195</v>
      </c>
      <c r="D88">
        <v>0.97925740480422974</v>
      </c>
      <c r="E88">
        <v>0.98077863454818726</v>
      </c>
      <c r="F88">
        <v>0.98001742362976074</v>
      </c>
      <c r="G88">
        <v>4.6027471547386269E-2</v>
      </c>
      <c r="I88">
        <f t="shared" si="6"/>
        <v>1438</v>
      </c>
      <c r="J88" s="18" t="str">
        <f t="shared" si="7"/>
        <v>stainless steel as the reactor material.</v>
      </c>
      <c r="K88" s="18" t="str">
        <f t="shared" si="8"/>
        <v>stainless steel</v>
      </c>
      <c r="L88">
        <f t="shared" si="9"/>
        <v>1432</v>
      </c>
      <c r="M88" s="18" t="str">
        <f t="shared" si="10"/>
        <v xml:space="preserve">stainless steel as the reactor material.
</v>
      </c>
      <c r="N88" s="18" t="str">
        <f t="shared" si="11"/>
        <v>stainless steel</v>
      </c>
    </row>
    <row r="89" spans="1:14" x14ac:dyDescent="0.3">
      <c r="A89" t="s">
        <v>1704</v>
      </c>
      <c r="B89" t="s">
        <v>2144</v>
      </c>
      <c r="C89" t="s">
        <v>1225</v>
      </c>
      <c r="D89">
        <v>0.9863012433052063</v>
      </c>
      <c r="E89">
        <v>0.98704814910888672</v>
      </c>
      <c r="F89">
        <v>0.98667460680007935</v>
      </c>
      <c r="G89">
        <v>0.2141509471121843</v>
      </c>
      <c r="I89">
        <f t="shared" si="6"/>
        <v>1354</v>
      </c>
      <c r="J89" s="18" t="str">
        <f t="shared" si="7"/>
        <v>stainless steel as the reactor material.</v>
      </c>
      <c r="K89" s="18" t="str">
        <f t="shared" si="8"/>
        <v>stainless steel</v>
      </c>
      <c r="L89">
        <f t="shared" si="9"/>
        <v>1352</v>
      </c>
      <c r="M89" s="18" t="str">
        <f t="shared" si="10"/>
        <v xml:space="preserve">stainless steel as the reactor material.
</v>
      </c>
      <c r="N89" s="18" t="str">
        <f t="shared" si="11"/>
        <v>stainless steel</v>
      </c>
    </row>
    <row r="90" spans="1:14" x14ac:dyDescent="0.3">
      <c r="D90">
        <f>AVERAGE(D2:D89)</f>
        <v>0.97632084719159384</v>
      </c>
      <c r="E90">
        <f>AVERAGE(E2:E89)</f>
        <v>0.97711000252853741</v>
      </c>
      <c r="F90">
        <f>AVERAGE(F2:F89)</f>
        <v>0.9767130728472363</v>
      </c>
      <c r="G90">
        <f>AVERAGE(G2:G89)</f>
        <v>0.82706910048941629</v>
      </c>
    </row>
  </sheetData>
  <autoFilter ref="A1:H90" xr:uid="{60A7DD69-8B31-491D-BB4A-1C9AA73D219F}">
    <filterColumn colId="6">
      <customFilters>
        <customFilter operator="lessThanOrEqual" val="1"/>
      </customFilters>
    </filterColumn>
  </autoFilter>
  <phoneticPr fontId="1" type="noConversion"/>
  <pageMargins left="0.75" right="0.75" top="1" bottom="1" header="0.5" footer="0.5"/>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4AF26-FA49-4622-8508-EEF1F88A7E7C}">
  <dimension ref="A1:P90"/>
  <sheetViews>
    <sheetView topLeftCell="A67" workbookViewId="0">
      <selection activeCell="B2" sqref="B2"/>
    </sheetView>
  </sheetViews>
  <sheetFormatPr defaultRowHeight="14" x14ac:dyDescent="0.3"/>
  <cols>
    <col min="11" max="11" width="16.5" customWidth="1"/>
  </cols>
  <sheetData>
    <row r="1" spans="1:16" x14ac:dyDescent="0.3">
      <c r="A1" s="1" t="s">
        <v>265</v>
      </c>
      <c r="B1" s="1" t="s">
        <v>264</v>
      </c>
      <c r="C1" s="1" t="s">
        <v>263</v>
      </c>
      <c r="D1" s="1" t="s">
        <v>262</v>
      </c>
      <c r="E1" s="1" t="s">
        <v>261</v>
      </c>
      <c r="F1" s="1" t="s">
        <v>260</v>
      </c>
      <c r="G1" s="1" t="s">
        <v>259</v>
      </c>
    </row>
    <row r="2" spans="1:16" x14ac:dyDescent="0.3">
      <c r="A2" t="s">
        <v>1879</v>
      </c>
      <c r="B2" t="s">
        <v>2288</v>
      </c>
      <c r="C2" t="s">
        <v>1878</v>
      </c>
      <c r="D2">
        <v>0.99320435523986816</v>
      </c>
      <c r="E2">
        <v>0.99320435523986816</v>
      </c>
      <c r="F2">
        <v>0.99320435523986816</v>
      </c>
      <c r="G2">
        <v>5.7971014492762686E-4</v>
      </c>
      <c r="I2">
        <f>FIND("using",B2)</f>
        <v>948</v>
      </c>
      <c r="J2" s="18" t="str">
        <f>MID(B2,I2+LEN("using "),LEN(B2))</f>
        <v>stainless steel as the reactor material.</v>
      </c>
      <c r="K2" s="18" t="str">
        <f>LEFT(J2,FIND(" ",J2,FIND(" ",J2)+1)-1)</f>
        <v>stainless steel</v>
      </c>
      <c r="L2">
        <f>FIND("using",C2)</f>
        <v>952</v>
      </c>
      <c r="M2" s="18" t="str">
        <f>MID(C2,L2+LEN("using "),LEN(C2))</f>
        <v>stainless steel as the reactor material.</v>
      </c>
      <c r="N2" s="18" t="str">
        <f>LEFT(M2,FIND(" ",M2,FIND(" ",M2)+1)-1)</f>
        <v>stainless steel</v>
      </c>
      <c r="O2" s="18"/>
      <c r="P2" s="18"/>
    </row>
    <row r="3" spans="1:16" x14ac:dyDescent="0.3">
      <c r="A3" t="s">
        <v>1817</v>
      </c>
      <c r="B3" t="s">
        <v>2257</v>
      </c>
      <c r="C3" t="s">
        <v>1816</v>
      </c>
      <c r="D3">
        <v>0.99339640140533447</v>
      </c>
      <c r="E3">
        <v>0.99355161190032959</v>
      </c>
      <c r="F3">
        <v>0.99347394704818726</v>
      </c>
      <c r="G3">
        <v>2.4508934065650911E-3</v>
      </c>
      <c r="I3">
        <f t="shared" ref="I3:I66" si="0">FIND("using",B3)</f>
        <v>1467</v>
      </c>
      <c r="J3" s="18" t="str">
        <f t="shared" ref="J3:J66" si="1">MID(B3,I3+LEN("using "),LEN(B3))</f>
        <v>stainless steel as the reactor material.</v>
      </c>
      <c r="K3" s="18" t="str">
        <f t="shared" ref="K3:K66" si="2">LEFT(J3,FIND(" ",J3,FIND(" ",J3)+1)-1)</f>
        <v>stainless steel</v>
      </c>
      <c r="L3">
        <f t="shared" ref="L3:L66" si="3">FIND("using",C3)</f>
        <v>1466</v>
      </c>
      <c r="M3" s="18" t="str">
        <f t="shared" ref="M3:M66" si="4">MID(C3,L3+LEN("using "),LEN(C3))</f>
        <v>stainless steel as the reactor material.</v>
      </c>
      <c r="N3" s="18" t="str">
        <f t="shared" ref="N3:N66" si="5">LEFT(M3,FIND(" ",M3,FIND(" ",M3)+1)-1)</f>
        <v>stainless steel</v>
      </c>
    </row>
    <row r="4" spans="1:16" x14ac:dyDescent="0.3">
      <c r="A4" t="s">
        <v>1773</v>
      </c>
      <c r="B4" t="s">
        <v>2234</v>
      </c>
      <c r="C4" t="s">
        <v>1772</v>
      </c>
      <c r="D4">
        <v>0.98958563804626465</v>
      </c>
      <c r="E4">
        <v>0.99014735221862793</v>
      </c>
      <c r="F4">
        <v>0.98986637592315674</v>
      </c>
      <c r="G4">
        <v>3.402775775202671E-3</v>
      </c>
      <c r="I4">
        <f t="shared" si="0"/>
        <v>1386</v>
      </c>
      <c r="J4" s="18" t="str">
        <f t="shared" si="1"/>
        <v>stainless steel as the reactor material.</v>
      </c>
      <c r="K4" s="18" t="str">
        <f t="shared" si="2"/>
        <v>stainless steel</v>
      </c>
      <c r="L4">
        <f t="shared" si="3"/>
        <v>1386</v>
      </c>
      <c r="M4" s="18" t="str">
        <f t="shared" si="4"/>
        <v>stainless steel as the reactor material.</v>
      </c>
      <c r="N4" s="18" t="str">
        <f t="shared" si="5"/>
        <v>stainless steel</v>
      </c>
    </row>
    <row r="5" spans="1:16" x14ac:dyDescent="0.3">
      <c r="A5" t="s">
        <v>1782</v>
      </c>
      <c r="B5" t="s">
        <v>2239</v>
      </c>
      <c r="C5" t="s">
        <v>1781</v>
      </c>
      <c r="D5">
        <v>0.9808962345123291</v>
      </c>
      <c r="E5">
        <v>0.98285704851150513</v>
      </c>
      <c r="F5">
        <v>0.98187565803527832</v>
      </c>
      <c r="G5">
        <v>5.8385366612703346E-3</v>
      </c>
      <c r="I5">
        <f t="shared" si="0"/>
        <v>1457</v>
      </c>
      <c r="J5" s="18" t="str">
        <f t="shared" si="1"/>
        <v>stainless steel as the reactor material.</v>
      </c>
      <c r="K5" s="18" t="str">
        <f t="shared" si="2"/>
        <v>stainless steel</v>
      </c>
      <c r="L5">
        <f t="shared" si="3"/>
        <v>1451</v>
      </c>
      <c r="M5" s="18" t="str">
        <f t="shared" si="4"/>
        <v>stainless steel as the reactor material.</v>
      </c>
      <c r="N5" s="18" t="str">
        <f t="shared" si="5"/>
        <v>stainless steel</v>
      </c>
    </row>
    <row r="6" spans="1:16" x14ac:dyDescent="0.3">
      <c r="A6" t="s">
        <v>1776</v>
      </c>
      <c r="B6" t="s">
        <v>2236</v>
      </c>
      <c r="C6" t="s">
        <v>1775</v>
      </c>
      <c r="D6">
        <v>0.99354612827301025</v>
      </c>
      <c r="E6">
        <v>0.99337530136108398</v>
      </c>
      <c r="F6">
        <v>0.99346071481704712</v>
      </c>
      <c r="G6">
        <v>7.6276927114393104E-3</v>
      </c>
      <c r="I6">
        <f t="shared" si="0"/>
        <v>1465</v>
      </c>
      <c r="J6" s="18" t="str">
        <f t="shared" si="1"/>
        <v>stainless steel as the reactor material.</v>
      </c>
      <c r="K6" s="18" t="str">
        <f t="shared" si="2"/>
        <v>stainless steel</v>
      </c>
      <c r="L6">
        <f t="shared" si="3"/>
        <v>1461</v>
      </c>
      <c r="M6" s="18" t="str">
        <f t="shared" si="4"/>
        <v>stainless steel as the reactor material.</v>
      </c>
      <c r="N6" s="18" t="str">
        <f t="shared" si="5"/>
        <v>stainless steel</v>
      </c>
    </row>
    <row r="7" spans="1:16" x14ac:dyDescent="0.3">
      <c r="A7" t="s">
        <v>1778</v>
      </c>
      <c r="B7" t="s">
        <v>2237</v>
      </c>
      <c r="C7" t="s">
        <v>1777</v>
      </c>
      <c r="D7">
        <v>0.98618590831756592</v>
      </c>
      <c r="E7">
        <v>0.98633658885955811</v>
      </c>
      <c r="F7">
        <v>0.98626124858856201</v>
      </c>
      <c r="G7">
        <v>9.4658590846691138E-3</v>
      </c>
      <c r="I7">
        <f t="shared" si="0"/>
        <v>1458</v>
      </c>
      <c r="J7" s="18" t="str">
        <f t="shared" si="1"/>
        <v>stainless steel as the reactor material.</v>
      </c>
      <c r="K7" s="18" t="str">
        <f t="shared" si="2"/>
        <v>stainless steel</v>
      </c>
      <c r="L7">
        <f t="shared" si="3"/>
        <v>1458</v>
      </c>
      <c r="M7" s="18" t="str">
        <f t="shared" si="4"/>
        <v>stainless steel as the reactor material.</v>
      </c>
      <c r="N7" s="18" t="str">
        <f t="shared" si="5"/>
        <v>stainless steel</v>
      </c>
    </row>
    <row r="8" spans="1:16" x14ac:dyDescent="0.3">
      <c r="A8" t="s">
        <v>1823</v>
      </c>
      <c r="B8" t="s">
        <v>2260</v>
      </c>
      <c r="C8" t="s">
        <v>1822</v>
      </c>
      <c r="D8">
        <v>0.99034333229064941</v>
      </c>
      <c r="E8">
        <v>0.98988020420074463</v>
      </c>
      <c r="F8">
        <v>0.99011176824569702</v>
      </c>
      <c r="G8">
        <v>1.083150835150283E-2</v>
      </c>
      <c r="I8">
        <f t="shared" si="0"/>
        <v>1457</v>
      </c>
      <c r="J8" s="18" t="str">
        <f t="shared" si="1"/>
        <v>stainless steel as the reactor material.</v>
      </c>
      <c r="K8" s="18" t="str">
        <f t="shared" si="2"/>
        <v>stainless steel</v>
      </c>
      <c r="L8">
        <f t="shared" si="3"/>
        <v>1451</v>
      </c>
      <c r="M8" s="18" t="str">
        <f t="shared" si="4"/>
        <v>stainless steel as the reactor material.</v>
      </c>
      <c r="N8" s="18" t="str">
        <f t="shared" si="5"/>
        <v>stainless steel</v>
      </c>
    </row>
    <row r="9" spans="1:16" x14ac:dyDescent="0.3">
      <c r="A9" t="s">
        <v>1925</v>
      </c>
      <c r="B9" t="s">
        <v>2311</v>
      </c>
      <c r="C9" t="s">
        <v>1924</v>
      </c>
      <c r="D9">
        <v>0.98894202709197998</v>
      </c>
      <c r="E9">
        <v>0.98886120319366455</v>
      </c>
      <c r="F9">
        <v>0.98890155553817749</v>
      </c>
      <c r="G9">
        <v>1.253020553338223E-2</v>
      </c>
      <c r="I9">
        <f t="shared" si="0"/>
        <v>1198</v>
      </c>
      <c r="J9" s="18" t="str">
        <f t="shared" si="1"/>
        <v>carbon steel as the reactor material.</v>
      </c>
      <c r="K9" s="18" t="str">
        <f t="shared" si="2"/>
        <v>carbon steel</v>
      </c>
      <c r="L9">
        <f t="shared" si="3"/>
        <v>1199</v>
      </c>
      <c r="M9" s="18" t="str">
        <f t="shared" si="4"/>
        <v>carbon steel as the reactor material.</v>
      </c>
      <c r="N9" s="18" t="str">
        <f t="shared" si="5"/>
        <v>carbon steel</v>
      </c>
    </row>
    <row r="10" spans="1:16" x14ac:dyDescent="0.3">
      <c r="A10" t="s">
        <v>1813</v>
      </c>
      <c r="B10" t="s">
        <v>2255</v>
      </c>
      <c r="C10" t="s">
        <v>1812</v>
      </c>
      <c r="D10">
        <v>0.97145229578018188</v>
      </c>
      <c r="E10">
        <v>0.97421568632125854</v>
      </c>
      <c r="F10">
        <v>0.97283202409744263</v>
      </c>
      <c r="G10">
        <v>1.3783875294166231E-2</v>
      </c>
      <c r="I10">
        <f t="shared" si="0"/>
        <v>1457</v>
      </c>
      <c r="J10" s="18" t="str">
        <f t="shared" si="1"/>
        <v>stainless steel as the reactor material.</v>
      </c>
      <c r="K10" s="18" t="str">
        <f t="shared" si="2"/>
        <v>stainless steel</v>
      </c>
      <c r="L10">
        <f t="shared" si="3"/>
        <v>1457</v>
      </c>
      <c r="M10" s="18" t="str">
        <f t="shared" si="4"/>
        <v>stainless steel as the reactor material.</v>
      </c>
      <c r="N10" s="18" t="str">
        <f t="shared" si="5"/>
        <v>stainless steel</v>
      </c>
    </row>
    <row r="11" spans="1:16" x14ac:dyDescent="0.3">
      <c r="A11" t="s">
        <v>1803</v>
      </c>
      <c r="B11" t="s">
        <v>2250</v>
      </c>
      <c r="C11" t="s">
        <v>1802</v>
      </c>
      <c r="D11">
        <v>0.99114000797271729</v>
      </c>
      <c r="E11">
        <v>0.99104291200637817</v>
      </c>
      <c r="F11">
        <v>0.99109143018722534</v>
      </c>
      <c r="G11">
        <v>1.723121638577137E-2</v>
      </c>
      <c r="I11">
        <f t="shared" si="0"/>
        <v>1447</v>
      </c>
      <c r="J11" s="18" t="str">
        <f t="shared" si="1"/>
        <v>stainless steel as the reactor material.</v>
      </c>
      <c r="K11" s="18" t="str">
        <f t="shared" si="2"/>
        <v>stainless steel</v>
      </c>
      <c r="L11">
        <f t="shared" si="3"/>
        <v>1453</v>
      </c>
      <c r="M11" s="18" t="str">
        <f t="shared" si="4"/>
        <v>stainless steel as the reactor material.</v>
      </c>
      <c r="N11" s="18" t="str">
        <f t="shared" si="5"/>
        <v>stainless steel</v>
      </c>
    </row>
    <row r="12" spans="1:16" x14ac:dyDescent="0.3">
      <c r="A12" t="s">
        <v>1797</v>
      </c>
      <c r="B12" t="s">
        <v>2247</v>
      </c>
      <c r="C12" t="s">
        <v>2246</v>
      </c>
      <c r="D12">
        <v>0.99554562568664551</v>
      </c>
      <c r="E12">
        <v>0.99643874168395996</v>
      </c>
      <c r="F12">
        <v>0.99599200487136841</v>
      </c>
      <c r="G12">
        <v>2.1057436015107771E-2</v>
      </c>
      <c r="I12">
        <f t="shared" si="0"/>
        <v>1457</v>
      </c>
      <c r="J12" s="18" t="str">
        <f t="shared" si="1"/>
        <v>stainless steel as the reactor material.</v>
      </c>
      <c r="K12" s="18" t="str">
        <f t="shared" si="2"/>
        <v>stainless steel</v>
      </c>
      <c r="L12">
        <f t="shared" si="3"/>
        <v>1457</v>
      </c>
      <c r="M12" s="18" t="str">
        <f t="shared" si="4"/>
        <v>stainless steel as the reactor material.</v>
      </c>
      <c r="N12" s="18" t="str">
        <f t="shared" si="5"/>
        <v>stainless steel</v>
      </c>
    </row>
    <row r="13" spans="1:16" x14ac:dyDescent="0.3">
      <c r="A13" t="s">
        <v>1796</v>
      </c>
      <c r="B13" t="s">
        <v>2245</v>
      </c>
      <c r="C13" t="s">
        <v>1795</v>
      </c>
      <c r="D13">
        <v>0.99704992771148682</v>
      </c>
      <c r="E13">
        <v>0.99705874919891357</v>
      </c>
      <c r="F13">
        <v>0.9970543384552002</v>
      </c>
      <c r="G13">
        <v>2.359069369434828E-2</v>
      </c>
      <c r="I13">
        <f t="shared" si="0"/>
        <v>1454</v>
      </c>
      <c r="J13" s="18" t="str">
        <f t="shared" si="1"/>
        <v>stainless steel as the reactor material.</v>
      </c>
      <c r="K13" s="18" t="str">
        <f t="shared" si="2"/>
        <v>stainless steel</v>
      </c>
      <c r="L13">
        <f t="shared" si="3"/>
        <v>1453</v>
      </c>
      <c r="M13" s="18" t="str">
        <f t="shared" si="4"/>
        <v>stainless steel as the reactor material.</v>
      </c>
      <c r="N13" s="18" t="str">
        <f t="shared" si="5"/>
        <v>stainless steel</v>
      </c>
    </row>
    <row r="14" spans="1:16" x14ac:dyDescent="0.3">
      <c r="A14" t="s">
        <v>1792</v>
      </c>
      <c r="B14" t="s">
        <v>2244</v>
      </c>
      <c r="C14" t="s">
        <v>1791</v>
      </c>
      <c r="D14">
        <v>0.9938279390335083</v>
      </c>
      <c r="E14">
        <v>0.99406659603118896</v>
      </c>
      <c r="F14">
        <v>0.99394720792770386</v>
      </c>
      <c r="G14">
        <v>2.836367167124848E-2</v>
      </c>
      <c r="I14">
        <f t="shared" si="0"/>
        <v>1455</v>
      </c>
      <c r="J14" s="18" t="str">
        <f t="shared" si="1"/>
        <v>stainless steel as the reactor material.</v>
      </c>
      <c r="K14" s="18" t="str">
        <f t="shared" si="2"/>
        <v>stainless steel</v>
      </c>
      <c r="L14">
        <f t="shared" si="3"/>
        <v>1457</v>
      </c>
      <c r="M14" s="18" t="str">
        <f t="shared" si="4"/>
        <v>stainless steel as the reactor material.</v>
      </c>
      <c r="N14" s="18" t="str">
        <f t="shared" si="5"/>
        <v>stainless steel</v>
      </c>
    </row>
    <row r="15" spans="1:16" x14ac:dyDescent="0.3">
      <c r="A15" t="s">
        <v>1897</v>
      </c>
      <c r="B15" t="s">
        <v>2297</v>
      </c>
      <c r="C15" t="s">
        <v>1896</v>
      </c>
      <c r="D15">
        <v>0.98482012748718262</v>
      </c>
      <c r="E15">
        <v>0.98482924699783325</v>
      </c>
      <c r="F15">
        <v>0.98482471704483032</v>
      </c>
      <c r="G15">
        <v>3.1366655354632268E-2</v>
      </c>
      <c r="I15">
        <f t="shared" si="0"/>
        <v>1207</v>
      </c>
      <c r="J15" s="18" t="str">
        <f t="shared" si="1"/>
        <v>carbon steel as the reactor material.</v>
      </c>
      <c r="K15" s="18" t="str">
        <f t="shared" si="2"/>
        <v>carbon steel</v>
      </c>
      <c r="L15">
        <f t="shared" si="3"/>
        <v>1210</v>
      </c>
      <c r="M15" s="18" t="str">
        <f t="shared" si="4"/>
        <v>carbon steel as the reactor material.</v>
      </c>
      <c r="N15" s="18" t="str">
        <f t="shared" si="5"/>
        <v>carbon steel</v>
      </c>
    </row>
    <row r="16" spans="1:16" x14ac:dyDescent="0.3">
      <c r="A16" t="s">
        <v>1849</v>
      </c>
      <c r="B16" t="s">
        <v>2273</v>
      </c>
      <c r="C16" t="s">
        <v>1848</v>
      </c>
      <c r="D16">
        <v>0.98076450824737549</v>
      </c>
      <c r="E16">
        <v>0.97802907228469849</v>
      </c>
      <c r="F16">
        <v>0.97939485311508179</v>
      </c>
      <c r="G16">
        <v>3.4245528206696373E-2</v>
      </c>
      <c r="I16">
        <f t="shared" si="0"/>
        <v>954</v>
      </c>
      <c r="J16" s="18" t="str">
        <f t="shared" si="1"/>
        <v>stainless steel as the reactor material.</v>
      </c>
      <c r="K16" s="18" t="str">
        <f t="shared" si="2"/>
        <v>stainless steel</v>
      </c>
      <c r="L16">
        <f t="shared" si="3"/>
        <v>953</v>
      </c>
      <c r="M16" s="18" t="str">
        <f t="shared" si="4"/>
        <v>stainless steel as the reactor material.</v>
      </c>
      <c r="N16" s="18" t="str">
        <f t="shared" si="5"/>
        <v>stainless steel</v>
      </c>
    </row>
    <row r="17" spans="1:14" x14ac:dyDescent="0.3">
      <c r="A17" t="s">
        <v>1786</v>
      </c>
      <c r="B17" t="s">
        <v>2241</v>
      </c>
      <c r="C17" t="s">
        <v>1785</v>
      </c>
      <c r="D17">
        <v>0.99475324153900146</v>
      </c>
      <c r="E17">
        <v>0.99673354625701904</v>
      </c>
      <c r="F17">
        <v>0.99574244022369385</v>
      </c>
      <c r="G17">
        <v>4.0346055847524487E-2</v>
      </c>
      <c r="I17">
        <f t="shared" si="0"/>
        <v>1451</v>
      </c>
      <c r="J17" s="18" t="str">
        <f t="shared" si="1"/>
        <v>stainless steel as the reactor material.</v>
      </c>
      <c r="K17" s="18" t="str">
        <f t="shared" si="2"/>
        <v>stainless steel</v>
      </c>
      <c r="L17">
        <f t="shared" si="3"/>
        <v>1448</v>
      </c>
      <c r="M17" s="18" t="str">
        <f t="shared" si="4"/>
        <v>stainless steel as the reactor material.</v>
      </c>
      <c r="N17" s="18" t="str">
        <f t="shared" si="5"/>
        <v>stainless steel</v>
      </c>
    </row>
    <row r="18" spans="1:14" x14ac:dyDescent="0.3">
      <c r="A18" t="s">
        <v>1895</v>
      </c>
      <c r="B18" t="s">
        <v>2296</v>
      </c>
      <c r="C18" t="s">
        <v>1894</v>
      </c>
      <c r="D18">
        <v>0.99009978771209717</v>
      </c>
      <c r="E18">
        <v>0.99009978771209717</v>
      </c>
      <c r="F18">
        <v>0.99009978771209717</v>
      </c>
      <c r="G18">
        <v>4.0814487284197377E-2</v>
      </c>
      <c r="I18">
        <f t="shared" si="0"/>
        <v>1208</v>
      </c>
      <c r="J18" s="18" t="str">
        <f t="shared" si="1"/>
        <v>carbon steel as the reactor material.</v>
      </c>
      <c r="K18" s="18" t="str">
        <f t="shared" si="2"/>
        <v>carbon steel</v>
      </c>
      <c r="L18">
        <f t="shared" si="3"/>
        <v>1206</v>
      </c>
      <c r="M18" s="18" t="str">
        <f t="shared" si="4"/>
        <v>carbon steel as the reactor material.</v>
      </c>
      <c r="N18" s="18" t="str">
        <f t="shared" si="5"/>
        <v>carbon steel</v>
      </c>
    </row>
    <row r="19" spans="1:14" x14ac:dyDescent="0.3">
      <c r="A19" t="s">
        <v>1784</v>
      </c>
      <c r="B19" t="s">
        <v>2240</v>
      </c>
      <c r="C19" t="s">
        <v>1783</v>
      </c>
      <c r="D19">
        <v>0.97657465934753418</v>
      </c>
      <c r="E19">
        <v>0.9770514965057373</v>
      </c>
      <c r="F19">
        <v>0.97681301832199097</v>
      </c>
      <c r="G19">
        <v>4.3038665023432232E-2</v>
      </c>
      <c r="I19">
        <f t="shared" si="0"/>
        <v>1377</v>
      </c>
      <c r="J19" s="18" t="str">
        <f t="shared" si="1"/>
        <v>stainless steel as the reactor material.</v>
      </c>
      <c r="K19" s="18" t="str">
        <f t="shared" si="2"/>
        <v>stainless steel</v>
      </c>
      <c r="L19">
        <f t="shared" si="3"/>
        <v>1378</v>
      </c>
      <c r="M19" s="18" t="str">
        <f t="shared" si="4"/>
        <v>stainless steel as the reactor material.</v>
      </c>
      <c r="N19" s="18" t="str">
        <f t="shared" si="5"/>
        <v>stainless steel</v>
      </c>
    </row>
    <row r="20" spans="1:14" x14ac:dyDescent="0.3">
      <c r="A20" t="s">
        <v>1911</v>
      </c>
      <c r="B20" t="s">
        <v>2304</v>
      </c>
      <c r="C20" t="s">
        <v>1910</v>
      </c>
      <c r="D20">
        <v>0.97969615459442139</v>
      </c>
      <c r="E20">
        <v>0.98006558418273926</v>
      </c>
      <c r="F20">
        <v>0.97988080978393555</v>
      </c>
      <c r="G20">
        <v>4.957105507099404E-2</v>
      </c>
      <c r="I20">
        <f t="shared" si="0"/>
        <v>1142</v>
      </c>
      <c r="J20" s="18" t="str">
        <f t="shared" si="1"/>
        <v>carbon steel as the reactor material.</v>
      </c>
      <c r="K20" s="18" t="str">
        <f t="shared" si="2"/>
        <v>carbon steel</v>
      </c>
      <c r="L20">
        <f t="shared" si="3"/>
        <v>1137</v>
      </c>
      <c r="M20" s="18" t="str">
        <f t="shared" si="4"/>
        <v>carbon steel as the reactor material.</v>
      </c>
      <c r="N20" s="18" t="str">
        <f t="shared" si="5"/>
        <v>carbon steel</v>
      </c>
    </row>
    <row r="21" spans="1:14" x14ac:dyDescent="0.3">
      <c r="A21" t="s">
        <v>1780</v>
      </c>
      <c r="B21" t="s">
        <v>2238</v>
      </c>
      <c r="C21" t="s">
        <v>1779</v>
      </c>
      <c r="D21">
        <v>0.99562132358551025</v>
      </c>
      <c r="E21">
        <v>0.99558699131011963</v>
      </c>
      <c r="F21">
        <v>0.99560415744781494</v>
      </c>
      <c r="G21">
        <v>4.9592074091262053E-2</v>
      </c>
      <c r="I21">
        <f t="shared" si="0"/>
        <v>1453</v>
      </c>
      <c r="J21" s="18" t="str">
        <f t="shared" si="1"/>
        <v>stainless steel as the reactor material.</v>
      </c>
      <c r="K21" s="18" t="str">
        <f t="shared" si="2"/>
        <v>stainless steel</v>
      </c>
      <c r="L21">
        <f t="shared" si="3"/>
        <v>1451</v>
      </c>
      <c r="M21" s="18" t="str">
        <f t="shared" si="4"/>
        <v>stainless steel as the reactor material.</v>
      </c>
      <c r="N21" s="18" t="str">
        <f t="shared" si="5"/>
        <v>stainless steel</v>
      </c>
    </row>
    <row r="22" spans="1:14" x14ac:dyDescent="0.3">
      <c r="A22" t="s">
        <v>1819</v>
      </c>
      <c r="B22" t="s">
        <v>2258</v>
      </c>
      <c r="C22" t="s">
        <v>1818</v>
      </c>
      <c r="D22">
        <v>0.99072051048278809</v>
      </c>
      <c r="E22">
        <v>0.99015837907791138</v>
      </c>
      <c r="F22">
        <v>0.99043935537338257</v>
      </c>
      <c r="G22">
        <v>5.028509501443236E-2</v>
      </c>
      <c r="I22">
        <f t="shared" si="0"/>
        <v>1378</v>
      </c>
      <c r="J22" s="18" t="str">
        <f t="shared" si="1"/>
        <v>stainless steel as the reactor material.</v>
      </c>
      <c r="K22" s="18" t="str">
        <f t="shared" si="2"/>
        <v>stainless steel</v>
      </c>
      <c r="L22">
        <f t="shared" si="3"/>
        <v>1380</v>
      </c>
      <c r="M22" s="18" t="str">
        <f t="shared" si="4"/>
        <v>stainless steel as the reactor material.</v>
      </c>
      <c r="N22" s="18" t="str">
        <f t="shared" si="5"/>
        <v>stainless steel</v>
      </c>
    </row>
    <row r="23" spans="1:14" x14ac:dyDescent="0.3">
      <c r="A23" t="s">
        <v>1811</v>
      </c>
      <c r="B23" t="s">
        <v>2254</v>
      </c>
      <c r="C23" t="s">
        <v>1810</v>
      </c>
      <c r="D23">
        <v>0.98682349920272827</v>
      </c>
      <c r="E23">
        <v>0.98758363723754883</v>
      </c>
      <c r="F23">
        <v>0.98720341920852661</v>
      </c>
      <c r="G23">
        <v>5.2369848391150019E-2</v>
      </c>
      <c r="I23">
        <f t="shared" si="0"/>
        <v>1373</v>
      </c>
      <c r="J23" s="18" t="str">
        <f t="shared" si="1"/>
        <v>stainless steel as the reactor material.</v>
      </c>
      <c r="K23" s="18" t="str">
        <f t="shared" si="2"/>
        <v>stainless steel</v>
      </c>
      <c r="L23">
        <f t="shared" si="3"/>
        <v>1371</v>
      </c>
      <c r="M23" s="18" t="str">
        <f t="shared" si="4"/>
        <v>stainless steel as the reactor material.</v>
      </c>
      <c r="N23" s="18" t="str">
        <f t="shared" si="5"/>
        <v>stainless steel</v>
      </c>
    </row>
    <row r="24" spans="1:14" x14ac:dyDescent="0.3">
      <c r="A24" t="s">
        <v>1801</v>
      </c>
      <c r="B24" t="s">
        <v>2249</v>
      </c>
      <c r="C24" t="s">
        <v>1800</v>
      </c>
      <c r="D24">
        <v>0.99498778581619263</v>
      </c>
      <c r="E24">
        <v>0.99498832225799561</v>
      </c>
      <c r="F24">
        <v>0.99498802423477173</v>
      </c>
      <c r="G24">
        <v>5.3898058657006753E-2</v>
      </c>
      <c r="I24">
        <f t="shared" si="0"/>
        <v>1454</v>
      </c>
      <c r="J24" s="18" t="str">
        <f t="shared" si="1"/>
        <v>stainless steel as the reactor material.</v>
      </c>
      <c r="K24" s="18" t="str">
        <f t="shared" si="2"/>
        <v>stainless steel</v>
      </c>
      <c r="L24">
        <f t="shared" si="3"/>
        <v>1454</v>
      </c>
      <c r="M24" s="18" t="str">
        <f t="shared" si="4"/>
        <v>stainless steel as the reactor material.</v>
      </c>
      <c r="N24" s="18" t="str">
        <f t="shared" si="5"/>
        <v>stainless steel</v>
      </c>
    </row>
    <row r="25" spans="1:14" x14ac:dyDescent="0.3">
      <c r="A25" t="s">
        <v>1809</v>
      </c>
      <c r="B25" t="s">
        <v>2253</v>
      </c>
      <c r="C25" t="s">
        <v>1808</v>
      </c>
      <c r="D25">
        <v>0.98847997188568115</v>
      </c>
      <c r="E25">
        <v>0.98912179470062256</v>
      </c>
      <c r="F25">
        <v>0.9888007640838623</v>
      </c>
      <c r="G25">
        <v>5.8124311593878437E-2</v>
      </c>
      <c r="I25">
        <f t="shared" si="0"/>
        <v>1371</v>
      </c>
      <c r="J25" s="18" t="str">
        <f t="shared" si="1"/>
        <v>stainless steel as the reactor material.</v>
      </c>
      <c r="K25" s="18" t="str">
        <f t="shared" si="2"/>
        <v>stainless steel</v>
      </c>
      <c r="L25">
        <f t="shared" si="3"/>
        <v>1367</v>
      </c>
      <c r="M25" s="18" t="str">
        <f t="shared" si="4"/>
        <v>stainless steel as the reactor material.</v>
      </c>
      <c r="N25" s="18" t="str">
        <f t="shared" si="5"/>
        <v>stainless steel</v>
      </c>
    </row>
    <row r="26" spans="1:14" x14ac:dyDescent="0.3">
      <c r="A26" t="s">
        <v>1821</v>
      </c>
      <c r="B26" t="s">
        <v>2259</v>
      </c>
      <c r="C26" t="s">
        <v>1820</v>
      </c>
      <c r="D26">
        <v>0.98009037971496582</v>
      </c>
      <c r="E26">
        <v>0.97940778732299805</v>
      </c>
      <c r="F26">
        <v>0.97974896430969238</v>
      </c>
      <c r="G26">
        <v>5.86813468466146E-2</v>
      </c>
      <c r="I26">
        <f t="shared" si="0"/>
        <v>1458</v>
      </c>
      <c r="J26" s="18" t="str">
        <f t="shared" si="1"/>
        <v>stainless steel as the reactor material.</v>
      </c>
      <c r="K26" s="18" t="str">
        <f t="shared" si="2"/>
        <v>stainless steel</v>
      </c>
      <c r="L26">
        <f t="shared" si="3"/>
        <v>1460</v>
      </c>
      <c r="M26" s="18" t="str">
        <f t="shared" si="4"/>
        <v>stainless steel as the reactor material.</v>
      </c>
      <c r="N26" s="18" t="str">
        <f t="shared" si="5"/>
        <v>stainless steel</v>
      </c>
    </row>
    <row r="27" spans="1:14" x14ac:dyDescent="0.3">
      <c r="A27" t="s">
        <v>1788</v>
      </c>
      <c r="B27" t="s">
        <v>2242</v>
      </c>
      <c r="C27" t="s">
        <v>1787</v>
      </c>
      <c r="D27">
        <v>0.9957888126373291</v>
      </c>
      <c r="E27">
        <v>0.99580788612365723</v>
      </c>
      <c r="F27">
        <v>0.99579834938049316</v>
      </c>
      <c r="G27">
        <v>7.6602375789546262E-2</v>
      </c>
      <c r="I27">
        <f t="shared" si="0"/>
        <v>1455</v>
      </c>
      <c r="J27" s="18" t="str">
        <f t="shared" si="1"/>
        <v>stainless steel as the reactor material.</v>
      </c>
      <c r="K27" s="18" t="str">
        <f t="shared" si="2"/>
        <v>stainless steel</v>
      </c>
      <c r="L27">
        <f t="shared" si="3"/>
        <v>1455</v>
      </c>
      <c r="M27" s="18" t="str">
        <f t="shared" si="4"/>
        <v>stainless steel as the reactor material.</v>
      </c>
      <c r="N27" s="18" t="str">
        <f t="shared" si="5"/>
        <v>stainless steel</v>
      </c>
    </row>
    <row r="28" spans="1:14" x14ac:dyDescent="0.3">
      <c r="A28" t="s">
        <v>1942</v>
      </c>
      <c r="B28" t="s">
        <v>2321</v>
      </c>
      <c r="C28" t="s">
        <v>1941</v>
      </c>
      <c r="D28">
        <v>0.97755849361419678</v>
      </c>
      <c r="E28">
        <v>0.97807717323303223</v>
      </c>
      <c r="F28">
        <v>0.97781777381896973</v>
      </c>
      <c r="G28">
        <v>9.0289568176399673E-2</v>
      </c>
      <c r="I28">
        <f t="shared" si="0"/>
        <v>1208</v>
      </c>
      <c r="J28" s="18" t="str">
        <f t="shared" si="1"/>
        <v>carbon steel as the reactor material.</v>
      </c>
      <c r="K28" s="18" t="str">
        <f t="shared" si="2"/>
        <v>carbon steel</v>
      </c>
      <c r="L28">
        <f t="shared" si="3"/>
        <v>1208</v>
      </c>
      <c r="M28" s="18" t="str">
        <f t="shared" si="4"/>
        <v>carbon steel as the reactor material.</v>
      </c>
      <c r="N28" s="18" t="str">
        <f t="shared" si="5"/>
        <v>carbon steel</v>
      </c>
    </row>
    <row r="29" spans="1:14" x14ac:dyDescent="0.3">
      <c r="A29" t="s">
        <v>1907</v>
      </c>
      <c r="B29" t="s">
        <v>2302</v>
      </c>
      <c r="C29" t="s">
        <v>1906</v>
      </c>
      <c r="D29">
        <v>0.9880523681640625</v>
      </c>
      <c r="E29">
        <v>0.98792898654937744</v>
      </c>
      <c r="F29">
        <v>0.98799067735671997</v>
      </c>
      <c r="G29">
        <v>9.8434362994520005E-2</v>
      </c>
      <c r="I29">
        <f t="shared" si="0"/>
        <v>1198</v>
      </c>
      <c r="J29" s="18" t="str">
        <f t="shared" si="1"/>
        <v>carbon steel as the reactor material.</v>
      </c>
      <c r="K29" s="18" t="str">
        <f t="shared" si="2"/>
        <v>carbon steel</v>
      </c>
      <c r="L29">
        <f t="shared" si="3"/>
        <v>1202</v>
      </c>
      <c r="M29" s="18" t="str">
        <f t="shared" si="4"/>
        <v>carbon steel as the reactor material.</v>
      </c>
      <c r="N29" s="18" t="str">
        <f t="shared" si="5"/>
        <v>carbon steel</v>
      </c>
    </row>
    <row r="30" spans="1:14" x14ac:dyDescent="0.3">
      <c r="A30" t="s">
        <v>1847</v>
      </c>
      <c r="B30" t="s">
        <v>2272</v>
      </c>
      <c r="C30" t="s">
        <v>1846</v>
      </c>
      <c r="D30">
        <v>0.9888043999671936</v>
      </c>
      <c r="E30">
        <v>0.9883391261100769</v>
      </c>
      <c r="F30">
        <v>0.98857170343399048</v>
      </c>
      <c r="G30">
        <v>0.10052910052910061</v>
      </c>
      <c r="I30">
        <f t="shared" si="0"/>
        <v>969</v>
      </c>
      <c r="J30" s="18" t="str">
        <f t="shared" si="1"/>
        <v>stainless steel as the reactor material.</v>
      </c>
      <c r="K30" s="18" t="str">
        <f t="shared" si="2"/>
        <v>stainless steel</v>
      </c>
      <c r="L30">
        <f t="shared" si="3"/>
        <v>969</v>
      </c>
      <c r="M30" s="18" t="str">
        <f t="shared" si="4"/>
        <v>stainless steel as the reactor material.</v>
      </c>
      <c r="N30" s="18" t="str">
        <f t="shared" si="5"/>
        <v>stainless steel</v>
      </c>
    </row>
    <row r="31" spans="1:14" x14ac:dyDescent="0.3">
      <c r="A31" t="s">
        <v>1940</v>
      </c>
      <c r="B31" t="s">
        <v>2320</v>
      </c>
      <c r="C31" t="s">
        <v>1939</v>
      </c>
      <c r="D31">
        <v>0.98746585845947266</v>
      </c>
      <c r="E31">
        <v>0.98743736743927002</v>
      </c>
      <c r="F31">
        <v>0.98745161294937134</v>
      </c>
      <c r="G31">
        <v>0.12380594737953859</v>
      </c>
      <c r="I31">
        <f t="shared" si="0"/>
        <v>1209</v>
      </c>
      <c r="J31" s="18" t="str">
        <f t="shared" si="1"/>
        <v>carbon steel as the reactor material.</v>
      </c>
      <c r="K31" s="18" t="str">
        <f t="shared" si="2"/>
        <v>carbon steel</v>
      </c>
      <c r="L31">
        <f t="shared" si="3"/>
        <v>1210</v>
      </c>
      <c r="M31" s="18" t="str">
        <f t="shared" si="4"/>
        <v>carbon steel as the reactor material.</v>
      </c>
      <c r="N31" s="18" t="str">
        <f t="shared" si="5"/>
        <v>carbon steel</v>
      </c>
    </row>
    <row r="32" spans="1:14" x14ac:dyDescent="0.3">
      <c r="A32" t="s">
        <v>1933</v>
      </c>
      <c r="B32" t="s">
        <v>2315</v>
      </c>
      <c r="C32" t="s">
        <v>1932</v>
      </c>
      <c r="D32">
        <v>0.98857474327087402</v>
      </c>
      <c r="E32">
        <v>0.98864966630935669</v>
      </c>
      <c r="F32">
        <v>0.98861223459243774</v>
      </c>
      <c r="G32">
        <v>0.1264551157190841</v>
      </c>
      <c r="I32">
        <f t="shared" si="0"/>
        <v>1197</v>
      </c>
      <c r="J32" s="18" t="str">
        <f t="shared" si="1"/>
        <v>carbon steel as the reactor material.</v>
      </c>
      <c r="K32" s="18" t="str">
        <f t="shared" si="2"/>
        <v>carbon steel</v>
      </c>
      <c r="L32">
        <f t="shared" si="3"/>
        <v>1199</v>
      </c>
      <c r="M32" s="18" t="str">
        <f t="shared" si="4"/>
        <v>carbon steel as the reactor material.</v>
      </c>
      <c r="N32" s="18" t="str">
        <f t="shared" si="5"/>
        <v>carbon steel</v>
      </c>
    </row>
    <row r="33" spans="1:14" x14ac:dyDescent="0.3">
      <c r="A33" t="s">
        <v>1915</v>
      </c>
      <c r="B33" t="s">
        <v>2306</v>
      </c>
      <c r="C33" t="s">
        <v>1914</v>
      </c>
      <c r="D33">
        <v>0.9821394681930542</v>
      </c>
      <c r="E33">
        <v>0.98209357261657715</v>
      </c>
      <c r="F33">
        <v>0.98211652040481567</v>
      </c>
      <c r="G33">
        <v>0.13143632900133589</v>
      </c>
      <c r="I33">
        <f t="shared" si="0"/>
        <v>1210</v>
      </c>
      <c r="J33" s="18" t="str">
        <f t="shared" si="1"/>
        <v>carbon steel as the reactor material.</v>
      </c>
      <c r="K33" s="18" t="str">
        <f t="shared" si="2"/>
        <v>carbon steel</v>
      </c>
      <c r="L33">
        <f t="shared" si="3"/>
        <v>1210</v>
      </c>
      <c r="M33" s="18" t="str">
        <f t="shared" si="4"/>
        <v>carbon steel as the reactor material.</v>
      </c>
      <c r="N33" s="18" t="str">
        <f t="shared" si="5"/>
        <v>carbon steel</v>
      </c>
    </row>
    <row r="34" spans="1:14" x14ac:dyDescent="0.3">
      <c r="A34" t="s">
        <v>1931</v>
      </c>
      <c r="B34" t="s">
        <v>2314</v>
      </c>
      <c r="C34" t="s">
        <v>1930</v>
      </c>
      <c r="D34">
        <v>0.98866963386535645</v>
      </c>
      <c r="E34">
        <v>0.98875868320465088</v>
      </c>
      <c r="F34">
        <v>0.98871415853500366</v>
      </c>
      <c r="G34">
        <v>0.13178243341484369</v>
      </c>
      <c r="I34">
        <f t="shared" si="0"/>
        <v>1202</v>
      </c>
      <c r="J34" s="18" t="str">
        <f t="shared" si="1"/>
        <v>carbon steel as the reactor material.</v>
      </c>
      <c r="K34" s="18" t="str">
        <f t="shared" si="2"/>
        <v>carbon steel</v>
      </c>
      <c r="L34">
        <f t="shared" si="3"/>
        <v>1203</v>
      </c>
      <c r="M34" s="18" t="str">
        <f t="shared" si="4"/>
        <v>carbon steel as the reactor material.</v>
      </c>
      <c r="N34" s="18" t="str">
        <f t="shared" si="5"/>
        <v>carbon steel</v>
      </c>
    </row>
    <row r="35" spans="1:14" x14ac:dyDescent="0.3">
      <c r="A35" t="s">
        <v>1923</v>
      </c>
      <c r="B35" t="s">
        <v>2310</v>
      </c>
      <c r="C35" t="s">
        <v>1922</v>
      </c>
      <c r="D35">
        <v>0.9667629599571228</v>
      </c>
      <c r="E35">
        <v>0.96695524454116821</v>
      </c>
      <c r="F35">
        <v>0.96685910224914551</v>
      </c>
      <c r="G35">
        <v>0.1372332597498159</v>
      </c>
      <c r="I35">
        <f t="shared" si="0"/>
        <v>1195</v>
      </c>
      <c r="J35" s="18" t="str">
        <f t="shared" si="1"/>
        <v>carbon steel as the reactor material.</v>
      </c>
      <c r="K35" s="18" t="str">
        <f t="shared" si="2"/>
        <v>carbon steel</v>
      </c>
      <c r="L35">
        <f t="shared" si="3"/>
        <v>1195</v>
      </c>
      <c r="M35" s="18" t="str">
        <f t="shared" si="4"/>
        <v>carbon steel as the reactor material.</v>
      </c>
      <c r="N35" s="18" t="str">
        <f t="shared" si="5"/>
        <v>carbon steel</v>
      </c>
    </row>
    <row r="36" spans="1:14" x14ac:dyDescent="0.3">
      <c r="A36" t="s">
        <v>1790</v>
      </c>
      <c r="B36" t="s">
        <v>2243</v>
      </c>
      <c r="C36" t="s">
        <v>1789</v>
      </c>
      <c r="D36">
        <v>0.98821818828582764</v>
      </c>
      <c r="E36">
        <v>0.98826467990875244</v>
      </c>
      <c r="F36">
        <v>0.98824143409729004</v>
      </c>
      <c r="G36">
        <v>0.1599639314697924</v>
      </c>
      <c r="I36">
        <f t="shared" si="0"/>
        <v>1378</v>
      </c>
      <c r="J36" s="18" t="str">
        <f t="shared" si="1"/>
        <v>stainless steel as the reactor material.</v>
      </c>
      <c r="K36" s="18" t="str">
        <f t="shared" si="2"/>
        <v>stainless steel</v>
      </c>
      <c r="L36">
        <f t="shared" si="3"/>
        <v>1375</v>
      </c>
      <c r="M36" s="18" t="str">
        <f t="shared" si="4"/>
        <v>stainless steel as the reactor material.</v>
      </c>
      <c r="N36" s="18" t="str">
        <f t="shared" si="5"/>
        <v>stainless steel</v>
      </c>
    </row>
    <row r="37" spans="1:14" x14ac:dyDescent="0.3">
      <c r="A37" t="s">
        <v>1905</v>
      </c>
      <c r="B37" t="s">
        <v>2301</v>
      </c>
      <c r="C37" t="s">
        <v>1904</v>
      </c>
      <c r="D37">
        <v>0.98647701740264893</v>
      </c>
      <c r="E37">
        <v>0.98665726184844971</v>
      </c>
      <c r="F37">
        <v>0.98656713962554932</v>
      </c>
      <c r="G37">
        <v>0.16145457667868809</v>
      </c>
      <c r="I37">
        <f t="shared" si="0"/>
        <v>1207</v>
      </c>
      <c r="J37" s="18" t="str">
        <f t="shared" si="1"/>
        <v>carbon steel as the reactor material.</v>
      </c>
      <c r="K37" s="18" t="str">
        <f t="shared" si="2"/>
        <v>carbon steel</v>
      </c>
      <c r="L37">
        <f t="shared" si="3"/>
        <v>1205</v>
      </c>
      <c r="M37" s="18" t="str">
        <f t="shared" si="4"/>
        <v>carbon steel as the reactor material.</v>
      </c>
      <c r="N37" s="18" t="str">
        <f t="shared" si="5"/>
        <v>carbon steel</v>
      </c>
    </row>
    <row r="38" spans="1:14" x14ac:dyDescent="0.3">
      <c r="A38" t="s">
        <v>1883</v>
      </c>
      <c r="B38" t="s">
        <v>2290</v>
      </c>
      <c r="C38" t="s">
        <v>1882</v>
      </c>
      <c r="D38">
        <v>0.97077500820159912</v>
      </c>
      <c r="E38">
        <v>0.97604846954345703</v>
      </c>
      <c r="F38">
        <v>0.97340458631515503</v>
      </c>
      <c r="G38">
        <v>0.17858267716535439</v>
      </c>
      <c r="I38">
        <f t="shared" si="0"/>
        <v>973</v>
      </c>
      <c r="J38" s="18" t="str">
        <f t="shared" si="1"/>
        <v>stainless steel as the reactor material.</v>
      </c>
      <c r="K38" s="18" t="str">
        <f t="shared" si="2"/>
        <v>stainless steel</v>
      </c>
      <c r="L38">
        <f t="shared" si="3"/>
        <v>973</v>
      </c>
      <c r="M38" s="18" t="str">
        <f t="shared" si="4"/>
        <v>stainless steel as the reactor material.</v>
      </c>
      <c r="N38" s="18" t="str">
        <f t="shared" si="5"/>
        <v>stainless steel</v>
      </c>
    </row>
    <row r="39" spans="1:14" x14ac:dyDescent="0.3">
      <c r="A39" t="s">
        <v>1935</v>
      </c>
      <c r="B39" t="s">
        <v>2316</v>
      </c>
      <c r="C39" t="s">
        <v>1934</v>
      </c>
      <c r="D39">
        <v>0.97297704219818115</v>
      </c>
      <c r="E39">
        <v>0.9728473424911499</v>
      </c>
      <c r="F39">
        <v>0.97291219234466553</v>
      </c>
      <c r="G39">
        <v>0.19406766030452521</v>
      </c>
      <c r="I39">
        <f t="shared" si="0"/>
        <v>1211</v>
      </c>
      <c r="J39" s="18" t="str">
        <f t="shared" si="1"/>
        <v>carbon steel as the reactor material.</v>
      </c>
      <c r="K39" s="18" t="str">
        <f t="shared" si="2"/>
        <v>carbon steel</v>
      </c>
      <c r="L39">
        <f t="shared" si="3"/>
        <v>1207</v>
      </c>
      <c r="M39" s="18" t="str">
        <f t="shared" si="4"/>
        <v>carbon steel as the reactor material.</v>
      </c>
      <c r="N39" s="18" t="str">
        <f t="shared" si="5"/>
        <v>carbon steel</v>
      </c>
    </row>
    <row r="40" spans="1:14" x14ac:dyDescent="0.3">
      <c r="A40" t="s">
        <v>1815</v>
      </c>
      <c r="B40" t="s">
        <v>2256</v>
      </c>
      <c r="C40" t="s">
        <v>1814</v>
      </c>
      <c r="D40">
        <v>0.96556490659713745</v>
      </c>
      <c r="E40">
        <v>0.96266305446624756</v>
      </c>
      <c r="F40">
        <v>0.9641118049621582</v>
      </c>
      <c r="G40">
        <v>0.1941385674114379</v>
      </c>
      <c r="I40">
        <f t="shared" si="0"/>
        <v>1380</v>
      </c>
      <c r="J40" s="18" t="str">
        <f t="shared" si="1"/>
        <v>stainless steel as the reactor material.</v>
      </c>
      <c r="K40" s="18" t="str">
        <f t="shared" si="2"/>
        <v>stainless steel</v>
      </c>
      <c r="L40">
        <f t="shared" si="3"/>
        <v>1380</v>
      </c>
      <c r="M40" s="18" t="str">
        <f t="shared" si="4"/>
        <v>stainless steel as the reactor material.</v>
      </c>
      <c r="N40" s="18" t="str">
        <f t="shared" si="5"/>
        <v>stainless steel</v>
      </c>
    </row>
    <row r="41" spans="1:14" x14ac:dyDescent="0.3">
      <c r="A41" t="s">
        <v>1929</v>
      </c>
      <c r="B41" t="s">
        <v>2313</v>
      </c>
      <c r="C41" t="s">
        <v>1928</v>
      </c>
      <c r="D41">
        <v>0.98807603120803833</v>
      </c>
      <c r="E41">
        <v>0.98802512884140015</v>
      </c>
      <c r="F41">
        <v>0.98805058002471924</v>
      </c>
      <c r="G41">
        <v>0.1955940377027619</v>
      </c>
      <c r="I41">
        <f t="shared" si="0"/>
        <v>1198</v>
      </c>
      <c r="J41" s="18" t="str">
        <f t="shared" si="1"/>
        <v>carbon steel as the reactor material.</v>
      </c>
      <c r="K41" s="18" t="str">
        <f t="shared" si="2"/>
        <v>carbon steel</v>
      </c>
      <c r="L41">
        <f t="shared" si="3"/>
        <v>1198</v>
      </c>
      <c r="M41" s="18" t="str">
        <f t="shared" si="4"/>
        <v>carbon steel as the reactor material.</v>
      </c>
      <c r="N41" s="18" t="str">
        <f t="shared" si="5"/>
        <v>carbon steel</v>
      </c>
    </row>
    <row r="42" spans="1:14" x14ac:dyDescent="0.3">
      <c r="A42" t="s">
        <v>1837</v>
      </c>
      <c r="B42" t="s">
        <v>2267</v>
      </c>
      <c r="C42" t="s">
        <v>1836</v>
      </c>
      <c r="D42">
        <v>0.972281813621521</v>
      </c>
      <c r="E42">
        <v>0.97560930252075195</v>
      </c>
      <c r="F42">
        <v>0.97394275665283203</v>
      </c>
      <c r="G42">
        <v>0.19685944082726931</v>
      </c>
      <c r="I42">
        <f t="shared" si="0"/>
        <v>972</v>
      </c>
      <c r="J42" s="18" t="str">
        <f t="shared" si="1"/>
        <v>stainless steel as the reactor material.</v>
      </c>
      <c r="K42" s="18" t="str">
        <f t="shared" si="2"/>
        <v>stainless steel</v>
      </c>
      <c r="L42">
        <f t="shared" si="3"/>
        <v>973</v>
      </c>
      <c r="M42" s="18" t="str">
        <f t="shared" si="4"/>
        <v>stainless steel as the reactor material.</v>
      </c>
      <c r="N42" s="18" t="str">
        <f t="shared" si="5"/>
        <v>stainless steel</v>
      </c>
    </row>
    <row r="43" spans="1:14" x14ac:dyDescent="0.3">
      <c r="A43" t="s">
        <v>1853</v>
      </c>
      <c r="B43" t="s">
        <v>2275</v>
      </c>
      <c r="C43" t="s">
        <v>1852</v>
      </c>
      <c r="D43">
        <v>0.97690188884735107</v>
      </c>
      <c r="E43">
        <v>0.97466975450515747</v>
      </c>
      <c r="F43">
        <v>0.9757845401763916</v>
      </c>
      <c r="G43">
        <v>0.2000588408355399</v>
      </c>
      <c r="I43">
        <f t="shared" si="0"/>
        <v>968</v>
      </c>
      <c r="J43" s="18" t="str">
        <f t="shared" si="1"/>
        <v>stainless steel as the reactor material.</v>
      </c>
      <c r="K43" s="18" t="str">
        <f t="shared" si="2"/>
        <v>stainless steel</v>
      </c>
      <c r="L43">
        <f t="shared" si="3"/>
        <v>973</v>
      </c>
      <c r="M43" s="18" t="str">
        <f t="shared" si="4"/>
        <v>stainless steel as the reactor material.</v>
      </c>
      <c r="N43" s="18" t="str">
        <f t="shared" si="5"/>
        <v>stainless steel</v>
      </c>
    </row>
    <row r="44" spans="1:14" x14ac:dyDescent="0.3">
      <c r="A44" t="s">
        <v>1889</v>
      </c>
      <c r="B44" t="s">
        <v>2293</v>
      </c>
      <c r="C44" t="s">
        <v>1888</v>
      </c>
      <c r="D44">
        <v>0.98527514934539795</v>
      </c>
      <c r="E44">
        <v>0.98535650968551636</v>
      </c>
      <c r="F44">
        <v>0.98531585931777954</v>
      </c>
      <c r="G44">
        <v>0.2015378591600922</v>
      </c>
      <c r="I44">
        <f t="shared" si="0"/>
        <v>1199</v>
      </c>
      <c r="J44" s="18" t="str">
        <f t="shared" si="1"/>
        <v>carbon steel as the reactor material.</v>
      </c>
      <c r="K44" s="18" t="str">
        <f t="shared" si="2"/>
        <v>carbon steel</v>
      </c>
      <c r="L44">
        <f t="shared" si="3"/>
        <v>1206</v>
      </c>
      <c r="M44" s="18" t="str">
        <f t="shared" si="4"/>
        <v>carbon steel as the reactor material.</v>
      </c>
      <c r="N44" s="18" t="str">
        <f t="shared" si="5"/>
        <v>carbon steel</v>
      </c>
    </row>
    <row r="45" spans="1:14" x14ac:dyDescent="0.3">
      <c r="A45" t="s">
        <v>1831</v>
      </c>
      <c r="B45" t="s">
        <v>2264</v>
      </c>
      <c r="C45" t="s">
        <v>1830</v>
      </c>
      <c r="D45">
        <v>0.98678195476531982</v>
      </c>
      <c r="E45">
        <v>0.98678070306777954</v>
      </c>
      <c r="F45">
        <v>0.98678129911422729</v>
      </c>
      <c r="G45">
        <v>0.20169252468265161</v>
      </c>
      <c r="I45">
        <f t="shared" si="0"/>
        <v>953</v>
      </c>
      <c r="J45" s="18" t="str">
        <f t="shared" si="1"/>
        <v>stainless steel as the reactor material.</v>
      </c>
      <c r="K45" s="18" t="str">
        <f t="shared" si="2"/>
        <v>stainless steel</v>
      </c>
      <c r="L45">
        <f t="shared" si="3"/>
        <v>953</v>
      </c>
      <c r="M45" s="18" t="str">
        <f t="shared" si="4"/>
        <v>stainless steel as the reactor material.</v>
      </c>
      <c r="N45" s="18" t="str">
        <f t="shared" si="5"/>
        <v>stainless steel</v>
      </c>
    </row>
    <row r="46" spans="1:14" x14ac:dyDescent="0.3">
      <c r="A46" t="s">
        <v>1807</v>
      </c>
      <c r="B46" t="s">
        <v>2252</v>
      </c>
      <c r="C46" t="s">
        <v>1806</v>
      </c>
      <c r="D46">
        <v>0.97784781455993652</v>
      </c>
      <c r="E46">
        <v>0.97886073589324951</v>
      </c>
      <c r="F46">
        <v>0.97835397720336914</v>
      </c>
      <c r="G46">
        <v>0.22320128868690781</v>
      </c>
      <c r="I46">
        <f t="shared" si="0"/>
        <v>1378</v>
      </c>
      <c r="J46" s="18" t="str">
        <f t="shared" si="1"/>
        <v>stainless steel as the reactor material.</v>
      </c>
      <c r="K46" s="18" t="str">
        <f t="shared" si="2"/>
        <v>stainless steel</v>
      </c>
      <c r="L46">
        <f t="shared" si="3"/>
        <v>1378</v>
      </c>
      <c r="M46" s="18" t="str">
        <f t="shared" si="4"/>
        <v>stainless steel as the reactor material.</v>
      </c>
      <c r="N46" s="18" t="str">
        <f t="shared" si="5"/>
        <v>stainless steel</v>
      </c>
    </row>
    <row r="47" spans="1:14" x14ac:dyDescent="0.3">
      <c r="A47" t="s">
        <v>1825</v>
      </c>
      <c r="B47" t="s">
        <v>2261</v>
      </c>
      <c r="C47" t="s">
        <v>1824</v>
      </c>
      <c r="D47">
        <v>0.9821469783782959</v>
      </c>
      <c r="E47">
        <v>0.98187124729156494</v>
      </c>
      <c r="F47">
        <v>0.98200911283493042</v>
      </c>
      <c r="G47">
        <v>0.22373019373664041</v>
      </c>
      <c r="I47">
        <f t="shared" si="0"/>
        <v>1370</v>
      </c>
      <c r="J47" s="18" t="str">
        <f t="shared" si="1"/>
        <v>stainless steel as the reactor material.</v>
      </c>
      <c r="K47" s="18" t="str">
        <f t="shared" si="2"/>
        <v>stainless steel</v>
      </c>
      <c r="L47">
        <f t="shared" si="3"/>
        <v>1361</v>
      </c>
      <c r="M47" s="18" t="str">
        <f t="shared" si="4"/>
        <v>stainless steel as the reactor material.</v>
      </c>
      <c r="N47" s="18" t="str">
        <f t="shared" si="5"/>
        <v>stainless steel</v>
      </c>
    </row>
    <row r="48" spans="1:14" x14ac:dyDescent="0.3">
      <c r="A48" t="s">
        <v>1887</v>
      </c>
      <c r="B48" t="s">
        <v>2292</v>
      </c>
      <c r="C48" t="s">
        <v>1886</v>
      </c>
      <c r="D48">
        <v>0.98145580291748047</v>
      </c>
      <c r="E48">
        <v>0.98145580291748047</v>
      </c>
      <c r="F48">
        <v>0.98145580291748047</v>
      </c>
      <c r="G48">
        <v>0.2283634897065023</v>
      </c>
      <c r="I48">
        <f t="shared" si="0"/>
        <v>1199</v>
      </c>
      <c r="J48" s="18" t="str">
        <f t="shared" si="1"/>
        <v>carbon steel as the reactor material.</v>
      </c>
      <c r="K48" s="18" t="str">
        <f t="shared" si="2"/>
        <v>carbon steel</v>
      </c>
      <c r="L48">
        <f t="shared" si="3"/>
        <v>1193</v>
      </c>
      <c r="M48" s="18" t="str">
        <f t="shared" si="4"/>
        <v>carbon steel as the reactor material.</v>
      </c>
      <c r="N48" s="18" t="str">
        <f t="shared" si="5"/>
        <v>carbon steel</v>
      </c>
    </row>
    <row r="49" spans="1:14" x14ac:dyDescent="0.3">
      <c r="A49" t="s">
        <v>1827</v>
      </c>
      <c r="B49" t="s">
        <v>2262</v>
      </c>
      <c r="C49" t="s">
        <v>1826</v>
      </c>
      <c r="D49">
        <v>0.97204244136810303</v>
      </c>
      <c r="E49">
        <v>0.9756506085395813</v>
      </c>
      <c r="F49">
        <v>0.97384315729141235</v>
      </c>
      <c r="G49">
        <v>0.23016134343101749</v>
      </c>
      <c r="I49">
        <f t="shared" si="0"/>
        <v>952</v>
      </c>
      <c r="J49" s="18" t="str">
        <f t="shared" si="1"/>
        <v>stainless steel as the reactor material.</v>
      </c>
      <c r="K49" s="18" t="str">
        <f t="shared" si="2"/>
        <v>stainless steel</v>
      </c>
      <c r="L49">
        <f t="shared" si="3"/>
        <v>953</v>
      </c>
      <c r="M49" s="18" t="str">
        <f t="shared" si="4"/>
        <v>stainless steel as the reactor material.</v>
      </c>
      <c r="N49" s="18" t="str">
        <f t="shared" si="5"/>
        <v>stainless steel</v>
      </c>
    </row>
    <row r="50" spans="1:14" x14ac:dyDescent="0.3">
      <c r="A50" t="s">
        <v>1799</v>
      </c>
      <c r="B50" t="s">
        <v>2248</v>
      </c>
      <c r="C50" t="s">
        <v>1798</v>
      </c>
      <c r="D50">
        <v>0.96709716320037842</v>
      </c>
      <c r="E50">
        <v>0.9663316011428833</v>
      </c>
      <c r="F50">
        <v>0.96671426296234131</v>
      </c>
      <c r="G50">
        <v>0.2307471490563289</v>
      </c>
      <c r="I50">
        <f t="shared" si="0"/>
        <v>1373</v>
      </c>
      <c r="J50" s="18" t="str">
        <f t="shared" si="1"/>
        <v>stainless steel as the reactor material.</v>
      </c>
      <c r="K50" s="18" t="str">
        <f t="shared" si="2"/>
        <v>stainless steel</v>
      </c>
      <c r="L50">
        <f t="shared" si="3"/>
        <v>1374</v>
      </c>
      <c r="M50" s="18" t="str">
        <f t="shared" si="4"/>
        <v>stainless steel as the reactor material.</v>
      </c>
      <c r="N50" s="18" t="str">
        <f t="shared" si="5"/>
        <v>stainless steel</v>
      </c>
    </row>
    <row r="51" spans="1:14" x14ac:dyDescent="0.3">
      <c r="A51" t="s">
        <v>1901</v>
      </c>
      <c r="B51" t="s">
        <v>2299</v>
      </c>
      <c r="C51" t="s">
        <v>1900</v>
      </c>
      <c r="D51">
        <v>0.98715454339981079</v>
      </c>
      <c r="E51">
        <v>0.98714256286621094</v>
      </c>
      <c r="F51">
        <v>0.98714858293533325</v>
      </c>
      <c r="G51">
        <v>0.23799480856586641</v>
      </c>
      <c r="I51">
        <f t="shared" si="0"/>
        <v>1192</v>
      </c>
      <c r="J51" s="18" t="str">
        <f t="shared" si="1"/>
        <v>carbon steel as the reactor material.</v>
      </c>
      <c r="K51" s="18" t="str">
        <f t="shared" si="2"/>
        <v>carbon steel</v>
      </c>
      <c r="L51">
        <f t="shared" si="3"/>
        <v>1192</v>
      </c>
      <c r="M51" s="18" t="str">
        <f t="shared" si="4"/>
        <v>carbon steel as the reactor material.</v>
      </c>
      <c r="N51" s="18" t="str">
        <f t="shared" si="5"/>
        <v>carbon steel</v>
      </c>
    </row>
    <row r="52" spans="1:14" x14ac:dyDescent="0.3">
      <c r="A52" t="s">
        <v>1921</v>
      </c>
      <c r="B52" t="s">
        <v>2309</v>
      </c>
      <c r="C52" t="s">
        <v>1920</v>
      </c>
      <c r="D52">
        <v>0.97485744953155518</v>
      </c>
      <c r="E52">
        <v>0.97486037015914917</v>
      </c>
      <c r="F52">
        <v>0.97485893964767456</v>
      </c>
      <c r="G52">
        <v>0.24303681817453229</v>
      </c>
      <c r="I52">
        <f t="shared" si="0"/>
        <v>1211</v>
      </c>
      <c r="J52" s="18" t="str">
        <f t="shared" si="1"/>
        <v>carbon steel as the reactor material.</v>
      </c>
      <c r="K52" s="18" t="str">
        <f t="shared" si="2"/>
        <v>carbon steel</v>
      </c>
      <c r="L52">
        <f t="shared" si="3"/>
        <v>1205</v>
      </c>
      <c r="M52" s="18" t="str">
        <f t="shared" si="4"/>
        <v>carbon steel as the reactor material.</v>
      </c>
      <c r="N52" s="18" t="str">
        <f t="shared" si="5"/>
        <v>carbon steel</v>
      </c>
    </row>
    <row r="53" spans="1:14" x14ac:dyDescent="0.3">
      <c r="A53" t="s">
        <v>1835</v>
      </c>
      <c r="B53" t="s">
        <v>2266</v>
      </c>
      <c r="C53" t="s">
        <v>1834</v>
      </c>
      <c r="D53">
        <v>0.98821830749511719</v>
      </c>
      <c r="E53">
        <v>0.98766964673995972</v>
      </c>
      <c r="F53">
        <v>0.98794382810592651</v>
      </c>
      <c r="G53">
        <v>0.25920964501004701</v>
      </c>
      <c r="I53">
        <f t="shared" si="0"/>
        <v>968</v>
      </c>
      <c r="J53" s="18" t="str">
        <f t="shared" si="1"/>
        <v>stainless steel as the reactor material.</v>
      </c>
      <c r="K53" s="18" t="str">
        <f t="shared" si="2"/>
        <v>stainless steel</v>
      </c>
      <c r="L53">
        <f t="shared" si="3"/>
        <v>969</v>
      </c>
      <c r="M53" s="18" t="str">
        <f t="shared" si="4"/>
        <v>stainless steel as the reactor material.</v>
      </c>
      <c r="N53" s="18" t="str">
        <f t="shared" si="5"/>
        <v>stainless steel</v>
      </c>
    </row>
    <row r="54" spans="1:14" x14ac:dyDescent="0.3">
      <c r="A54" t="s">
        <v>1893</v>
      </c>
      <c r="B54" t="s">
        <v>2295</v>
      </c>
      <c r="C54" t="s">
        <v>1892</v>
      </c>
      <c r="D54">
        <v>0.99068349599838257</v>
      </c>
      <c r="E54">
        <v>0.99068349599838257</v>
      </c>
      <c r="F54">
        <v>0.99068349599838257</v>
      </c>
      <c r="G54">
        <v>0.26385050439365798</v>
      </c>
      <c r="I54">
        <f t="shared" si="0"/>
        <v>1203</v>
      </c>
      <c r="J54" s="18" t="str">
        <f t="shared" si="1"/>
        <v>carbon steel as the reactor material.</v>
      </c>
      <c r="K54" s="18" t="str">
        <f t="shared" si="2"/>
        <v>carbon steel</v>
      </c>
      <c r="L54">
        <f t="shared" si="3"/>
        <v>1204</v>
      </c>
      <c r="M54" s="18" t="str">
        <f t="shared" si="4"/>
        <v>carbon steel as the reactor material.</v>
      </c>
      <c r="N54" s="18" t="str">
        <f t="shared" si="5"/>
        <v>carbon steel</v>
      </c>
    </row>
    <row r="55" spans="1:14" x14ac:dyDescent="0.3">
      <c r="A55" t="s">
        <v>1909</v>
      </c>
      <c r="B55" t="s">
        <v>2303</v>
      </c>
      <c r="C55" t="s">
        <v>1908</v>
      </c>
      <c r="D55">
        <v>0.99055951833724976</v>
      </c>
      <c r="E55">
        <v>0.99055951833724976</v>
      </c>
      <c r="F55">
        <v>0.99055951833724976</v>
      </c>
      <c r="G55">
        <v>0.26639661774796908</v>
      </c>
      <c r="I55">
        <f t="shared" si="0"/>
        <v>1200</v>
      </c>
      <c r="J55" s="18" t="str">
        <f t="shared" si="1"/>
        <v>carbon steel as the reactor material.</v>
      </c>
      <c r="K55" s="18" t="str">
        <f t="shared" si="2"/>
        <v>carbon steel</v>
      </c>
      <c r="L55">
        <f t="shared" si="3"/>
        <v>1200</v>
      </c>
      <c r="M55" s="18" t="str">
        <f t="shared" si="4"/>
        <v>carbon steel as the reactor material.</v>
      </c>
      <c r="N55" s="18" t="str">
        <f t="shared" si="5"/>
        <v>carbon steel</v>
      </c>
    </row>
    <row r="56" spans="1:14" x14ac:dyDescent="0.3">
      <c r="A56" t="s">
        <v>1913</v>
      </c>
      <c r="B56" t="s">
        <v>2305</v>
      </c>
      <c r="C56" t="s">
        <v>1912</v>
      </c>
      <c r="D56">
        <v>0.97372233867645264</v>
      </c>
      <c r="E56">
        <v>0.97379732131958008</v>
      </c>
      <c r="F56">
        <v>0.97375982999801636</v>
      </c>
      <c r="G56">
        <v>0.28373452869022991</v>
      </c>
      <c r="I56">
        <f t="shared" si="0"/>
        <v>1197</v>
      </c>
      <c r="J56" s="18" t="str">
        <f t="shared" si="1"/>
        <v>carbon steel as the reactor material.</v>
      </c>
      <c r="K56" s="18" t="str">
        <f t="shared" si="2"/>
        <v>carbon steel</v>
      </c>
      <c r="L56">
        <f t="shared" si="3"/>
        <v>1201</v>
      </c>
      <c r="M56" s="18" t="str">
        <f t="shared" si="4"/>
        <v>carbon steel as the reactor material.</v>
      </c>
      <c r="N56" s="18" t="str">
        <f t="shared" si="5"/>
        <v>carbon steel</v>
      </c>
    </row>
    <row r="57" spans="1:14" x14ac:dyDescent="0.3">
      <c r="A57" t="s">
        <v>1871</v>
      </c>
      <c r="B57" t="s">
        <v>2284</v>
      </c>
      <c r="C57" t="s">
        <v>1870</v>
      </c>
      <c r="D57">
        <v>0.96061521768569946</v>
      </c>
      <c r="E57">
        <v>0.96725982427597046</v>
      </c>
      <c r="F57">
        <v>0.96392607688903809</v>
      </c>
      <c r="G57">
        <v>0.28644175684277529</v>
      </c>
      <c r="I57">
        <f t="shared" si="0"/>
        <v>969</v>
      </c>
      <c r="J57" s="18" t="str">
        <f t="shared" si="1"/>
        <v>stainless steel as the reactor material.</v>
      </c>
      <c r="K57" s="18" t="str">
        <f t="shared" si="2"/>
        <v>stainless steel</v>
      </c>
      <c r="L57">
        <f t="shared" si="3"/>
        <v>969</v>
      </c>
      <c r="M57" s="18" t="str">
        <f t="shared" si="4"/>
        <v>stainless steel as the reactor material.</v>
      </c>
      <c r="N57" s="18" t="str">
        <f t="shared" si="5"/>
        <v>stainless steel</v>
      </c>
    </row>
    <row r="58" spans="1:14" x14ac:dyDescent="0.3">
      <c r="A58" t="s">
        <v>1927</v>
      </c>
      <c r="B58" t="s">
        <v>2312</v>
      </c>
      <c r="C58" t="s">
        <v>1926</v>
      </c>
      <c r="D58">
        <v>0.98861640691757202</v>
      </c>
      <c r="E58">
        <v>0.98882937431335449</v>
      </c>
      <c r="F58">
        <v>0.98872280120849609</v>
      </c>
      <c r="G58">
        <v>0.29112247269346969</v>
      </c>
      <c r="I58">
        <f t="shared" si="0"/>
        <v>1189</v>
      </c>
      <c r="J58" s="18" t="str">
        <f t="shared" si="1"/>
        <v>carbon steel as the reactor material.</v>
      </c>
      <c r="K58" s="18" t="str">
        <f t="shared" si="2"/>
        <v>carbon steel</v>
      </c>
      <c r="L58">
        <f t="shared" si="3"/>
        <v>1189</v>
      </c>
      <c r="M58" s="18" t="str">
        <f t="shared" si="4"/>
        <v>carbon steel as the reactor material.</v>
      </c>
      <c r="N58" s="18" t="str">
        <f t="shared" si="5"/>
        <v>carbon steel</v>
      </c>
    </row>
    <row r="59" spans="1:14" x14ac:dyDescent="0.3">
      <c r="A59" t="s">
        <v>1861</v>
      </c>
      <c r="B59" t="s">
        <v>2279</v>
      </c>
      <c r="C59" t="s">
        <v>1860</v>
      </c>
      <c r="D59">
        <v>0.991507887840271</v>
      </c>
      <c r="E59">
        <v>0.9913145899772644</v>
      </c>
      <c r="F59">
        <v>0.99141120910644531</v>
      </c>
      <c r="G59">
        <v>0.35230506545247581</v>
      </c>
      <c r="I59">
        <f t="shared" si="0"/>
        <v>969</v>
      </c>
      <c r="J59" s="18" t="str">
        <f t="shared" si="1"/>
        <v>stainless steel as the reactor material.</v>
      </c>
      <c r="K59" s="18" t="str">
        <f t="shared" si="2"/>
        <v>stainless steel</v>
      </c>
      <c r="L59">
        <f t="shared" si="3"/>
        <v>968</v>
      </c>
      <c r="M59" s="18" t="str">
        <f t="shared" si="4"/>
        <v>stainless steel as the reactor material.</v>
      </c>
      <c r="N59" s="18" t="str">
        <f t="shared" si="5"/>
        <v>stainless steel</v>
      </c>
    </row>
    <row r="60" spans="1:14" x14ac:dyDescent="0.3">
      <c r="A60" t="s">
        <v>1891</v>
      </c>
      <c r="B60" t="s">
        <v>2294</v>
      </c>
      <c r="C60" t="s">
        <v>1890</v>
      </c>
      <c r="D60">
        <v>0.98921710252761841</v>
      </c>
      <c r="E60">
        <v>0.9890981912612915</v>
      </c>
      <c r="F60">
        <v>0.98915761709213257</v>
      </c>
      <c r="G60">
        <v>0.36188824203802678</v>
      </c>
      <c r="I60">
        <f t="shared" si="0"/>
        <v>1198</v>
      </c>
      <c r="J60" s="18" t="str">
        <f t="shared" si="1"/>
        <v>carbon steel as the reactor material.</v>
      </c>
      <c r="K60" s="18" t="str">
        <f t="shared" si="2"/>
        <v>carbon steel</v>
      </c>
      <c r="L60">
        <f t="shared" si="3"/>
        <v>1200</v>
      </c>
      <c r="M60" s="18" t="str">
        <f t="shared" si="4"/>
        <v>carbon steel as the reactor material.</v>
      </c>
      <c r="N60" s="18" t="str">
        <f t="shared" si="5"/>
        <v>carbon steel</v>
      </c>
    </row>
    <row r="61" spans="1:14" x14ac:dyDescent="0.3">
      <c r="A61" t="s">
        <v>1855</v>
      </c>
      <c r="B61" t="s">
        <v>2276</v>
      </c>
      <c r="C61" t="s">
        <v>1854</v>
      </c>
      <c r="D61">
        <v>0.98927521705627441</v>
      </c>
      <c r="E61">
        <v>0.98924577236175537</v>
      </c>
      <c r="F61">
        <v>0.98926049470901489</v>
      </c>
      <c r="G61">
        <v>0.38132183908045969</v>
      </c>
      <c r="I61">
        <f t="shared" si="0"/>
        <v>972</v>
      </c>
      <c r="J61" s="18" t="str">
        <f t="shared" si="1"/>
        <v>stainless steel as the reactor material.</v>
      </c>
      <c r="K61" s="18" t="str">
        <f t="shared" si="2"/>
        <v>stainless steel</v>
      </c>
      <c r="L61">
        <f t="shared" si="3"/>
        <v>971</v>
      </c>
      <c r="M61" s="18" t="str">
        <f t="shared" si="4"/>
        <v>stainless steel as the reactor material.</v>
      </c>
      <c r="N61" s="18" t="str">
        <f t="shared" si="5"/>
        <v>stainless steel</v>
      </c>
    </row>
    <row r="62" spans="1:14" x14ac:dyDescent="0.3">
      <c r="A62" t="s">
        <v>1877</v>
      </c>
      <c r="B62" t="s">
        <v>2287</v>
      </c>
      <c r="C62" t="s">
        <v>1876</v>
      </c>
      <c r="D62">
        <v>0.98729449510574341</v>
      </c>
      <c r="E62">
        <v>0.98706430196762085</v>
      </c>
      <c r="F62">
        <v>0.98717933893203735</v>
      </c>
      <c r="G62">
        <v>0.41364180295173519</v>
      </c>
      <c r="I62">
        <f t="shared" si="0"/>
        <v>966</v>
      </c>
      <c r="J62" s="18" t="str">
        <f t="shared" si="1"/>
        <v>stainless steel as the reactor material.</v>
      </c>
      <c r="K62" s="18" t="str">
        <f t="shared" si="2"/>
        <v>stainless steel</v>
      </c>
      <c r="L62">
        <f t="shared" si="3"/>
        <v>972</v>
      </c>
      <c r="M62" s="18" t="str">
        <f t="shared" si="4"/>
        <v>stainless steel as the reactor material.</v>
      </c>
      <c r="N62" s="18" t="str">
        <f t="shared" si="5"/>
        <v>stainless steel</v>
      </c>
    </row>
    <row r="63" spans="1:14" x14ac:dyDescent="0.3">
      <c r="A63" t="s">
        <v>1938</v>
      </c>
      <c r="B63" t="s">
        <v>2319</v>
      </c>
      <c r="C63" t="s">
        <v>2318</v>
      </c>
      <c r="D63">
        <v>0.96555376052856445</v>
      </c>
      <c r="E63">
        <v>0.96779513359069824</v>
      </c>
      <c r="F63">
        <v>0.96667319536209106</v>
      </c>
      <c r="G63">
        <v>0.45716602425495911</v>
      </c>
      <c r="I63">
        <f t="shared" si="0"/>
        <v>1140</v>
      </c>
      <c r="J63" s="18" t="str">
        <f t="shared" si="1"/>
        <v>carbon steel as the reactor material.</v>
      </c>
      <c r="K63" s="18" t="str">
        <f t="shared" si="2"/>
        <v>carbon steel</v>
      </c>
      <c r="L63">
        <f t="shared" si="3"/>
        <v>1140</v>
      </c>
      <c r="M63" s="18" t="str">
        <f t="shared" si="4"/>
        <v>carbon steel as the reactor material.</v>
      </c>
      <c r="N63" s="18" t="str">
        <f t="shared" si="5"/>
        <v>carbon steel</v>
      </c>
    </row>
    <row r="64" spans="1:14" x14ac:dyDescent="0.3">
      <c r="A64" t="s">
        <v>1829</v>
      </c>
      <c r="B64" t="s">
        <v>2263</v>
      </c>
      <c r="C64" t="s">
        <v>1828</v>
      </c>
      <c r="D64">
        <v>0.96559929847717285</v>
      </c>
      <c r="E64">
        <v>0.95833265781402588</v>
      </c>
      <c r="F64">
        <v>0.96195226907730103</v>
      </c>
      <c r="G64">
        <v>0.4781401804302568</v>
      </c>
      <c r="I64">
        <f t="shared" si="0"/>
        <v>970</v>
      </c>
      <c r="J64" s="18" t="str">
        <f t="shared" si="1"/>
        <v>stainless steel as the reactor material.</v>
      </c>
      <c r="K64" s="18" t="str">
        <f t="shared" si="2"/>
        <v>stainless steel</v>
      </c>
      <c r="L64">
        <f t="shared" si="3"/>
        <v>970</v>
      </c>
      <c r="M64" s="18" t="str">
        <f t="shared" si="4"/>
        <v>stainless steel as the reactor material.</v>
      </c>
      <c r="N64" s="18" t="str">
        <f t="shared" si="5"/>
        <v>stainless steel</v>
      </c>
    </row>
    <row r="65" spans="1:14" x14ac:dyDescent="0.3">
      <c r="A65" t="s">
        <v>1867</v>
      </c>
      <c r="B65" t="s">
        <v>2282</v>
      </c>
      <c r="C65" t="s">
        <v>1866</v>
      </c>
      <c r="D65">
        <v>0.98881596326828003</v>
      </c>
      <c r="E65">
        <v>0.98884105682373047</v>
      </c>
      <c r="F65">
        <v>0.98882848024368286</v>
      </c>
      <c r="G65">
        <v>0.58958517210944406</v>
      </c>
      <c r="I65">
        <f t="shared" si="0"/>
        <v>968</v>
      </c>
      <c r="J65" s="18" t="str">
        <f t="shared" si="1"/>
        <v>stainless steel as the reactor material.</v>
      </c>
      <c r="K65" s="18" t="str">
        <f t="shared" si="2"/>
        <v>stainless steel</v>
      </c>
      <c r="L65">
        <f t="shared" si="3"/>
        <v>968</v>
      </c>
      <c r="M65" s="18" t="str">
        <f t="shared" si="4"/>
        <v>stainless steel as the reactor material.</v>
      </c>
      <c r="N65" s="18" t="str">
        <f t="shared" si="5"/>
        <v>stainless steel</v>
      </c>
    </row>
    <row r="66" spans="1:14" x14ac:dyDescent="0.3">
      <c r="A66" t="s">
        <v>1937</v>
      </c>
      <c r="B66" t="s">
        <v>2317</v>
      </c>
      <c r="C66" t="s">
        <v>1936</v>
      </c>
      <c r="D66">
        <v>0.98526144027709961</v>
      </c>
      <c r="E66">
        <v>0.98507976531982422</v>
      </c>
      <c r="F66">
        <v>0.98517054319381714</v>
      </c>
      <c r="G66">
        <v>0.61111372290912502</v>
      </c>
      <c r="I66">
        <f t="shared" si="0"/>
        <v>1138</v>
      </c>
      <c r="J66" s="18" t="str">
        <f t="shared" si="1"/>
        <v>carbon steel as the reactor material.</v>
      </c>
      <c r="K66" s="18" t="str">
        <f t="shared" si="2"/>
        <v>carbon steel</v>
      </c>
      <c r="L66">
        <f t="shared" si="3"/>
        <v>1136</v>
      </c>
      <c r="M66" s="18" t="str">
        <f t="shared" si="4"/>
        <v>carbon steel as the reactor material.</v>
      </c>
      <c r="N66" s="18" t="str">
        <f t="shared" si="5"/>
        <v>carbon steel</v>
      </c>
    </row>
    <row r="67" spans="1:14" x14ac:dyDescent="0.3">
      <c r="A67" t="s">
        <v>1865</v>
      </c>
      <c r="B67" t="s">
        <v>2281</v>
      </c>
      <c r="C67" t="s">
        <v>1864</v>
      </c>
      <c r="D67">
        <v>0.9734346866607666</v>
      </c>
      <c r="E67">
        <v>0.97658991813659668</v>
      </c>
      <c r="F67">
        <v>0.9750097393989563</v>
      </c>
      <c r="G67">
        <v>0.65962534874451972</v>
      </c>
      <c r="I67">
        <f t="shared" ref="I67:I89" si="6">FIND("using",B67)</f>
        <v>973</v>
      </c>
      <c r="J67" s="18" t="str">
        <f t="shared" ref="J67:J89" si="7">MID(B67,I67+LEN("using "),LEN(B67))</f>
        <v>stainless steel as the reactor material.</v>
      </c>
      <c r="K67" s="18" t="str">
        <f t="shared" ref="K67:K89" si="8">LEFT(J67,FIND(" ",J67,FIND(" ",J67)+1)-1)</f>
        <v>stainless steel</v>
      </c>
      <c r="L67">
        <f t="shared" ref="L67:L89" si="9">FIND("using",C67)</f>
        <v>969</v>
      </c>
      <c r="M67" s="18" t="str">
        <f t="shared" ref="M67:M89" si="10">MID(C67,L67+LEN("using "),LEN(C67))</f>
        <v>stainless steel as the reactor material.</v>
      </c>
      <c r="N67" s="18" t="str">
        <f t="shared" ref="N67:N89" si="11">LEFT(M67,FIND(" ",M67,FIND(" ",M67)+1)-1)</f>
        <v>stainless steel</v>
      </c>
    </row>
    <row r="68" spans="1:14" x14ac:dyDescent="0.3">
      <c r="A68" t="s">
        <v>1881</v>
      </c>
      <c r="B68" t="s">
        <v>2289</v>
      </c>
      <c r="C68" t="s">
        <v>1880</v>
      </c>
      <c r="D68">
        <v>0.97231918573379517</v>
      </c>
      <c r="E68">
        <v>0.97632193565368652</v>
      </c>
      <c r="F68">
        <v>0.97431647777557373</v>
      </c>
      <c r="G68">
        <v>0.69052945563012702</v>
      </c>
      <c r="I68">
        <f t="shared" si="6"/>
        <v>959</v>
      </c>
      <c r="J68" s="18" t="str">
        <f t="shared" si="7"/>
        <v>stainless steel as the reactor material.</v>
      </c>
      <c r="K68" s="18" t="str">
        <f t="shared" si="8"/>
        <v>stainless steel</v>
      </c>
      <c r="L68">
        <f t="shared" si="9"/>
        <v>953</v>
      </c>
      <c r="M68" s="18" t="str">
        <f t="shared" si="10"/>
        <v>stainless steel as the reactor material.</v>
      </c>
      <c r="N68" s="18" t="str">
        <f t="shared" si="11"/>
        <v>stainless steel</v>
      </c>
    </row>
    <row r="69" spans="1:14" x14ac:dyDescent="0.3">
      <c r="A69" t="s">
        <v>1869</v>
      </c>
      <c r="B69" t="s">
        <v>2283</v>
      </c>
      <c r="C69" t="s">
        <v>1868</v>
      </c>
      <c r="D69">
        <v>0.96522039175033569</v>
      </c>
      <c r="E69">
        <v>0.95874106884002686</v>
      </c>
      <c r="F69">
        <v>0.96196985244750977</v>
      </c>
      <c r="G69">
        <v>0.71019653495857016</v>
      </c>
      <c r="I69">
        <f t="shared" si="6"/>
        <v>954</v>
      </c>
      <c r="J69" s="18" t="str">
        <f t="shared" si="7"/>
        <v>stainless steel as the reactor material.</v>
      </c>
      <c r="K69" s="18" t="str">
        <f t="shared" si="8"/>
        <v>stainless steel</v>
      </c>
      <c r="L69">
        <f t="shared" si="9"/>
        <v>954</v>
      </c>
      <c r="M69" s="18" t="str">
        <f t="shared" si="10"/>
        <v>stainless steel as the reactor material.</v>
      </c>
      <c r="N69" s="18" t="str">
        <f t="shared" si="11"/>
        <v>stainless steel</v>
      </c>
    </row>
    <row r="70" spans="1:14" x14ac:dyDescent="0.3">
      <c r="A70" t="s">
        <v>1851</v>
      </c>
      <c r="B70" t="s">
        <v>2274</v>
      </c>
      <c r="C70" t="s">
        <v>1850</v>
      </c>
      <c r="D70">
        <v>0.97543632984161377</v>
      </c>
      <c r="E70">
        <v>0.97122204303741455</v>
      </c>
      <c r="F70">
        <v>0.97332465648651123</v>
      </c>
      <c r="G70">
        <v>0.77119651347068152</v>
      </c>
      <c r="I70">
        <f t="shared" si="6"/>
        <v>954</v>
      </c>
      <c r="J70" s="18" t="str">
        <f t="shared" si="7"/>
        <v>stainless steel as the reactor material.</v>
      </c>
      <c r="K70" s="18" t="str">
        <f t="shared" si="8"/>
        <v>stainless steel</v>
      </c>
      <c r="L70">
        <f t="shared" si="9"/>
        <v>954</v>
      </c>
      <c r="M70" s="18" t="str">
        <f t="shared" si="10"/>
        <v>stainless steel as the reactor material.</v>
      </c>
      <c r="N70" s="18" t="str">
        <f t="shared" si="11"/>
        <v>stainless steel</v>
      </c>
    </row>
    <row r="71" spans="1:14" x14ac:dyDescent="0.3">
      <c r="A71" t="s">
        <v>1794</v>
      </c>
      <c r="B71" s="2" t="s">
        <v>2335</v>
      </c>
      <c r="C71" t="s">
        <v>1793</v>
      </c>
      <c r="D71">
        <v>0.97244429588317871</v>
      </c>
      <c r="E71">
        <v>0.97260570526123047</v>
      </c>
      <c r="F71">
        <v>0.97252500057220459</v>
      </c>
      <c r="G71">
        <v>0.43029756537421104</v>
      </c>
      <c r="I71">
        <f t="shared" si="6"/>
        <v>1230</v>
      </c>
      <c r="J71" s="18" t="str">
        <f t="shared" si="7"/>
        <v>stainless steel as the reactor material.</v>
      </c>
      <c r="K71" s="18" t="str">
        <f t="shared" si="8"/>
        <v>stainless steel</v>
      </c>
      <c r="L71">
        <f t="shared" si="9"/>
        <v>1375</v>
      </c>
      <c r="M71" s="18" t="str">
        <f t="shared" si="10"/>
        <v>stainless steel as the reactor material.</v>
      </c>
      <c r="N71" s="18" t="str">
        <f t="shared" si="11"/>
        <v>stainless steel</v>
      </c>
    </row>
    <row r="72" spans="1:14" x14ac:dyDescent="0.3">
      <c r="A72" t="s">
        <v>1805</v>
      </c>
      <c r="B72" t="s">
        <v>2251</v>
      </c>
      <c r="C72" t="s">
        <v>1804</v>
      </c>
      <c r="D72">
        <v>0.97220534086227417</v>
      </c>
      <c r="E72">
        <v>0.97251570224761963</v>
      </c>
      <c r="F72">
        <v>0.97236049175262451</v>
      </c>
      <c r="G72">
        <v>0.95841926356368334</v>
      </c>
      <c r="I72">
        <f t="shared" si="6"/>
        <v>1373</v>
      </c>
      <c r="J72" s="18" t="str">
        <f t="shared" si="7"/>
        <v>stainless steel as the reactor material.</v>
      </c>
      <c r="K72" s="18" t="str">
        <f t="shared" si="8"/>
        <v>stainless steel</v>
      </c>
      <c r="L72">
        <f t="shared" si="9"/>
        <v>1374</v>
      </c>
      <c r="M72" s="18" t="str">
        <f t="shared" si="10"/>
        <v>stainless steel as the reactor material.</v>
      </c>
      <c r="N72" s="18" t="str">
        <f t="shared" si="11"/>
        <v>stainless steel</v>
      </c>
    </row>
    <row r="73" spans="1:14" x14ac:dyDescent="0.3">
      <c r="A73" t="s">
        <v>1917</v>
      </c>
      <c r="B73" t="s">
        <v>2307</v>
      </c>
      <c r="C73" t="s">
        <v>1916</v>
      </c>
      <c r="D73">
        <v>0.96422970294952393</v>
      </c>
      <c r="E73">
        <v>0.96677368879318237</v>
      </c>
      <c r="F73">
        <v>0.96550005674362183</v>
      </c>
      <c r="G73">
        <v>923.01300000000003</v>
      </c>
      <c r="I73" t="e">
        <f t="shared" si="6"/>
        <v>#VALUE!</v>
      </c>
      <c r="J73" s="18" t="e">
        <f t="shared" si="7"/>
        <v>#VALUE!</v>
      </c>
      <c r="K73" s="18" t="s">
        <v>2347</v>
      </c>
      <c r="L73">
        <f t="shared" si="9"/>
        <v>1203</v>
      </c>
      <c r="M73" s="18" t="str">
        <f t="shared" si="10"/>
        <v>carbon steel as the reactor material.</v>
      </c>
      <c r="N73" s="18" t="str">
        <f t="shared" si="11"/>
        <v>carbon steel</v>
      </c>
    </row>
    <row r="74" spans="1:14" x14ac:dyDescent="0.3">
      <c r="A74" t="s">
        <v>1774</v>
      </c>
      <c r="B74" s="2" t="s">
        <v>2334</v>
      </c>
      <c r="C74" t="s">
        <v>2235</v>
      </c>
      <c r="D74">
        <v>0.97504246234893799</v>
      </c>
      <c r="E74">
        <v>0.97680330276489258</v>
      </c>
      <c r="F74">
        <v>0.9759221076965332</v>
      </c>
      <c r="G74">
        <v>8.4199999999999997E-2</v>
      </c>
      <c r="I74" t="e">
        <f t="shared" si="6"/>
        <v>#VALUE!</v>
      </c>
      <c r="J74" s="18" t="e">
        <f t="shared" si="7"/>
        <v>#VALUE!</v>
      </c>
      <c r="K74" s="18" t="s">
        <v>2347</v>
      </c>
      <c r="L74">
        <f t="shared" si="9"/>
        <v>1449</v>
      </c>
      <c r="M74" s="18" t="str">
        <f t="shared" si="10"/>
        <v>stainless steel as the reactor material.</v>
      </c>
      <c r="N74" s="18" t="str">
        <f t="shared" si="11"/>
        <v>stainless steel</v>
      </c>
    </row>
    <row r="75" spans="1:14" x14ac:dyDescent="0.3">
      <c r="A75" t="s">
        <v>1833</v>
      </c>
      <c r="B75" t="s">
        <v>2265</v>
      </c>
      <c r="C75" t="s">
        <v>1832</v>
      </c>
      <c r="D75">
        <v>0.97344779968261719</v>
      </c>
      <c r="E75">
        <v>0.97846019268035889</v>
      </c>
      <c r="F75">
        <v>0.97594755887985229</v>
      </c>
      <c r="G75">
        <v>1.033950617283951</v>
      </c>
      <c r="I75">
        <f t="shared" si="6"/>
        <v>973</v>
      </c>
      <c r="J75" s="18" t="str">
        <f t="shared" si="7"/>
        <v>stainless steel as the reactor material.</v>
      </c>
      <c r="K75" s="18" t="str">
        <f t="shared" si="8"/>
        <v>stainless steel</v>
      </c>
      <c r="L75">
        <f t="shared" si="9"/>
        <v>967</v>
      </c>
      <c r="M75" s="18" t="str">
        <f t="shared" si="10"/>
        <v>stainless steel as the reactor material.</v>
      </c>
      <c r="N75" s="18" t="str">
        <f t="shared" si="11"/>
        <v>stainless steel</v>
      </c>
    </row>
    <row r="76" spans="1:14" x14ac:dyDescent="0.3">
      <c r="A76" t="s">
        <v>1857</v>
      </c>
      <c r="B76" t="s">
        <v>2277</v>
      </c>
      <c r="C76" t="s">
        <v>1856</v>
      </c>
      <c r="D76">
        <v>0.95867669582366943</v>
      </c>
      <c r="E76">
        <v>0.9664570689201355</v>
      </c>
      <c r="F76">
        <v>0.96255117654800415</v>
      </c>
      <c r="G76">
        <v>1.075960679177838</v>
      </c>
      <c r="I76">
        <f t="shared" si="6"/>
        <v>973</v>
      </c>
      <c r="J76" s="18" t="str">
        <f t="shared" si="7"/>
        <v>stainless steel as the reactor material.</v>
      </c>
      <c r="K76" s="18" t="str">
        <f t="shared" si="8"/>
        <v>stainless steel</v>
      </c>
      <c r="L76">
        <f t="shared" si="9"/>
        <v>969</v>
      </c>
      <c r="M76" s="18" t="str">
        <f t="shared" si="10"/>
        <v>stainless steel as the reactor material.</v>
      </c>
      <c r="N76" s="18" t="str">
        <f t="shared" si="11"/>
        <v>stainless steel</v>
      </c>
    </row>
    <row r="77" spans="1:14" x14ac:dyDescent="0.3">
      <c r="A77" t="s">
        <v>1899</v>
      </c>
      <c r="B77" t="s">
        <v>2298</v>
      </c>
      <c r="C77" t="s">
        <v>1898</v>
      </c>
      <c r="D77">
        <v>0.97330933809280396</v>
      </c>
      <c r="E77">
        <v>0.97350215911865234</v>
      </c>
      <c r="F77">
        <v>0.97340577840805054</v>
      </c>
      <c r="G77">
        <v>1.1444724648593849</v>
      </c>
      <c r="I77">
        <f t="shared" si="6"/>
        <v>1198</v>
      </c>
      <c r="J77" s="18" t="str">
        <f t="shared" si="7"/>
        <v>carbon steel as the reactor material.</v>
      </c>
      <c r="K77" s="18" t="str">
        <f t="shared" si="8"/>
        <v>carbon steel</v>
      </c>
      <c r="L77">
        <f t="shared" si="9"/>
        <v>1199</v>
      </c>
      <c r="M77" s="18" t="str">
        <f t="shared" si="10"/>
        <v>carbon steel as the reactor material.</v>
      </c>
      <c r="N77" s="18" t="str">
        <f t="shared" si="11"/>
        <v>carbon steel</v>
      </c>
    </row>
    <row r="78" spans="1:14" x14ac:dyDescent="0.3">
      <c r="A78" t="s">
        <v>1873</v>
      </c>
      <c r="B78" t="s">
        <v>2285</v>
      </c>
      <c r="C78" t="s">
        <v>1872</v>
      </c>
      <c r="D78">
        <v>0.98544418811798096</v>
      </c>
      <c r="E78">
        <v>0.98544818162918091</v>
      </c>
      <c r="F78">
        <v>0.98544615507125854</v>
      </c>
      <c r="G78">
        <v>1.2221432379598369</v>
      </c>
      <c r="I78">
        <f t="shared" si="6"/>
        <v>974</v>
      </c>
      <c r="J78" s="18" t="str">
        <f t="shared" si="7"/>
        <v>stainless steel as the reactor material.</v>
      </c>
      <c r="K78" s="18" t="str">
        <f t="shared" si="8"/>
        <v>stainless steel</v>
      </c>
      <c r="L78">
        <f t="shared" si="9"/>
        <v>968</v>
      </c>
      <c r="M78" s="18" t="str">
        <f t="shared" si="10"/>
        <v>stainless steel as the reactor material.</v>
      </c>
      <c r="N78" s="18" t="str">
        <f t="shared" si="11"/>
        <v>stainless steel</v>
      </c>
    </row>
    <row r="79" spans="1:14" x14ac:dyDescent="0.3">
      <c r="A79" t="s">
        <v>1863</v>
      </c>
      <c r="B79" t="s">
        <v>2280</v>
      </c>
      <c r="C79" t="s">
        <v>1862</v>
      </c>
      <c r="D79">
        <v>0.95985275506973267</v>
      </c>
      <c r="E79">
        <v>0.96698212623596191</v>
      </c>
      <c r="F79">
        <v>0.96340423822402954</v>
      </c>
      <c r="G79">
        <v>1.3242208857299069</v>
      </c>
      <c r="I79">
        <f t="shared" si="6"/>
        <v>970</v>
      </c>
      <c r="J79" s="18" t="str">
        <f t="shared" si="7"/>
        <v>stainless steel as the reactor material.</v>
      </c>
      <c r="K79" s="18" t="str">
        <f t="shared" si="8"/>
        <v>stainless steel</v>
      </c>
      <c r="L79">
        <f t="shared" si="9"/>
        <v>970</v>
      </c>
      <c r="M79" s="18" t="str">
        <f t="shared" si="10"/>
        <v>stainless steel as the reactor material.</v>
      </c>
      <c r="N79" s="18" t="str">
        <f t="shared" si="11"/>
        <v>stainless steel</v>
      </c>
    </row>
    <row r="80" spans="1:14" x14ac:dyDescent="0.3">
      <c r="A80" t="s">
        <v>1903</v>
      </c>
      <c r="B80" t="s">
        <v>2300</v>
      </c>
      <c r="C80" t="s">
        <v>1902</v>
      </c>
      <c r="D80">
        <v>0.96479183435440063</v>
      </c>
      <c r="E80">
        <v>0.96467053890228271</v>
      </c>
      <c r="F80">
        <v>0.96473115682601929</v>
      </c>
      <c r="G80">
        <v>1.3356880201277339</v>
      </c>
      <c r="I80">
        <f t="shared" si="6"/>
        <v>1194</v>
      </c>
      <c r="J80" s="18" t="str">
        <f t="shared" si="7"/>
        <v>carbon steel as the reactor material.</v>
      </c>
      <c r="K80" s="18" t="str">
        <f t="shared" si="8"/>
        <v>carbon steel</v>
      </c>
      <c r="L80">
        <f t="shared" si="9"/>
        <v>1194</v>
      </c>
      <c r="M80" s="18" t="str">
        <f t="shared" si="10"/>
        <v>carbon steel as the reactor material.</v>
      </c>
      <c r="N80" s="18" t="str">
        <f t="shared" si="11"/>
        <v>carbon steel</v>
      </c>
    </row>
    <row r="81" spans="1:14" x14ac:dyDescent="0.3">
      <c r="A81" t="s">
        <v>1943</v>
      </c>
      <c r="B81" t="s">
        <v>2323</v>
      </c>
      <c r="C81" t="s">
        <v>2322</v>
      </c>
      <c r="D81">
        <v>0.98469150066375732</v>
      </c>
      <c r="E81">
        <v>0.98467534780502319</v>
      </c>
      <c r="F81">
        <v>0.98468345403671265</v>
      </c>
      <c r="G81">
        <v>1.396004215735692</v>
      </c>
      <c r="I81">
        <f t="shared" si="6"/>
        <v>1193</v>
      </c>
      <c r="J81" s="18" t="str">
        <f t="shared" si="7"/>
        <v>carbon steel as the reactor material.</v>
      </c>
      <c r="K81" s="18" t="str">
        <f t="shared" si="8"/>
        <v>carbon steel</v>
      </c>
      <c r="L81">
        <f t="shared" si="9"/>
        <v>1195</v>
      </c>
      <c r="M81" s="18" t="str">
        <f t="shared" si="10"/>
        <v>carbon steel as the reactor material.</v>
      </c>
      <c r="N81" s="18" t="str">
        <f t="shared" si="11"/>
        <v>carbon steel</v>
      </c>
    </row>
    <row r="82" spans="1:14" x14ac:dyDescent="0.3">
      <c r="A82" t="s">
        <v>1843</v>
      </c>
      <c r="B82" t="s">
        <v>2270</v>
      </c>
      <c r="C82" t="s">
        <v>1842</v>
      </c>
      <c r="D82">
        <v>0.97075372934341431</v>
      </c>
      <c r="E82">
        <v>0.97607797384262085</v>
      </c>
      <c r="F82">
        <v>0.97340857982635498</v>
      </c>
      <c r="G82">
        <v>1.760532150776053</v>
      </c>
      <c r="I82">
        <f t="shared" si="6"/>
        <v>969</v>
      </c>
      <c r="J82" s="18" t="str">
        <f t="shared" si="7"/>
        <v>stainless steel as the reactor material.</v>
      </c>
      <c r="K82" s="18" t="str">
        <f t="shared" si="8"/>
        <v>stainless steel</v>
      </c>
      <c r="L82">
        <f t="shared" si="9"/>
        <v>969</v>
      </c>
      <c r="M82" s="18" t="str">
        <f t="shared" si="10"/>
        <v>stainless steel as the reactor material.</v>
      </c>
      <c r="N82" s="18" t="str">
        <f t="shared" si="11"/>
        <v>stainless steel</v>
      </c>
    </row>
    <row r="83" spans="1:14" x14ac:dyDescent="0.3">
      <c r="A83" t="s">
        <v>1875</v>
      </c>
      <c r="B83" t="s">
        <v>2286</v>
      </c>
      <c r="C83" t="s">
        <v>1874</v>
      </c>
      <c r="D83">
        <v>0.98912191390991211</v>
      </c>
      <c r="E83">
        <v>0.98947501182556152</v>
      </c>
      <c r="F83">
        <v>0.98929846286773682</v>
      </c>
      <c r="G83">
        <v>1.8772026431718061</v>
      </c>
      <c r="I83">
        <f t="shared" si="6"/>
        <v>953</v>
      </c>
      <c r="J83" s="18" t="str">
        <f t="shared" si="7"/>
        <v>stainless steel as the reactor material.</v>
      </c>
      <c r="K83" s="18" t="str">
        <f t="shared" si="8"/>
        <v>stainless steel</v>
      </c>
      <c r="L83">
        <f t="shared" si="9"/>
        <v>953</v>
      </c>
      <c r="M83" s="18" t="str">
        <f t="shared" si="10"/>
        <v>stainless steel as the reactor material.</v>
      </c>
      <c r="N83" s="18" t="str">
        <f t="shared" si="11"/>
        <v>stainless steel</v>
      </c>
    </row>
    <row r="84" spans="1:14" x14ac:dyDescent="0.3">
      <c r="A84" t="s">
        <v>1885</v>
      </c>
      <c r="B84" t="s">
        <v>2291</v>
      </c>
      <c r="C84" t="s">
        <v>1884</v>
      </c>
      <c r="D84">
        <v>0.9577782154083252</v>
      </c>
      <c r="E84">
        <v>0.96455156803131104</v>
      </c>
      <c r="F84">
        <v>0.96115291118621826</v>
      </c>
      <c r="G84">
        <v>3.1215710723192021</v>
      </c>
      <c r="I84">
        <f t="shared" si="6"/>
        <v>954</v>
      </c>
      <c r="J84" s="18" t="str">
        <f t="shared" si="7"/>
        <v>stainless steel as the reactor material.</v>
      </c>
      <c r="K84" s="18" t="str">
        <f t="shared" si="8"/>
        <v>stainless steel</v>
      </c>
      <c r="L84">
        <f t="shared" si="9"/>
        <v>954</v>
      </c>
      <c r="M84" s="18" t="str">
        <f t="shared" si="10"/>
        <v>stainless steel as the reactor material.</v>
      </c>
      <c r="N84" s="18" t="str">
        <f t="shared" si="11"/>
        <v>stainless steel</v>
      </c>
    </row>
    <row r="85" spans="1:14" x14ac:dyDescent="0.3">
      <c r="A85" t="s">
        <v>1845</v>
      </c>
      <c r="B85" t="s">
        <v>2271</v>
      </c>
      <c r="C85" t="s">
        <v>1844</v>
      </c>
      <c r="D85">
        <v>0.95504385232925415</v>
      </c>
      <c r="E85">
        <v>0.96256870031356812</v>
      </c>
      <c r="F85">
        <v>0.95879149436950684</v>
      </c>
      <c r="G85">
        <v>3.2325819672131151</v>
      </c>
      <c r="I85">
        <f t="shared" si="6"/>
        <v>972</v>
      </c>
      <c r="J85" s="18" t="str">
        <f t="shared" si="7"/>
        <v>stainless steel as the reactor material.</v>
      </c>
      <c r="K85" s="18" t="str">
        <f t="shared" si="8"/>
        <v>stainless steel</v>
      </c>
      <c r="L85">
        <f t="shared" si="9"/>
        <v>963</v>
      </c>
      <c r="M85" s="18" t="str">
        <f t="shared" si="10"/>
        <v>stainless steel as the reactor material.</v>
      </c>
      <c r="N85" s="18" t="str">
        <f t="shared" si="11"/>
        <v>stainless steel</v>
      </c>
    </row>
    <row r="86" spans="1:14" x14ac:dyDescent="0.3">
      <c r="A86" t="s">
        <v>1839</v>
      </c>
      <c r="B86" t="s">
        <v>2268</v>
      </c>
      <c r="C86" t="s">
        <v>1838</v>
      </c>
      <c r="D86">
        <v>0.95900273323059082</v>
      </c>
      <c r="E86">
        <v>0.96596753597259521</v>
      </c>
      <c r="F86">
        <v>0.96247249841690063</v>
      </c>
      <c r="G86">
        <v>3.4225028702640641</v>
      </c>
      <c r="I86">
        <f t="shared" si="6"/>
        <v>954</v>
      </c>
      <c r="J86" s="18" t="str">
        <f t="shared" si="7"/>
        <v>stainless steel as the reactor material.</v>
      </c>
      <c r="K86" s="18" t="str">
        <f t="shared" si="8"/>
        <v>stainless steel</v>
      </c>
      <c r="L86">
        <f t="shared" si="9"/>
        <v>952</v>
      </c>
      <c r="M86" s="18" t="str">
        <f t="shared" si="10"/>
        <v>stainless steel as the reactor material.</v>
      </c>
      <c r="N86" s="18" t="str">
        <f t="shared" si="11"/>
        <v>stainless steel</v>
      </c>
    </row>
    <row r="87" spans="1:14" x14ac:dyDescent="0.3">
      <c r="A87" t="s">
        <v>1841</v>
      </c>
      <c r="B87" t="s">
        <v>2269</v>
      </c>
      <c r="C87" t="s">
        <v>1840</v>
      </c>
      <c r="D87">
        <v>0.97157162427902222</v>
      </c>
      <c r="E87">
        <v>0.97623050212860107</v>
      </c>
      <c r="F87">
        <v>0.97389554977416992</v>
      </c>
      <c r="G87">
        <v>3.757241379310345</v>
      </c>
      <c r="I87">
        <f t="shared" si="6"/>
        <v>972</v>
      </c>
      <c r="J87" s="18" t="str">
        <f t="shared" si="7"/>
        <v>stainless steel as the reactor material.</v>
      </c>
      <c r="K87" s="18" t="str">
        <f t="shared" si="8"/>
        <v>stainless steel</v>
      </c>
      <c r="L87">
        <f t="shared" si="9"/>
        <v>968</v>
      </c>
      <c r="M87" s="18" t="str">
        <f t="shared" si="10"/>
        <v>stainless steel as the reactor material.</v>
      </c>
      <c r="N87" s="18" t="str">
        <f t="shared" si="11"/>
        <v>stainless steel</v>
      </c>
    </row>
    <row r="88" spans="1:14" x14ac:dyDescent="0.3">
      <c r="A88" t="s">
        <v>1859</v>
      </c>
      <c r="B88" t="s">
        <v>2278</v>
      </c>
      <c r="C88" t="s">
        <v>1858</v>
      </c>
      <c r="D88">
        <v>0.95684695243835449</v>
      </c>
      <c r="E88">
        <v>0.96475768089294434</v>
      </c>
      <c r="F88">
        <v>0.96078604459762573</v>
      </c>
      <c r="G88">
        <v>5.3076923076923066</v>
      </c>
      <c r="I88">
        <f t="shared" si="6"/>
        <v>974</v>
      </c>
      <c r="J88" s="18" t="str">
        <f t="shared" si="7"/>
        <v>stainless steel as the reactor material.</v>
      </c>
      <c r="K88" s="18" t="str">
        <f t="shared" si="8"/>
        <v>stainless steel</v>
      </c>
      <c r="L88">
        <f t="shared" si="9"/>
        <v>968</v>
      </c>
      <c r="M88" s="18" t="str">
        <f t="shared" si="10"/>
        <v>stainless steel as the reactor material.</v>
      </c>
      <c r="N88" s="18" t="str">
        <f t="shared" si="11"/>
        <v>stainless steel</v>
      </c>
    </row>
    <row r="89" spans="1:14" x14ac:dyDescent="0.3">
      <c r="A89" t="s">
        <v>1919</v>
      </c>
      <c r="B89" t="s">
        <v>2308</v>
      </c>
      <c r="C89" t="s">
        <v>1918</v>
      </c>
      <c r="D89">
        <v>0.97614765167236328</v>
      </c>
      <c r="E89">
        <v>0.97578370571136475</v>
      </c>
      <c r="F89">
        <v>0.97596567869186401</v>
      </c>
      <c r="G89">
        <v>7.4249489547495617</v>
      </c>
      <c r="I89">
        <f t="shared" si="6"/>
        <v>1155</v>
      </c>
      <c r="J89" s="18" t="str">
        <f t="shared" si="7"/>
        <v>carbon steel as the reactor material.</v>
      </c>
      <c r="K89" s="18" t="str">
        <f t="shared" si="8"/>
        <v>carbon steel</v>
      </c>
      <c r="L89">
        <f t="shared" si="9"/>
        <v>1155</v>
      </c>
      <c r="M89" s="18" t="str">
        <f t="shared" si="10"/>
        <v>carbon steel as the reactor material.</v>
      </c>
      <c r="N89" s="18" t="str">
        <f t="shared" si="11"/>
        <v>carbon steel</v>
      </c>
    </row>
    <row r="90" spans="1:14" x14ac:dyDescent="0.3">
      <c r="D90">
        <f>AVERAGE(D24:D89)</f>
        <v>0.97765241969715466</v>
      </c>
      <c r="E90">
        <f>AVERAGE(E24:E89)</f>
        <v>0.97868807659004675</v>
      </c>
      <c r="F90">
        <f>AVERAGE(F24:F89)</f>
        <v>0.97816763231248571</v>
      </c>
    </row>
  </sheetData>
  <autoFilter ref="A1:G90" xr:uid="{3D34AF26-FA49-4622-8508-EEF1F88A7E7C}">
    <sortState xmlns:xlrd2="http://schemas.microsoft.com/office/spreadsheetml/2017/richdata2" ref="A2:G90">
      <sortCondition ref="G67:G90"/>
    </sortState>
  </autoFilter>
  <phoneticPr fontId="1"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A1216-E6C5-4440-9BBB-DEB96D8E7C08}">
  <sheetPr filterMode="1"/>
  <dimension ref="A1:G93"/>
  <sheetViews>
    <sheetView topLeftCell="A11" zoomScale="55" zoomScaleNormal="55" workbookViewId="0">
      <selection activeCell="B13" sqref="B13"/>
    </sheetView>
  </sheetViews>
  <sheetFormatPr defaultRowHeight="14" x14ac:dyDescent="0.3"/>
  <cols>
    <col min="7" max="7" width="12.75" bestFit="1" customWidth="1"/>
  </cols>
  <sheetData>
    <row r="1" spans="1:7" x14ac:dyDescent="0.3">
      <c r="A1" s="1" t="s">
        <v>265</v>
      </c>
      <c r="B1" s="1" t="s">
        <v>264</v>
      </c>
      <c r="C1" s="1" t="s">
        <v>263</v>
      </c>
      <c r="D1" s="1" t="s">
        <v>262</v>
      </c>
      <c r="E1" s="1" t="s">
        <v>261</v>
      </c>
      <c r="F1" s="1" t="s">
        <v>260</v>
      </c>
      <c r="G1" s="1" t="s">
        <v>259</v>
      </c>
    </row>
    <row r="2" spans="1:7" ht="409.5" x14ac:dyDescent="0.3">
      <c r="A2" s="6" t="s">
        <v>2363</v>
      </c>
      <c r="B2" t="s">
        <v>2362</v>
      </c>
      <c r="C2" t="s">
        <v>258</v>
      </c>
      <c r="D2">
        <v>0.99897295236587524</v>
      </c>
      <c r="E2">
        <v>0.99897295236587524</v>
      </c>
      <c r="F2">
        <v>0.99897295236587524</v>
      </c>
      <c r="G2">
        <v>0.8571428571428571</v>
      </c>
    </row>
    <row r="3" spans="1:7" x14ac:dyDescent="0.3">
      <c r="A3" t="s">
        <v>257</v>
      </c>
      <c r="B3" t="s">
        <v>256</v>
      </c>
      <c r="C3" t="s">
        <v>255</v>
      </c>
      <c r="D3">
        <v>0.99891573190689087</v>
      </c>
      <c r="E3">
        <v>0.99891573190689087</v>
      </c>
      <c r="F3">
        <v>0.99891573190689087</v>
      </c>
      <c r="G3">
        <v>0.30601092896174859</v>
      </c>
    </row>
    <row r="4" spans="1:7" ht="409.5" x14ac:dyDescent="0.3">
      <c r="A4" s="6" t="s">
        <v>2367</v>
      </c>
      <c r="B4" t="s">
        <v>254</v>
      </c>
      <c r="C4" s="6" t="s">
        <v>2368</v>
      </c>
      <c r="D4">
        <v>0.99533390998840332</v>
      </c>
      <c r="E4">
        <v>0.99533390998840332</v>
      </c>
      <c r="F4">
        <v>0.99533390998840332</v>
      </c>
      <c r="G4">
        <v>0.47887323943661991</v>
      </c>
    </row>
    <row r="5" spans="1:7" hidden="1" x14ac:dyDescent="0.3">
      <c r="A5" t="s">
        <v>252</v>
      </c>
      <c r="B5" t="s">
        <v>251</v>
      </c>
      <c r="C5" t="s">
        <v>250</v>
      </c>
      <c r="D5">
        <v>0.99125409126281738</v>
      </c>
      <c r="E5">
        <v>0.99280685186386108</v>
      </c>
      <c r="F5">
        <v>0.99202978610992432</v>
      </c>
      <c r="G5">
        <v>1663.323529411764</v>
      </c>
    </row>
    <row r="6" spans="1:7" hidden="1" x14ac:dyDescent="0.3">
      <c r="A6" t="s">
        <v>249</v>
      </c>
      <c r="B6" t="s">
        <v>248</v>
      </c>
      <c r="C6" t="s">
        <v>247</v>
      </c>
      <c r="D6">
        <v>0.99767619371414185</v>
      </c>
      <c r="E6">
        <v>0.99767619371414185</v>
      </c>
      <c r="F6">
        <v>0.99767619371414185</v>
      </c>
      <c r="G6">
        <v>1.7410071942446039</v>
      </c>
    </row>
    <row r="7" spans="1:7" ht="409.5" x14ac:dyDescent="0.3">
      <c r="A7" s="6" t="s">
        <v>2366</v>
      </c>
      <c r="B7" t="s">
        <v>2369</v>
      </c>
      <c r="C7" t="s">
        <v>246</v>
      </c>
      <c r="D7">
        <v>0.99760317802429199</v>
      </c>
      <c r="E7">
        <v>0.99760317802429199</v>
      </c>
      <c r="F7">
        <v>0.99760317802429199</v>
      </c>
      <c r="G7">
        <v>0.81582264402758209</v>
      </c>
    </row>
    <row r="8" spans="1:7" ht="409.5" x14ac:dyDescent="0.3">
      <c r="A8" s="6" t="s">
        <v>2365</v>
      </c>
      <c r="B8" t="s">
        <v>245</v>
      </c>
      <c r="C8" t="s">
        <v>244</v>
      </c>
      <c r="D8">
        <v>0.9951857328414917</v>
      </c>
      <c r="E8">
        <v>0.9951857328414917</v>
      </c>
      <c r="F8">
        <v>0.9951857328414917</v>
      </c>
      <c r="G8">
        <v>0.98589065255731922</v>
      </c>
    </row>
    <row r="9" spans="1:7" hidden="1" x14ac:dyDescent="0.3">
      <c r="A9" t="s">
        <v>243</v>
      </c>
      <c r="B9" s="2" t="s">
        <v>242</v>
      </c>
      <c r="C9" s="2" t="s">
        <v>241</v>
      </c>
      <c r="D9">
        <v>0.99497228860855103</v>
      </c>
      <c r="E9">
        <v>0.99497228860855103</v>
      </c>
      <c r="F9">
        <v>0.99497228860855103</v>
      </c>
      <c r="G9">
        <v>1.613636363636364</v>
      </c>
    </row>
    <row r="10" spans="1:7" hidden="1" x14ac:dyDescent="0.3">
      <c r="A10" t="s">
        <v>240</v>
      </c>
      <c r="B10" s="2" t="s">
        <v>1163</v>
      </c>
      <c r="C10" s="2" t="s">
        <v>1162</v>
      </c>
      <c r="D10">
        <v>0.9702792763710022</v>
      </c>
      <c r="E10">
        <v>0.98817992210388184</v>
      </c>
      <c r="F10">
        <v>0.97914785146713257</v>
      </c>
      <c r="G10">
        <v>27227093369.270302</v>
      </c>
    </row>
    <row r="11" spans="1:7" x14ac:dyDescent="0.3">
      <c r="A11" t="s">
        <v>238</v>
      </c>
      <c r="B11" s="2" t="s">
        <v>237</v>
      </c>
      <c r="C11" s="2" t="s">
        <v>236</v>
      </c>
      <c r="D11">
        <v>0.98802679777145386</v>
      </c>
      <c r="E11">
        <v>0.94504398107528687</v>
      </c>
      <c r="F11">
        <v>0.96605747938156128</v>
      </c>
      <c r="G11">
        <v>0.99812500000000004</v>
      </c>
    </row>
    <row r="12" spans="1:7" x14ac:dyDescent="0.3">
      <c r="A12" t="s">
        <v>235</v>
      </c>
      <c r="B12" s="2" t="s">
        <v>234</v>
      </c>
      <c r="C12" s="2" t="s">
        <v>233</v>
      </c>
      <c r="D12">
        <v>0.99824202060699463</v>
      </c>
      <c r="E12">
        <v>0.99824202060699463</v>
      </c>
      <c r="F12">
        <v>0.99824202060699463</v>
      </c>
      <c r="G12">
        <v>0.81395348837209303</v>
      </c>
    </row>
    <row r="13" spans="1:7" ht="409.5" x14ac:dyDescent="0.3">
      <c r="A13" s="6" t="s">
        <v>2364</v>
      </c>
      <c r="B13" s="2" t="s">
        <v>2370</v>
      </c>
      <c r="C13" s="2" t="s">
        <v>232</v>
      </c>
      <c r="D13">
        <v>0.99958741664886475</v>
      </c>
      <c r="E13">
        <v>0.99958741664886475</v>
      </c>
      <c r="F13">
        <v>0.99958741664886475</v>
      </c>
      <c r="G13">
        <v>0.33333333333333343</v>
      </c>
    </row>
    <row r="14" spans="1:7" hidden="1" x14ac:dyDescent="0.3">
      <c r="A14" t="s">
        <v>231</v>
      </c>
      <c r="B14" s="2" t="s">
        <v>230</v>
      </c>
      <c r="C14" s="2" t="s">
        <v>229</v>
      </c>
      <c r="D14">
        <v>0.99722707271575928</v>
      </c>
      <c r="E14">
        <v>0.99722707271575928</v>
      </c>
      <c r="F14">
        <v>0.99722707271575928</v>
      </c>
      <c r="G14">
        <v>1.491540516473731</v>
      </c>
    </row>
    <row r="15" spans="1:7" x14ac:dyDescent="0.3">
      <c r="A15" t="s">
        <v>228</v>
      </c>
      <c r="B15" s="2" t="s">
        <v>222</v>
      </c>
      <c r="C15" s="2" t="s">
        <v>227</v>
      </c>
      <c r="D15">
        <v>0.99861502647399902</v>
      </c>
      <c r="E15">
        <v>0.99861502647399902</v>
      </c>
      <c r="F15">
        <v>0.99861502647399902</v>
      </c>
      <c r="G15">
        <v>0.8666666666666667</v>
      </c>
    </row>
    <row r="16" spans="1:7" x14ac:dyDescent="0.3">
      <c r="A16" t="s">
        <v>226</v>
      </c>
      <c r="B16" s="2" t="s">
        <v>225</v>
      </c>
      <c r="C16" s="2" t="s">
        <v>224</v>
      </c>
      <c r="D16">
        <v>0.99780011177062988</v>
      </c>
      <c r="E16">
        <v>0.99780011177062988</v>
      </c>
      <c r="F16">
        <v>0.99780011177062988</v>
      </c>
      <c r="G16">
        <v>0.57751937984496127</v>
      </c>
    </row>
    <row r="17" spans="1:7" x14ac:dyDescent="0.3">
      <c r="A17" t="s">
        <v>223</v>
      </c>
      <c r="B17" t="s">
        <v>222</v>
      </c>
      <c r="C17" t="s">
        <v>221</v>
      </c>
      <c r="D17">
        <v>0.99930942058563232</v>
      </c>
      <c r="E17">
        <v>0.99930942058563232</v>
      </c>
      <c r="F17">
        <v>0.99930942058563232</v>
      </c>
      <c r="G17">
        <v>0.7142857142857143</v>
      </c>
    </row>
    <row r="18" spans="1:7" x14ac:dyDescent="0.3">
      <c r="A18" t="s">
        <v>220</v>
      </c>
      <c r="B18" t="s">
        <v>219</v>
      </c>
      <c r="C18" t="s">
        <v>218</v>
      </c>
      <c r="D18">
        <v>0.99477928876876831</v>
      </c>
      <c r="E18">
        <v>0.99477928876876831</v>
      </c>
      <c r="F18">
        <v>0.99477928876876831</v>
      </c>
      <c r="G18">
        <v>0.98592103967707001</v>
      </c>
    </row>
    <row r="19" spans="1:7" x14ac:dyDescent="0.3">
      <c r="A19" t="s">
        <v>217</v>
      </c>
      <c r="B19" t="s">
        <v>216</v>
      </c>
      <c r="C19" t="s">
        <v>215</v>
      </c>
      <c r="D19">
        <v>0.99570548534393311</v>
      </c>
      <c r="E19">
        <v>0.99570548534393311</v>
      </c>
      <c r="F19">
        <v>0.99570548534393311</v>
      </c>
      <c r="G19">
        <v>0.5449647741400746</v>
      </c>
    </row>
    <row r="20" spans="1:7" x14ac:dyDescent="0.3">
      <c r="A20" t="s">
        <v>214</v>
      </c>
      <c r="B20" t="s">
        <v>213</v>
      </c>
      <c r="C20" t="s">
        <v>212</v>
      </c>
      <c r="D20">
        <v>0.99815243482589722</v>
      </c>
      <c r="E20">
        <v>0.99815243482589722</v>
      </c>
      <c r="F20">
        <v>0.99815243482589722</v>
      </c>
      <c r="G20">
        <v>0.65384615384615385</v>
      </c>
    </row>
    <row r="21" spans="1:7" x14ac:dyDescent="0.3">
      <c r="A21" t="s">
        <v>211</v>
      </c>
      <c r="B21" t="s">
        <v>210</v>
      </c>
      <c r="C21" t="s">
        <v>209</v>
      </c>
      <c r="D21">
        <v>0.99602842330932617</v>
      </c>
      <c r="E21">
        <v>0.99602842330932617</v>
      </c>
      <c r="F21">
        <v>0.99602842330932617</v>
      </c>
      <c r="G21">
        <v>0.86620278330019884</v>
      </c>
    </row>
    <row r="22" spans="1:7" x14ac:dyDescent="0.3">
      <c r="A22" t="s">
        <v>208</v>
      </c>
      <c r="B22" t="s">
        <v>207</v>
      </c>
      <c r="C22" t="s">
        <v>206</v>
      </c>
      <c r="D22">
        <v>0.99636256694793701</v>
      </c>
      <c r="E22">
        <v>0.99636256694793701</v>
      </c>
      <c r="F22">
        <v>0.99636256694793701</v>
      </c>
      <c r="G22">
        <v>0.6206896551724137</v>
      </c>
    </row>
    <row r="23" spans="1:7" x14ac:dyDescent="0.3">
      <c r="A23" t="s">
        <v>205</v>
      </c>
      <c r="B23" t="s">
        <v>204</v>
      </c>
      <c r="C23" t="s">
        <v>203</v>
      </c>
      <c r="D23">
        <v>0.99822556972503662</v>
      </c>
      <c r="E23">
        <v>0.99822556972503662</v>
      </c>
      <c r="F23">
        <v>0.99822556972503662</v>
      </c>
      <c r="G23">
        <v>0.51401869158878521</v>
      </c>
    </row>
    <row r="24" spans="1:7" x14ac:dyDescent="0.3">
      <c r="A24" t="s">
        <v>202</v>
      </c>
      <c r="B24" t="s">
        <v>201</v>
      </c>
      <c r="C24" t="s">
        <v>200</v>
      </c>
      <c r="D24">
        <v>0.99959450960159302</v>
      </c>
      <c r="E24">
        <v>0.99959450960159302</v>
      </c>
      <c r="F24">
        <v>0.99959450960159302</v>
      </c>
      <c r="G24">
        <v>4.6511627906976792E-2</v>
      </c>
    </row>
    <row r="25" spans="1:7" x14ac:dyDescent="0.3">
      <c r="A25" t="s">
        <v>199</v>
      </c>
      <c r="B25" t="s">
        <v>198</v>
      </c>
      <c r="C25" t="s">
        <v>197</v>
      </c>
      <c r="D25">
        <v>0.99778926372528076</v>
      </c>
      <c r="E25">
        <v>0.99778926372528076</v>
      </c>
      <c r="F25">
        <v>0.99778926372528076</v>
      </c>
      <c r="G25">
        <v>0.36596279642725649</v>
      </c>
    </row>
    <row r="26" spans="1:7" x14ac:dyDescent="0.3">
      <c r="A26" t="s">
        <v>196</v>
      </c>
      <c r="B26" t="s">
        <v>195</v>
      </c>
      <c r="C26" t="s">
        <v>194</v>
      </c>
      <c r="D26">
        <v>0.99740082025527954</v>
      </c>
      <c r="E26">
        <v>0.99740082025527954</v>
      </c>
      <c r="F26">
        <v>0.99740082025527954</v>
      </c>
      <c r="G26">
        <v>0.95348837209302317</v>
      </c>
    </row>
    <row r="27" spans="1:7" x14ac:dyDescent="0.3">
      <c r="A27" t="s">
        <v>193</v>
      </c>
      <c r="B27" t="s">
        <v>192</v>
      </c>
      <c r="C27" t="s">
        <v>191</v>
      </c>
      <c r="D27">
        <v>0.99785631895065308</v>
      </c>
      <c r="E27">
        <v>0.99785631895065308</v>
      </c>
      <c r="F27">
        <v>0.99785631895065308</v>
      </c>
      <c r="G27">
        <v>0.63720930232558148</v>
      </c>
    </row>
    <row r="28" spans="1:7" hidden="1" x14ac:dyDescent="0.3">
      <c r="A28" t="s">
        <v>190</v>
      </c>
      <c r="B28" t="s">
        <v>189</v>
      </c>
      <c r="C28" t="s">
        <v>188</v>
      </c>
      <c r="D28">
        <v>0.99717891216278076</v>
      </c>
      <c r="E28">
        <v>0.99717891216278076</v>
      </c>
      <c r="F28">
        <v>0.99717891216278076</v>
      </c>
      <c r="G28">
        <v>1.7723577235772361</v>
      </c>
    </row>
    <row r="29" spans="1:7" x14ac:dyDescent="0.3">
      <c r="A29" t="s">
        <v>187</v>
      </c>
      <c r="B29" t="s">
        <v>186</v>
      </c>
      <c r="C29" t="s">
        <v>185</v>
      </c>
      <c r="D29">
        <v>0.99659460783004761</v>
      </c>
      <c r="E29">
        <v>0.99659460783004761</v>
      </c>
      <c r="F29">
        <v>0.99659460783004761</v>
      </c>
      <c r="G29">
        <v>0.88149688149688143</v>
      </c>
    </row>
    <row r="30" spans="1:7" x14ac:dyDescent="0.3">
      <c r="A30" t="s">
        <v>184</v>
      </c>
      <c r="B30" t="s">
        <v>183</v>
      </c>
      <c r="C30" t="s">
        <v>182</v>
      </c>
      <c r="D30">
        <v>0.99619436264038086</v>
      </c>
      <c r="E30">
        <v>0.99619436264038086</v>
      </c>
      <c r="F30">
        <v>0.99619436264038086</v>
      </c>
      <c r="G30">
        <v>0.85714285714285721</v>
      </c>
    </row>
    <row r="31" spans="1:7" x14ac:dyDescent="0.3">
      <c r="A31" t="s">
        <v>181</v>
      </c>
      <c r="B31" t="s">
        <v>180</v>
      </c>
      <c r="C31" t="s">
        <v>179</v>
      </c>
      <c r="D31">
        <v>0.99850308895111084</v>
      </c>
      <c r="E31">
        <v>0.99850308895111084</v>
      </c>
      <c r="F31">
        <v>0.99850308895111084</v>
      </c>
      <c r="G31">
        <v>0.23891708967851111</v>
      </c>
    </row>
    <row r="32" spans="1:7" x14ac:dyDescent="0.3">
      <c r="A32" t="s">
        <v>178</v>
      </c>
      <c r="B32" t="s">
        <v>177</v>
      </c>
      <c r="C32" t="s">
        <v>176</v>
      </c>
      <c r="D32">
        <v>0.99717408418655396</v>
      </c>
      <c r="E32">
        <v>0.99717408418655396</v>
      </c>
      <c r="F32">
        <v>0.99717408418655396</v>
      </c>
      <c r="G32">
        <v>0.36380713838447087</v>
      </c>
    </row>
    <row r="33" spans="1:7" x14ac:dyDescent="0.3">
      <c r="A33" t="s">
        <v>175</v>
      </c>
      <c r="B33" t="s">
        <v>174</v>
      </c>
      <c r="C33" t="s">
        <v>173</v>
      </c>
      <c r="D33">
        <v>0.99687761068344116</v>
      </c>
      <c r="E33">
        <v>0.99687761068344116</v>
      </c>
      <c r="F33">
        <v>0.99687761068344116</v>
      </c>
      <c r="G33">
        <v>0.72222222222222232</v>
      </c>
    </row>
    <row r="34" spans="1:7" x14ac:dyDescent="0.3">
      <c r="A34" t="s">
        <v>172</v>
      </c>
      <c r="B34" t="s">
        <v>171</v>
      </c>
      <c r="C34" t="s">
        <v>170</v>
      </c>
      <c r="D34">
        <v>0.99660873413085938</v>
      </c>
      <c r="E34">
        <v>0.99660873413085938</v>
      </c>
      <c r="F34">
        <v>0.99660873413085938</v>
      </c>
      <c r="G34">
        <v>0.81606969990319456</v>
      </c>
    </row>
    <row r="35" spans="1:7" x14ac:dyDescent="0.3">
      <c r="A35" t="s">
        <v>169</v>
      </c>
      <c r="B35" t="s">
        <v>168</v>
      </c>
      <c r="C35" t="s">
        <v>167</v>
      </c>
      <c r="D35">
        <v>0.99945545196533203</v>
      </c>
      <c r="E35">
        <v>0.99945545196533203</v>
      </c>
      <c r="F35">
        <v>0.99945545196533203</v>
      </c>
      <c r="G35">
        <v>8.3333333333333301E-2</v>
      </c>
    </row>
    <row r="36" spans="1:7" hidden="1" x14ac:dyDescent="0.3">
      <c r="A36" t="s">
        <v>166</v>
      </c>
      <c r="B36" t="s">
        <v>165</v>
      </c>
      <c r="C36" t="s">
        <v>164</v>
      </c>
      <c r="D36">
        <v>0.99824869632720947</v>
      </c>
      <c r="E36">
        <v>0.99824869632720947</v>
      </c>
      <c r="F36">
        <v>0.99824869632720947</v>
      </c>
      <c r="G36">
        <v>1.193415637860082</v>
      </c>
    </row>
    <row r="37" spans="1:7" hidden="1" x14ac:dyDescent="0.3">
      <c r="A37" t="s">
        <v>163</v>
      </c>
      <c r="B37" t="s">
        <v>19</v>
      </c>
      <c r="C37" t="s">
        <v>162</v>
      </c>
      <c r="D37">
        <v>0.99673730134963989</v>
      </c>
      <c r="E37">
        <v>0.99673730134963989</v>
      </c>
      <c r="F37">
        <v>0.99673730134963989</v>
      </c>
      <c r="G37">
        <v>1.538461538461539</v>
      </c>
    </row>
    <row r="38" spans="1:7" hidden="1" x14ac:dyDescent="0.3">
      <c r="A38" t="s">
        <v>161</v>
      </c>
      <c r="B38" t="s">
        <v>160</v>
      </c>
      <c r="C38" t="s">
        <v>159</v>
      </c>
      <c r="D38">
        <v>0.99564361572265625</v>
      </c>
      <c r="E38">
        <v>0.99564361572265625</v>
      </c>
      <c r="F38">
        <v>0.99564361572265625</v>
      </c>
      <c r="G38">
        <v>3.950413223140496</v>
      </c>
    </row>
    <row r="39" spans="1:7" hidden="1" x14ac:dyDescent="0.3">
      <c r="A39" t="s">
        <v>158</v>
      </c>
      <c r="B39" t="s">
        <v>157</v>
      </c>
      <c r="C39" t="s">
        <v>156</v>
      </c>
      <c r="D39">
        <v>0.98866361379623413</v>
      </c>
      <c r="E39">
        <v>0.99422383308410645</v>
      </c>
      <c r="F39">
        <v>0.9914359450340271</v>
      </c>
      <c r="G39">
        <v>1655.178384050367</v>
      </c>
    </row>
    <row r="40" spans="1:7" hidden="1" x14ac:dyDescent="0.3">
      <c r="A40" t="s">
        <v>155</v>
      </c>
      <c r="B40" t="s">
        <v>154</v>
      </c>
      <c r="C40" t="s">
        <v>153</v>
      </c>
      <c r="D40">
        <v>0.99046504497528076</v>
      </c>
      <c r="E40">
        <v>0.99342679977416992</v>
      </c>
      <c r="F40">
        <v>0.99194371700286865</v>
      </c>
      <c r="G40">
        <v>252.19838709677421</v>
      </c>
    </row>
    <row r="41" spans="1:7" hidden="1" x14ac:dyDescent="0.3">
      <c r="A41" t="s">
        <v>152</v>
      </c>
      <c r="B41" t="s">
        <v>151</v>
      </c>
      <c r="C41" t="s">
        <v>150</v>
      </c>
      <c r="D41">
        <v>0.99857771396636963</v>
      </c>
      <c r="E41">
        <v>0.99857771396636963</v>
      </c>
      <c r="F41">
        <v>0.99857771396636963</v>
      </c>
      <c r="G41">
        <v>3.333333333333333</v>
      </c>
    </row>
    <row r="42" spans="1:7" hidden="1" x14ac:dyDescent="0.3">
      <c r="A42" t="s">
        <v>149</v>
      </c>
      <c r="B42" t="s">
        <v>148</v>
      </c>
      <c r="C42" t="s">
        <v>147</v>
      </c>
      <c r="D42">
        <v>0.99797749519348145</v>
      </c>
      <c r="E42">
        <v>0.99797749519348145</v>
      </c>
      <c r="F42">
        <v>0.99797749519348145</v>
      </c>
      <c r="G42">
        <v>1.621575342465754</v>
      </c>
    </row>
    <row r="43" spans="1:7" hidden="1" x14ac:dyDescent="0.3">
      <c r="A43" t="s">
        <v>146</v>
      </c>
      <c r="B43" t="s">
        <v>145</v>
      </c>
      <c r="C43" t="s">
        <v>144</v>
      </c>
      <c r="D43">
        <v>0.99718886613845825</v>
      </c>
      <c r="E43">
        <v>0.99718886613845825</v>
      </c>
      <c r="F43">
        <v>0.99718886613845825</v>
      </c>
      <c r="G43">
        <v>1.220338983050848</v>
      </c>
    </row>
    <row r="44" spans="1:7" x14ac:dyDescent="0.3">
      <c r="A44" t="s">
        <v>143</v>
      </c>
      <c r="B44" t="s">
        <v>142</v>
      </c>
      <c r="C44" t="s">
        <v>141</v>
      </c>
      <c r="D44">
        <v>0.99648904800415039</v>
      </c>
      <c r="E44">
        <v>0.99648904800415039</v>
      </c>
      <c r="F44">
        <v>0.99648904800415039</v>
      </c>
      <c r="G44">
        <v>0.67600120445648904</v>
      </c>
    </row>
    <row r="45" spans="1:7" x14ac:dyDescent="0.3">
      <c r="A45" t="s">
        <v>140</v>
      </c>
      <c r="B45" t="s">
        <v>139</v>
      </c>
      <c r="C45" t="s">
        <v>138</v>
      </c>
      <c r="D45">
        <v>0.99611091613769531</v>
      </c>
      <c r="E45">
        <v>0.99611091613769531</v>
      </c>
      <c r="F45">
        <v>0.99611091613769531</v>
      </c>
      <c r="G45">
        <v>0.41509433962264147</v>
      </c>
    </row>
    <row r="46" spans="1:7" hidden="1" x14ac:dyDescent="0.3">
      <c r="A46" t="s">
        <v>137</v>
      </c>
      <c r="B46" t="s">
        <v>136</v>
      </c>
      <c r="C46" t="s">
        <v>135</v>
      </c>
      <c r="D46">
        <v>0.96091413497924805</v>
      </c>
      <c r="E46">
        <v>0.98745256662368774</v>
      </c>
      <c r="F46">
        <v>0.9740026593208313</v>
      </c>
      <c r="G46">
        <v>60981517326.637199</v>
      </c>
    </row>
    <row r="47" spans="1:7" x14ac:dyDescent="0.3">
      <c r="A47" t="s">
        <v>134</v>
      </c>
      <c r="B47" t="s">
        <v>133</v>
      </c>
      <c r="C47" t="s">
        <v>132</v>
      </c>
      <c r="D47">
        <v>0.999420166015625</v>
      </c>
      <c r="E47">
        <v>0.999420166015625</v>
      </c>
      <c r="F47">
        <v>0.999420166015625</v>
      </c>
      <c r="G47">
        <v>0.28571428571428548</v>
      </c>
    </row>
    <row r="48" spans="1:7" x14ac:dyDescent="0.3">
      <c r="A48" t="s">
        <v>131</v>
      </c>
      <c r="B48" t="s">
        <v>130</v>
      </c>
      <c r="C48" t="s">
        <v>129</v>
      </c>
      <c r="D48">
        <v>0.99423110485076904</v>
      </c>
      <c r="E48">
        <v>0.99423110485076904</v>
      </c>
      <c r="F48">
        <v>0.99423110485076904</v>
      </c>
      <c r="G48">
        <v>0.99702380952380953</v>
      </c>
    </row>
    <row r="49" spans="1:7" hidden="1" x14ac:dyDescent="0.3">
      <c r="A49" t="s">
        <v>128</v>
      </c>
      <c r="B49" t="s">
        <v>127</v>
      </c>
      <c r="C49" t="s">
        <v>126</v>
      </c>
      <c r="D49">
        <v>0.99825954437255859</v>
      </c>
      <c r="E49">
        <v>0.99825954437255859</v>
      </c>
      <c r="F49">
        <v>0.99825954437255859</v>
      </c>
      <c r="G49">
        <v>1.827586206896552</v>
      </c>
    </row>
    <row r="50" spans="1:7" x14ac:dyDescent="0.3">
      <c r="A50" t="s">
        <v>125</v>
      </c>
      <c r="B50" t="s">
        <v>124</v>
      </c>
      <c r="C50" t="s">
        <v>123</v>
      </c>
      <c r="D50">
        <v>0.99586838483810425</v>
      </c>
      <c r="E50">
        <v>0.99586838483810425</v>
      </c>
      <c r="F50">
        <v>0.99586838483810425</v>
      </c>
      <c r="G50">
        <v>0.96577946768060841</v>
      </c>
    </row>
    <row r="51" spans="1:7" hidden="1" x14ac:dyDescent="0.3">
      <c r="A51" t="s">
        <v>122</v>
      </c>
      <c r="B51" t="s">
        <v>121</v>
      </c>
      <c r="C51" t="s">
        <v>120</v>
      </c>
      <c r="D51">
        <v>0.99417942762374878</v>
      </c>
      <c r="E51">
        <v>0.99626904726028442</v>
      </c>
      <c r="F51">
        <v>0.99522310495376587</v>
      </c>
      <c r="G51">
        <v>45.960570469798661</v>
      </c>
    </row>
    <row r="52" spans="1:7" hidden="1" x14ac:dyDescent="0.3">
      <c r="A52" t="s">
        <v>119</v>
      </c>
      <c r="B52" t="s">
        <v>118</v>
      </c>
      <c r="C52" t="s">
        <v>117</v>
      </c>
      <c r="D52">
        <v>0.99947363138198853</v>
      </c>
      <c r="E52">
        <v>0.99947363138198853</v>
      </c>
      <c r="F52">
        <v>0.99947363138198853</v>
      </c>
      <c r="G52">
        <v>1.25</v>
      </c>
    </row>
    <row r="53" spans="1:7" x14ac:dyDescent="0.3">
      <c r="A53" t="s">
        <v>116</v>
      </c>
      <c r="B53" t="s">
        <v>115</v>
      </c>
      <c r="C53" t="s">
        <v>114</v>
      </c>
      <c r="D53">
        <v>0.99570375680923462</v>
      </c>
      <c r="E53">
        <v>0.99313724040985107</v>
      </c>
      <c r="F53">
        <v>0.99441885948181152</v>
      </c>
      <c r="G53">
        <v>0.98979009143509766</v>
      </c>
    </row>
    <row r="54" spans="1:7" hidden="1" x14ac:dyDescent="0.3">
      <c r="A54" t="s">
        <v>113</v>
      </c>
      <c r="B54" t="s">
        <v>112</v>
      </c>
      <c r="C54" t="s">
        <v>111</v>
      </c>
      <c r="D54">
        <v>0.99868404865264893</v>
      </c>
      <c r="E54">
        <v>0.99868404865264893</v>
      </c>
      <c r="F54">
        <v>0.99868404865264893</v>
      </c>
      <c r="G54">
        <v>6</v>
      </c>
    </row>
    <row r="55" spans="1:7" x14ac:dyDescent="0.3">
      <c r="A55" t="s">
        <v>110</v>
      </c>
      <c r="B55" t="s">
        <v>109</v>
      </c>
      <c r="C55" t="s">
        <v>108</v>
      </c>
      <c r="D55">
        <v>0.99723613262176514</v>
      </c>
      <c r="E55">
        <v>0.99723613262176514</v>
      </c>
      <c r="F55">
        <v>0.99723613262176514</v>
      </c>
      <c r="G55">
        <v>0.11665443873807781</v>
      </c>
    </row>
    <row r="56" spans="1:7" x14ac:dyDescent="0.3">
      <c r="A56" t="s">
        <v>107</v>
      </c>
      <c r="B56" t="s">
        <v>106</v>
      </c>
      <c r="C56" t="s">
        <v>105</v>
      </c>
      <c r="D56">
        <v>0.99734652042388916</v>
      </c>
      <c r="E56">
        <v>0.99734652042388916</v>
      </c>
      <c r="F56">
        <v>0.99734652042388916</v>
      </c>
      <c r="G56">
        <v>0.55161023947151111</v>
      </c>
    </row>
    <row r="57" spans="1:7" x14ac:dyDescent="0.3">
      <c r="A57" t="s">
        <v>104</v>
      </c>
      <c r="B57" t="s">
        <v>103</v>
      </c>
      <c r="C57" t="s">
        <v>102</v>
      </c>
      <c r="D57">
        <v>0.99574780464172363</v>
      </c>
      <c r="E57">
        <v>0.99574780464172363</v>
      </c>
      <c r="F57">
        <v>0.99574780464172363</v>
      </c>
      <c r="G57">
        <v>0.58139534883720945</v>
      </c>
    </row>
    <row r="58" spans="1:7" x14ac:dyDescent="0.3">
      <c r="A58" t="s">
        <v>101</v>
      </c>
      <c r="B58" t="s">
        <v>100</v>
      </c>
      <c r="C58" t="s">
        <v>99</v>
      </c>
      <c r="D58">
        <v>0.99827498197555542</v>
      </c>
      <c r="E58">
        <v>0.99827498197555542</v>
      </c>
      <c r="F58">
        <v>0.99827498197555542</v>
      </c>
      <c r="G58">
        <v>0.32071269487750542</v>
      </c>
    </row>
    <row r="59" spans="1:7" x14ac:dyDescent="0.3">
      <c r="A59" t="s">
        <v>98</v>
      </c>
      <c r="B59" t="s">
        <v>97</v>
      </c>
      <c r="C59" t="s">
        <v>96</v>
      </c>
      <c r="D59">
        <v>0.99699914455413818</v>
      </c>
      <c r="E59">
        <v>0.99699914455413818</v>
      </c>
      <c r="F59">
        <v>0.99699914455413818</v>
      </c>
      <c r="G59">
        <v>0.74437529918621348</v>
      </c>
    </row>
    <row r="60" spans="1:7" x14ac:dyDescent="0.3">
      <c r="A60" t="s">
        <v>95</v>
      </c>
      <c r="B60" t="s">
        <v>94</v>
      </c>
      <c r="C60" t="s">
        <v>93</v>
      </c>
      <c r="D60">
        <v>0.99683892726898193</v>
      </c>
      <c r="E60">
        <v>0.99683892726898193</v>
      </c>
      <c r="F60">
        <v>0.99683892726898193</v>
      </c>
      <c r="G60">
        <v>0.57142857142857151</v>
      </c>
    </row>
    <row r="61" spans="1:7" hidden="1" x14ac:dyDescent="0.3">
      <c r="A61" t="s">
        <v>92</v>
      </c>
      <c r="B61" t="s">
        <v>91</v>
      </c>
      <c r="C61" t="s">
        <v>90</v>
      </c>
      <c r="D61">
        <v>0.99500930309295654</v>
      </c>
      <c r="E61">
        <v>0.99670147895812988</v>
      </c>
      <c r="F61">
        <v>0.99585467576980591</v>
      </c>
      <c r="G61">
        <v>1.312243821273487</v>
      </c>
    </row>
    <row r="62" spans="1:7" hidden="1" x14ac:dyDescent="0.3">
      <c r="A62" t="s">
        <v>89</v>
      </c>
      <c r="B62" t="s">
        <v>88</v>
      </c>
      <c r="C62" t="s">
        <v>87</v>
      </c>
      <c r="D62">
        <v>0.99628269672393799</v>
      </c>
      <c r="E62">
        <v>0.99628269672393799</v>
      </c>
      <c r="F62">
        <v>0.99628269672393799</v>
      </c>
      <c r="G62">
        <v>1.60377358490566</v>
      </c>
    </row>
    <row r="63" spans="1:7" x14ac:dyDescent="0.3">
      <c r="A63" t="s">
        <v>86</v>
      </c>
      <c r="B63" t="s">
        <v>85</v>
      </c>
      <c r="C63" t="s">
        <v>84</v>
      </c>
      <c r="D63">
        <v>0.99885916709899902</v>
      </c>
      <c r="E63">
        <v>0.99885916709899902</v>
      </c>
      <c r="F63">
        <v>0.99885916709899902</v>
      </c>
      <c r="G63">
        <v>0.2</v>
      </c>
    </row>
    <row r="64" spans="1:7" x14ac:dyDescent="0.3">
      <c r="A64" t="s">
        <v>83</v>
      </c>
      <c r="B64" t="s">
        <v>82</v>
      </c>
      <c r="C64" t="s">
        <v>81</v>
      </c>
      <c r="D64">
        <v>0.99241602420806885</v>
      </c>
      <c r="E64">
        <v>0.97893553972244263</v>
      </c>
      <c r="F64">
        <v>0.98562967777252197</v>
      </c>
      <c r="G64">
        <v>0.9999999388181372</v>
      </c>
    </row>
    <row r="65" spans="1:7" x14ac:dyDescent="0.3">
      <c r="A65" t="s">
        <v>80</v>
      </c>
      <c r="B65" t="s">
        <v>79</v>
      </c>
      <c r="C65" t="s">
        <v>78</v>
      </c>
      <c r="D65">
        <v>0.99886947870254517</v>
      </c>
      <c r="E65">
        <v>0.99886947870254517</v>
      </c>
      <c r="F65">
        <v>0.99886947870254517</v>
      </c>
      <c r="G65">
        <v>0.62068965517241381</v>
      </c>
    </row>
    <row r="66" spans="1:7" x14ac:dyDescent="0.3">
      <c r="A66" t="s">
        <v>77</v>
      </c>
      <c r="B66" t="s">
        <v>76</v>
      </c>
      <c r="C66" t="s">
        <v>75</v>
      </c>
      <c r="D66">
        <v>0.99690485000610352</v>
      </c>
      <c r="E66">
        <v>0.99690485000610352</v>
      </c>
      <c r="F66">
        <v>0.99690485000610352</v>
      </c>
      <c r="G66">
        <v>0.38619854721549629</v>
      </c>
    </row>
    <row r="67" spans="1:7" x14ac:dyDescent="0.3">
      <c r="A67" t="s">
        <v>74</v>
      </c>
      <c r="B67" t="s">
        <v>73</v>
      </c>
      <c r="C67" t="s">
        <v>72</v>
      </c>
      <c r="D67">
        <v>0.99798256158828735</v>
      </c>
      <c r="E67">
        <v>0.99798256158828735</v>
      </c>
      <c r="F67">
        <v>0.99798256158828735</v>
      </c>
      <c r="G67">
        <v>0.73511658184400519</v>
      </c>
    </row>
    <row r="68" spans="1:7" x14ac:dyDescent="0.3">
      <c r="A68" t="s">
        <v>71</v>
      </c>
      <c r="B68" t="s">
        <v>70</v>
      </c>
      <c r="C68" t="s">
        <v>69</v>
      </c>
      <c r="D68">
        <v>0.99999994039535522</v>
      </c>
      <c r="E68">
        <v>0.99999994039535522</v>
      </c>
      <c r="F68">
        <v>0.99999994039535522</v>
      </c>
      <c r="G68">
        <v>0</v>
      </c>
    </row>
    <row r="69" spans="1:7" hidden="1" x14ac:dyDescent="0.3">
      <c r="A69" t="s">
        <v>68</v>
      </c>
      <c r="B69" t="s">
        <v>67</v>
      </c>
      <c r="C69" t="s">
        <v>66</v>
      </c>
      <c r="D69">
        <v>0.99822449684143066</v>
      </c>
      <c r="E69">
        <v>0.99822449684143066</v>
      </c>
      <c r="F69">
        <v>0.99822449684143066</v>
      </c>
      <c r="G69">
        <v>16.333333333333329</v>
      </c>
    </row>
    <row r="70" spans="1:7" x14ac:dyDescent="0.3">
      <c r="A70" t="s">
        <v>65</v>
      </c>
      <c r="B70" t="s">
        <v>64</v>
      </c>
      <c r="C70" t="s">
        <v>63</v>
      </c>
      <c r="D70">
        <v>0.99836677312850952</v>
      </c>
      <c r="E70">
        <v>0.99836677312850952</v>
      </c>
      <c r="F70">
        <v>0.99836677312850952</v>
      </c>
      <c r="G70">
        <v>0.2341772151898735</v>
      </c>
    </row>
    <row r="71" spans="1:7" x14ac:dyDescent="0.3">
      <c r="A71" t="s">
        <v>62</v>
      </c>
      <c r="B71" t="s">
        <v>61</v>
      </c>
      <c r="C71" t="s">
        <v>60</v>
      </c>
      <c r="D71">
        <v>0.99751275777816772</v>
      </c>
      <c r="E71">
        <v>0.99751275777816772</v>
      </c>
      <c r="F71">
        <v>0.99751275777816772</v>
      </c>
      <c r="G71">
        <v>0.56705729166666663</v>
      </c>
    </row>
    <row r="72" spans="1:7" hidden="1" x14ac:dyDescent="0.3">
      <c r="A72" t="s">
        <v>59</v>
      </c>
      <c r="B72" t="s">
        <v>58</v>
      </c>
      <c r="C72" t="s">
        <v>57</v>
      </c>
      <c r="D72">
        <v>0.99867475032806396</v>
      </c>
      <c r="E72">
        <v>0.99867475032806396</v>
      </c>
      <c r="F72">
        <v>0.99867475032806396</v>
      </c>
      <c r="G72">
        <v>1.428571428571429</v>
      </c>
    </row>
    <row r="73" spans="1:7" x14ac:dyDescent="0.3">
      <c r="A73" t="s">
        <v>56</v>
      </c>
      <c r="B73" t="s">
        <v>55</v>
      </c>
      <c r="C73" t="s">
        <v>54</v>
      </c>
      <c r="D73">
        <v>1</v>
      </c>
      <c r="E73">
        <v>1</v>
      </c>
      <c r="F73">
        <v>1</v>
      </c>
      <c r="G73">
        <v>0</v>
      </c>
    </row>
    <row r="74" spans="1:7" x14ac:dyDescent="0.3">
      <c r="A74" t="s">
        <v>53</v>
      </c>
      <c r="B74" t="s">
        <v>52</v>
      </c>
      <c r="C74" t="s">
        <v>51</v>
      </c>
      <c r="D74">
        <v>0.99917525053024292</v>
      </c>
      <c r="E74">
        <v>0.99917525053024292</v>
      </c>
      <c r="F74">
        <v>0.99917525053024292</v>
      </c>
      <c r="G74">
        <v>0.75</v>
      </c>
    </row>
    <row r="75" spans="1:7" hidden="1" x14ac:dyDescent="0.3">
      <c r="A75" t="s">
        <v>50</v>
      </c>
      <c r="B75" t="s">
        <v>49</v>
      </c>
      <c r="C75" t="s">
        <v>48</v>
      </c>
      <c r="D75">
        <v>0.96234256029129028</v>
      </c>
      <c r="E75">
        <v>0.98909687995910645</v>
      </c>
      <c r="F75">
        <v>0.97553634643554688</v>
      </c>
      <c r="G75">
        <v>24434452328650.629</v>
      </c>
    </row>
    <row r="76" spans="1:7" x14ac:dyDescent="0.3">
      <c r="A76" t="s">
        <v>47</v>
      </c>
      <c r="B76" t="s">
        <v>46</v>
      </c>
      <c r="C76" t="s">
        <v>45</v>
      </c>
      <c r="D76">
        <v>0.99807894229888916</v>
      </c>
      <c r="E76">
        <v>0.99807894229888916</v>
      </c>
      <c r="F76">
        <v>0.99807894229888916</v>
      </c>
      <c r="G76">
        <v>0.20661157024793389</v>
      </c>
    </row>
    <row r="77" spans="1:7" x14ac:dyDescent="0.3">
      <c r="A77" t="s">
        <v>44</v>
      </c>
      <c r="B77" t="s">
        <v>43</v>
      </c>
      <c r="C77" t="s">
        <v>42</v>
      </c>
      <c r="D77">
        <v>0.99416500329971313</v>
      </c>
      <c r="E77">
        <v>0.98912471532821655</v>
      </c>
      <c r="F77">
        <v>0.99163848161697388</v>
      </c>
      <c r="G77">
        <v>0.99999729225997303</v>
      </c>
    </row>
    <row r="78" spans="1:7" x14ac:dyDescent="0.3">
      <c r="A78" t="s">
        <v>41</v>
      </c>
      <c r="B78" t="s">
        <v>40</v>
      </c>
      <c r="C78" t="s">
        <v>39</v>
      </c>
      <c r="D78">
        <v>0.99810624122619629</v>
      </c>
      <c r="E78">
        <v>0.99810624122619629</v>
      </c>
      <c r="F78">
        <v>0.99810624122619629</v>
      </c>
      <c r="G78">
        <v>0.71484374999999989</v>
      </c>
    </row>
    <row r="79" spans="1:7" x14ac:dyDescent="0.3">
      <c r="A79" t="s">
        <v>38</v>
      </c>
      <c r="B79" t="s">
        <v>37</v>
      </c>
      <c r="C79" t="s">
        <v>36</v>
      </c>
      <c r="D79">
        <v>0.99863791465759277</v>
      </c>
      <c r="E79">
        <v>0.99863791465759277</v>
      </c>
      <c r="F79">
        <v>0.99863791465759277</v>
      </c>
      <c r="G79">
        <v>0.47035573122529661</v>
      </c>
    </row>
    <row r="80" spans="1:7" hidden="1" x14ac:dyDescent="0.3">
      <c r="A80" t="s">
        <v>35</v>
      </c>
      <c r="B80" t="s">
        <v>34</v>
      </c>
      <c r="C80" t="s">
        <v>33</v>
      </c>
      <c r="D80">
        <v>0.9992443323135376</v>
      </c>
      <c r="E80">
        <v>0.9992443323135376</v>
      </c>
      <c r="F80">
        <v>0.9992443323135376</v>
      </c>
      <c r="G80">
        <v>8</v>
      </c>
    </row>
    <row r="81" spans="1:7" x14ac:dyDescent="0.3">
      <c r="A81" t="s">
        <v>32</v>
      </c>
      <c r="B81" t="s">
        <v>31</v>
      </c>
      <c r="C81" t="s">
        <v>30</v>
      </c>
      <c r="D81">
        <v>0.99927133321762085</v>
      </c>
      <c r="E81">
        <v>0.99927133321762085</v>
      </c>
      <c r="F81">
        <v>0.99927133321762085</v>
      </c>
      <c r="G81">
        <v>0.38095238095238088</v>
      </c>
    </row>
    <row r="82" spans="1:7" hidden="1" x14ac:dyDescent="0.3">
      <c r="A82" t="s">
        <v>29</v>
      </c>
      <c r="B82" t="s">
        <v>28</v>
      </c>
      <c r="C82" t="s">
        <v>27</v>
      </c>
      <c r="D82">
        <v>0.99836540222167969</v>
      </c>
      <c r="E82">
        <v>0.99836540222167969</v>
      </c>
      <c r="F82">
        <v>0.99836540222167969</v>
      </c>
      <c r="G82">
        <v>2.29350104821803</v>
      </c>
    </row>
    <row r="83" spans="1:7" x14ac:dyDescent="0.3">
      <c r="A83" t="s">
        <v>26</v>
      </c>
      <c r="B83" t="s">
        <v>25</v>
      </c>
      <c r="C83" t="s">
        <v>24</v>
      </c>
      <c r="D83">
        <v>0.99779385328292847</v>
      </c>
      <c r="E83">
        <v>0.99779385328292847</v>
      </c>
      <c r="F83">
        <v>0.99779385328292847</v>
      </c>
      <c r="G83">
        <v>0.14432989690721651</v>
      </c>
    </row>
    <row r="84" spans="1:7" x14ac:dyDescent="0.3">
      <c r="A84" t="s">
        <v>23</v>
      </c>
      <c r="B84" t="s">
        <v>22</v>
      </c>
      <c r="C84" t="s">
        <v>21</v>
      </c>
      <c r="D84">
        <v>0.99840450286865234</v>
      </c>
      <c r="E84">
        <v>0.99840450286865234</v>
      </c>
      <c r="F84">
        <v>0.99840450286865234</v>
      </c>
      <c r="G84">
        <v>0.37323943661971831</v>
      </c>
    </row>
    <row r="85" spans="1:7" x14ac:dyDescent="0.3">
      <c r="A85" t="s">
        <v>20</v>
      </c>
      <c r="B85" t="s">
        <v>19</v>
      </c>
      <c r="C85" t="s">
        <v>18</v>
      </c>
      <c r="D85">
        <v>0.99662971496582031</v>
      </c>
      <c r="E85">
        <v>0.99662971496582031</v>
      </c>
      <c r="F85">
        <v>0.99662971496582031</v>
      </c>
      <c r="G85">
        <v>0.94117647058823528</v>
      </c>
    </row>
    <row r="86" spans="1:7" x14ac:dyDescent="0.3">
      <c r="A86" t="s">
        <v>17</v>
      </c>
      <c r="B86" t="s">
        <v>16</v>
      </c>
      <c r="C86" t="s">
        <v>15</v>
      </c>
      <c r="D86">
        <v>0.99560242891311646</v>
      </c>
      <c r="E86">
        <v>0.99560242891311646</v>
      </c>
      <c r="F86">
        <v>0.99560242891311646</v>
      </c>
      <c r="G86">
        <v>0.88762603116406957</v>
      </c>
    </row>
    <row r="87" spans="1:7" hidden="1" x14ac:dyDescent="0.3">
      <c r="A87" t="s">
        <v>14</v>
      </c>
      <c r="B87" t="s">
        <v>13</v>
      </c>
      <c r="C87" t="s">
        <v>12</v>
      </c>
      <c r="D87">
        <v>0.99659276008605957</v>
      </c>
      <c r="E87">
        <v>0.99659276008605957</v>
      </c>
      <c r="F87">
        <v>0.99659276008605957</v>
      </c>
      <c r="G87">
        <v>11.285714285714279</v>
      </c>
    </row>
    <row r="88" spans="1:7" hidden="1" x14ac:dyDescent="0.3">
      <c r="A88" t="s">
        <v>11</v>
      </c>
      <c r="B88" t="s">
        <v>10</v>
      </c>
      <c r="C88" t="s">
        <v>9</v>
      </c>
      <c r="D88">
        <v>0.99748122692108154</v>
      </c>
      <c r="E88">
        <v>0.99748122692108154</v>
      </c>
      <c r="F88">
        <v>0.99748122692108154</v>
      </c>
      <c r="G88">
        <v>7.3531468531468542</v>
      </c>
    </row>
    <row r="89" spans="1:7" x14ac:dyDescent="0.3">
      <c r="A89" t="s">
        <v>8</v>
      </c>
      <c r="B89" t="s">
        <v>7</v>
      </c>
      <c r="C89" t="s">
        <v>6</v>
      </c>
      <c r="D89">
        <v>0.99671459197998047</v>
      </c>
      <c r="E89">
        <v>0.99671459197998047</v>
      </c>
      <c r="F89">
        <v>0.99671459197998047</v>
      </c>
      <c r="G89">
        <v>0.82924693520140114</v>
      </c>
    </row>
    <row r="90" spans="1:7" hidden="1" x14ac:dyDescent="0.3">
      <c r="A90" t="s">
        <v>5</v>
      </c>
      <c r="B90" t="s">
        <v>4</v>
      </c>
      <c r="C90" t="s">
        <v>3</v>
      </c>
      <c r="D90">
        <v>0.99728667736053467</v>
      </c>
      <c r="E90">
        <v>0.99728667736053467</v>
      </c>
      <c r="F90">
        <v>0.99728667736053467</v>
      </c>
      <c r="G90">
        <v>1.666666666666667</v>
      </c>
    </row>
    <row r="91" spans="1:7" x14ac:dyDescent="0.3">
      <c r="A91" t="s">
        <v>2</v>
      </c>
      <c r="B91" t="s">
        <v>1</v>
      </c>
      <c r="C91" t="s">
        <v>0</v>
      </c>
      <c r="D91">
        <v>0.99889653921127319</v>
      </c>
      <c r="E91">
        <v>0.99889653921127319</v>
      </c>
      <c r="F91">
        <v>0.99889653921127319</v>
      </c>
      <c r="G91">
        <v>0.30091185410334348</v>
      </c>
    </row>
    <row r="92" spans="1:7" hidden="1" x14ac:dyDescent="0.3">
      <c r="D92">
        <f>AVERAGE(D2:D91)</f>
        <v>0.99596283170912003</v>
      </c>
      <c r="E92">
        <f t="shared" ref="E92:F92" si="0">AVERAGE(E2:E91)</f>
        <v>0.99619594083891971</v>
      </c>
      <c r="F92">
        <f t="shared" si="0"/>
        <v>0.99606838226318362</v>
      </c>
    </row>
    <row r="93" spans="1:7" hidden="1" x14ac:dyDescent="0.3">
      <c r="D93">
        <f>AVERAGE(D2:D92)</f>
        <v>0.99596283170912003</v>
      </c>
      <c r="E93">
        <f t="shared" ref="E93:F93" si="1">AVERAGE(E2:E92)</f>
        <v>0.99619594083891971</v>
      </c>
      <c r="F93">
        <f t="shared" si="1"/>
        <v>0.99606838226318362</v>
      </c>
    </row>
  </sheetData>
  <autoFilter ref="A1:G93" xr:uid="{F90A1216-E6C5-4440-9BBB-DEB96D8E7C08}">
    <filterColumn colId="6">
      <customFilters>
        <customFilter operator="lessThanOrEqual" val="1"/>
      </customFilters>
    </filterColumn>
  </autoFilter>
  <phoneticPr fontId="1" type="noConversion"/>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62221-A3C4-4A57-BD2B-410C33640FAE}">
  <sheetPr filterMode="1"/>
  <dimension ref="A1:G92"/>
  <sheetViews>
    <sheetView topLeftCell="A18" workbookViewId="0">
      <selection activeCell="G2" sqref="G2:G91"/>
    </sheetView>
  </sheetViews>
  <sheetFormatPr defaultRowHeight="14" x14ac:dyDescent="0.3"/>
  <sheetData>
    <row r="1" spans="1:7" x14ac:dyDescent="0.3">
      <c r="A1" s="1" t="s">
        <v>265</v>
      </c>
      <c r="B1" s="1" t="s">
        <v>264</v>
      </c>
      <c r="C1" s="1" t="s">
        <v>263</v>
      </c>
      <c r="D1" s="1" t="s">
        <v>262</v>
      </c>
      <c r="E1" s="1" t="s">
        <v>261</v>
      </c>
      <c r="F1" s="1" t="s">
        <v>260</v>
      </c>
      <c r="G1" s="1" t="s">
        <v>259</v>
      </c>
    </row>
    <row r="2" spans="1:7" x14ac:dyDescent="0.3">
      <c r="A2" t="s">
        <v>443</v>
      </c>
      <c r="B2" t="s">
        <v>442</v>
      </c>
      <c r="C2" t="s">
        <v>258</v>
      </c>
      <c r="D2">
        <v>0.99887895584106445</v>
      </c>
      <c r="E2">
        <v>0.99887895584106445</v>
      </c>
      <c r="F2">
        <v>0.99887895584106445</v>
      </c>
      <c r="G2">
        <v>2.8571428571428572</v>
      </c>
    </row>
    <row r="3" spans="1:7" x14ac:dyDescent="0.3">
      <c r="A3" t="s">
        <v>441</v>
      </c>
      <c r="B3" t="s">
        <v>440</v>
      </c>
      <c r="C3" t="s">
        <v>255</v>
      </c>
      <c r="D3">
        <v>0.99888306856155396</v>
      </c>
      <c r="E3">
        <v>0.99888306856155396</v>
      </c>
      <c r="F3">
        <v>0.99888306856155396</v>
      </c>
      <c r="G3">
        <v>0.22131147540983609</v>
      </c>
    </row>
    <row r="4" spans="1:7" x14ac:dyDescent="0.3">
      <c r="A4" t="s">
        <v>439</v>
      </c>
      <c r="B4" t="s">
        <v>438</v>
      </c>
      <c r="C4" t="s">
        <v>253</v>
      </c>
      <c r="D4">
        <v>0.99785780906677246</v>
      </c>
      <c r="E4">
        <v>0.99785780906677246</v>
      </c>
      <c r="F4">
        <v>0.99785780906677246</v>
      </c>
      <c r="G4">
        <v>0.81690140845070436</v>
      </c>
    </row>
    <row r="5" spans="1:7" x14ac:dyDescent="0.3">
      <c r="A5" t="s">
        <v>437</v>
      </c>
      <c r="B5" t="s">
        <v>436</v>
      </c>
      <c r="C5" t="s">
        <v>250</v>
      </c>
      <c r="D5">
        <v>0.99837410449981689</v>
      </c>
      <c r="E5">
        <v>0.99837410449981689</v>
      </c>
      <c r="F5">
        <v>0.99837410449981689</v>
      </c>
      <c r="G5">
        <v>1.205882352941176</v>
      </c>
    </row>
    <row r="6" spans="1:7" x14ac:dyDescent="0.3">
      <c r="A6" t="s">
        <v>435</v>
      </c>
      <c r="B6" t="s">
        <v>434</v>
      </c>
      <c r="C6" t="s">
        <v>247</v>
      </c>
      <c r="D6">
        <v>0.99832171201705933</v>
      </c>
      <c r="E6">
        <v>0.99832171201705933</v>
      </c>
      <c r="F6">
        <v>0.99832171201705933</v>
      </c>
      <c r="G6">
        <v>0.1348920863309353</v>
      </c>
    </row>
    <row r="7" spans="1:7" x14ac:dyDescent="0.3">
      <c r="A7" t="s">
        <v>433</v>
      </c>
      <c r="B7" t="s">
        <v>432</v>
      </c>
      <c r="C7" t="s">
        <v>246</v>
      </c>
      <c r="D7">
        <v>0.99731826782226563</v>
      </c>
      <c r="E7">
        <v>0.99731826782226563</v>
      </c>
      <c r="F7">
        <v>0.99731826782226563</v>
      </c>
      <c r="G7">
        <v>0.88151553347668121</v>
      </c>
    </row>
    <row r="8" spans="1:7" x14ac:dyDescent="0.3">
      <c r="A8" t="s">
        <v>431</v>
      </c>
      <c r="B8" t="s">
        <v>430</v>
      </c>
      <c r="C8" t="s">
        <v>244</v>
      </c>
      <c r="D8">
        <v>0.9953961968421936</v>
      </c>
      <c r="E8">
        <v>0.9953961968421936</v>
      </c>
      <c r="F8">
        <v>0.9953961968421936</v>
      </c>
      <c r="G8">
        <v>0.97883597883597884</v>
      </c>
    </row>
    <row r="9" spans="1:7" x14ac:dyDescent="0.3">
      <c r="A9" t="s">
        <v>429</v>
      </c>
      <c r="B9" t="s">
        <v>428</v>
      </c>
      <c r="C9" t="s">
        <v>241</v>
      </c>
      <c r="D9">
        <v>0.99855029582977295</v>
      </c>
      <c r="E9">
        <v>0.99855029582977295</v>
      </c>
      <c r="F9">
        <v>0.99855029582977295</v>
      </c>
      <c r="G9">
        <v>0.84090909090909094</v>
      </c>
    </row>
    <row r="10" spans="1:7" hidden="1" x14ac:dyDescent="0.3">
      <c r="A10" t="s">
        <v>427</v>
      </c>
      <c r="B10" t="s">
        <v>426</v>
      </c>
      <c r="C10" t="s">
        <v>239</v>
      </c>
      <c r="D10">
        <v>0.99532347917556763</v>
      </c>
      <c r="E10">
        <v>0.99470001459121704</v>
      </c>
      <c r="F10">
        <v>0.99501168727874756</v>
      </c>
      <c r="G10">
        <v>60.297297297297291</v>
      </c>
    </row>
    <row r="11" spans="1:7" x14ac:dyDescent="0.3">
      <c r="A11" t="s">
        <v>425</v>
      </c>
      <c r="B11" t="s">
        <v>424</v>
      </c>
      <c r="C11" t="s">
        <v>236</v>
      </c>
      <c r="D11">
        <v>0.98802876472473145</v>
      </c>
      <c r="E11">
        <v>0.94514507055282593</v>
      </c>
      <c r="F11">
        <v>0.96611124277114868</v>
      </c>
      <c r="G11">
        <v>0.99437500000000001</v>
      </c>
    </row>
    <row r="12" spans="1:7" x14ac:dyDescent="0.3">
      <c r="A12" t="s">
        <v>423</v>
      </c>
      <c r="B12" t="s">
        <v>422</v>
      </c>
      <c r="C12" t="s">
        <v>233</v>
      </c>
      <c r="D12">
        <v>0.99884301424026489</v>
      </c>
      <c r="E12">
        <v>0.99884301424026489</v>
      </c>
      <c r="F12">
        <v>0.99884301424026489</v>
      </c>
      <c r="G12">
        <v>0.45348837209302328</v>
      </c>
    </row>
    <row r="13" spans="1:7" x14ac:dyDescent="0.3">
      <c r="A13" t="s">
        <v>421</v>
      </c>
      <c r="B13" t="s">
        <v>420</v>
      </c>
      <c r="C13" t="s">
        <v>232</v>
      </c>
      <c r="D13">
        <v>0.99956011772155762</v>
      </c>
      <c r="E13">
        <v>0.99956011772155762</v>
      </c>
      <c r="F13">
        <v>0.99956011772155762</v>
      </c>
      <c r="G13">
        <v>0.33333333333333331</v>
      </c>
    </row>
    <row r="14" spans="1:7" x14ac:dyDescent="0.3">
      <c r="A14" t="s">
        <v>419</v>
      </c>
      <c r="B14" t="s">
        <v>418</v>
      </c>
      <c r="C14" t="s">
        <v>229</v>
      </c>
      <c r="D14">
        <v>0.99733412265777588</v>
      </c>
      <c r="E14">
        <v>0.99733412265777588</v>
      </c>
      <c r="F14">
        <v>0.99733412265777588</v>
      </c>
      <c r="G14">
        <v>0.39536954585930539</v>
      </c>
    </row>
    <row r="15" spans="1:7" hidden="1" x14ac:dyDescent="0.3">
      <c r="A15" t="s">
        <v>417</v>
      </c>
      <c r="B15" t="s">
        <v>416</v>
      </c>
      <c r="C15" t="s">
        <v>227</v>
      </c>
      <c r="D15">
        <v>0.99494624137878418</v>
      </c>
      <c r="E15">
        <v>0.99438178539276123</v>
      </c>
      <c r="F15">
        <v>0.99466389417648315</v>
      </c>
      <c r="G15">
        <v>842.06666666666661</v>
      </c>
    </row>
    <row r="16" spans="1:7" x14ac:dyDescent="0.3">
      <c r="A16" t="s">
        <v>415</v>
      </c>
      <c r="B16" t="s">
        <v>414</v>
      </c>
      <c r="C16" t="s">
        <v>224</v>
      </c>
      <c r="D16">
        <v>0.99999994039535522</v>
      </c>
      <c r="E16">
        <v>0.99999994039535522</v>
      </c>
      <c r="F16">
        <v>0.99999994039535522</v>
      </c>
      <c r="G16">
        <v>0</v>
      </c>
    </row>
    <row r="17" spans="1:7" hidden="1" x14ac:dyDescent="0.3">
      <c r="A17" t="s">
        <v>413</v>
      </c>
      <c r="B17" t="s">
        <v>412</v>
      </c>
      <c r="C17" t="s">
        <v>221</v>
      </c>
      <c r="D17">
        <v>0.99874544143676758</v>
      </c>
      <c r="E17">
        <v>0.99874544143676758</v>
      </c>
      <c r="F17">
        <v>0.99874544143676758</v>
      </c>
      <c r="G17">
        <v>8</v>
      </c>
    </row>
    <row r="18" spans="1:7" x14ac:dyDescent="0.3">
      <c r="A18" t="s">
        <v>411</v>
      </c>
      <c r="B18" t="s">
        <v>410</v>
      </c>
      <c r="C18" t="s">
        <v>218</v>
      </c>
      <c r="D18">
        <v>0.99601125717163086</v>
      </c>
      <c r="E18">
        <v>0.99601125717163086</v>
      </c>
      <c r="F18">
        <v>0.99601125717163086</v>
      </c>
      <c r="G18">
        <v>0.91787820113113006</v>
      </c>
    </row>
    <row r="19" spans="1:7" x14ac:dyDescent="0.3">
      <c r="A19" t="s">
        <v>409</v>
      </c>
      <c r="B19" t="s">
        <v>408</v>
      </c>
      <c r="C19" t="s">
        <v>215</v>
      </c>
      <c r="D19">
        <v>0.99682450294494629</v>
      </c>
      <c r="E19">
        <v>0.99682450294494629</v>
      </c>
      <c r="F19">
        <v>0.99682450294494629</v>
      </c>
      <c r="G19">
        <v>0.63862411935350183</v>
      </c>
    </row>
    <row r="20" spans="1:7" x14ac:dyDescent="0.3">
      <c r="A20" t="s">
        <v>407</v>
      </c>
      <c r="B20" t="s">
        <v>304</v>
      </c>
      <c r="C20" t="s">
        <v>212</v>
      </c>
      <c r="D20">
        <v>0.99909061193466187</v>
      </c>
      <c r="E20">
        <v>0.99909061193466187</v>
      </c>
      <c r="F20">
        <v>0.99909061193466187</v>
      </c>
      <c r="G20">
        <v>0.46153846153846151</v>
      </c>
    </row>
    <row r="21" spans="1:7" x14ac:dyDescent="0.3">
      <c r="A21" t="s">
        <v>406</v>
      </c>
      <c r="B21" t="s">
        <v>405</v>
      </c>
      <c r="C21" t="s">
        <v>209</v>
      </c>
      <c r="D21">
        <v>0.99745005369186401</v>
      </c>
      <c r="E21">
        <v>0.99745005369186401</v>
      </c>
      <c r="F21">
        <v>0.99745005369186401</v>
      </c>
      <c r="G21">
        <v>0.32697150430748839</v>
      </c>
    </row>
    <row r="22" spans="1:7" x14ac:dyDescent="0.3">
      <c r="A22" t="s">
        <v>404</v>
      </c>
      <c r="B22" t="s">
        <v>403</v>
      </c>
      <c r="C22" t="s">
        <v>206</v>
      </c>
      <c r="D22">
        <v>0.99751704931259155</v>
      </c>
      <c r="E22">
        <v>0.99751704931259155</v>
      </c>
      <c r="F22">
        <v>0.99751704931259155</v>
      </c>
      <c r="G22">
        <v>0.47044334975369462</v>
      </c>
    </row>
    <row r="23" spans="1:7" x14ac:dyDescent="0.3">
      <c r="A23" t="s">
        <v>402</v>
      </c>
      <c r="B23" t="s">
        <v>401</v>
      </c>
      <c r="C23" t="s">
        <v>203</v>
      </c>
      <c r="D23">
        <v>0.99901562929153442</v>
      </c>
      <c r="E23">
        <v>0.99901562929153442</v>
      </c>
      <c r="F23">
        <v>0.99901562929153442</v>
      </c>
      <c r="G23">
        <v>0.1059190031152648</v>
      </c>
    </row>
    <row r="24" spans="1:7" x14ac:dyDescent="0.3">
      <c r="A24" t="s">
        <v>400</v>
      </c>
      <c r="B24" t="s">
        <v>399</v>
      </c>
      <c r="C24" t="s">
        <v>200</v>
      </c>
      <c r="D24">
        <v>0.99895608425140381</v>
      </c>
      <c r="E24">
        <v>0.99895608425140381</v>
      </c>
      <c r="F24">
        <v>0.99895608425140381</v>
      </c>
      <c r="G24">
        <v>0.58139534883720934</v>
      </c>
    </row>
    <row r="25" spans="1:7" x14ac:dyDescent="0.3">
      <c r="A25" t="s">
        <v>398</v>
      </c>
      <c r="B25" t="s">
        <v>397</v>
      </c>
      <c r="C25" t="s">
        <v>197</v>
      </c>
      <c r="D25">
        <v>0.99479585886001587</v>
      </c>
      <c r="E25">
        <v>0.989246666431427</v>
      </c>
      <c r="F25">
        <v>0.99201351404190063</v>
      </c>
      <c r="G25">
        <v>0.97214355881957792</v>
      </c>
    </row>
    <row r="26" spans="1:7" x14ac:dyDescent="0.3">
      <c r="A26" t="s">
        <v>396</v>
      </c>
      <c r="B26" t="s">
        <v>395</v>
      </c>
      <c r="C26" t="s">
        <v>194</v>
      </c>
      <c r="D26">
        <v>0.99790054559707642</v>
      </c>
      <c r="E26">
        <v>0.99790054559707642</v>
      </c>
      <c r="F26">
        <v>0.99790054559707642</v>
      </c>
      <c r="G26">
        <v>0.91860465116279078</v>
      </c>
    </row>
    <row r="27" spans="1:7" x14ac:dyDescent="0.3">
      <c r="A27" t="s">
        <v>394</v>
      </c>
      <c r="B27" t="s">
        <v>393</v>
      </c>
      <c r="C27" t="s">
        <v>191</v>
      </c>
      <c r="D27">
        <v>0.99801492691040039</v>
      </c>
      <c r="E27">
        <v>0.99801492691040039</v>
      </c>
      <c r="F27">
        <v>0.99801492691040039</v>
      </c>
      <c r="G27">
        <v>0.36744186046511629</v>
      </c>
    </row>
    <row r="28" spans="1:7" x14ac:dyDescent="0.3">
      <c r="A28" t="s">
        <v>392</v>
      </c>
      <c r="B28" t="s">
        <v>391</v>
      </c>
      <c r="C28" t="s">
        <v>188</v>
      </c>
      <c r="D28">
        <v>0.99881452322006226</v>
      </c>
      <c r="E28">
        <v>0.99881452322006226</v>
      </c>
      <c r="F28">
        <v>0.99881452322006226</v>
      </c>
      <c r="G28">
        <v>0.30894308943089438</v>
      </c>
    </row>
    <row r="29" spans="1:7" x14ac:dyDescent="0.3">
      <c r="A29" t="s">
        <v>390</v>
      </c>
      <c r="B29" t="s">
        <v>389</v>
      </c>
      <c r="C29" t="s">
        <v>185</v>
      </c>
      <c r="D29">
        <v>0.99609637260437012</v>
      </c>
      <c r="E29">
        <v>0.99609637260437012</v>
      </c>
      <c r="F29">
        <v>0.99609637260437012</v>
      </c>
      <c r="G29">
        <v>0.89189189189189177</v>
      </c>
    </row>
    <row r="30" spans="1:7" x14ac:dyDescent="0.3">
      <c r="A30" t="s">
        <v>388</v>
      </c>
      <c r="B30" t="s">
        <v>387</v>
      </c>
      <c r="C30" t="s">
        <v>182</v>
      </c>
      <c r="D30">
        <v>0.99621403217315674</v>
      </c>
      <c r="E30">
        <v>0.99621403217315674</v>
      </c>
      <c r="F30">
        <v>0.99621403217315674</v>
      </c>
      <c r="G30">
        <v>0.8814589665653495</v>
      </c>
    </row>
    <row r="31" spans="1:7" x14ac:dyDescent="0.3">
      <c r="A31" t="s">
        <v>386</v>
      </c>
      <c r="B31" t="s">
        <v>385</v>
      </c>
      <c r="C31" t="s">
        <v>179</v>
      </c>
      <c r="D31">
        <v>0.99789786338806152</v>
      </c>
      <c r="E31">
        <v>0.99789786338806152</v>
      </c>
      <c r="F31">
        <v>0.99789786338806152</v>
      </c>
      <c r="G31">
        <v>1.252453468697124</v>
      </c>
    </row>
    <row r="32" spans="1:7" x14ac:dyDescent="0.3">
      <c r="A32" t="s">
        <v>384</v>
      </c>
      <c r="B32" t="s">
        <v>383</v>
      </c>
      <c r="C32" t="s">
        <v>176</v>
      </c>
      <c r="D32">
        <v>0.99806457757949829</v>
      </c>
      <c r="E32">
        <v>0.99806457757949829</v>
      </c>
      <c r="F32">
        <v>0.99806457757949829</v>
      </c>
      <c r="G32">
        <v>2.8804007514088969E-2</v>
      </c>
    </row>
    <row r="33" spans="1:7" x14ac:dyDescent="0.3">
      <c r="A33" t="s">
        <v>382</v>
      </c>
      <c r="B33" t="s">
        <v>381</v>
      </c>
      <c r="C33" t="s">
        <v>173</v>
      </c>
      <c r="D33">
        <v>0.99878084659576416</v>
      </c>
      <c r="E33">
        <v>0.99878084659576416</v>
      </c>
      <c r="F33">
        <v>0.99878084659576416</v>
      </c>
      <c r="G33">
        <v>0.30555555555555552</v>
      </c>
    </row>
    <row r="34" spans="1:7" hidden="1" x14ac:dyDescent="0.3">
      <c r="A34" t="s">
        <v>380</v>
      </c>
      <c r="B34" t="s">
        <v>379</v>
      </c>
      <c r="C34" t="s">
        <v>170</v>
      </c>
      <c r="D34">
        <v>0.97680306434631348</v>
      </c>
      <c r="E34">
        <v>0.99235141277313232</v>
      </c>
      <c r="F34">
        <v>0.98451584577560425</v>
      </c>
      <c r="G34">
        <v>15476582.482091</v>
      </c>
    </row>
    <row r="35" spans="1:7" x14ac:dyDescent="0.3">
      <c r="A35" t="s">
        <v>378</v>
      </c>
      <c r="B35" t="s">
        <v>377</v>
      </c>
      <c r="C35" t="s">
        <v>167</v>
      </c>
      <c r="D35">
        <v>0.99856722354888916</v>
      </c>
      <c r="E35">
        <v>0.99856722354888916</v>
      </c>
      <c r="F35">
        <v>0.99856722354888916</v>
      </c>
      <c r="G35">
        <v>1.166666666666667</v>
      </c>
    </row>
    <row r="36" spans="1:7" x14ac:dyDescent="0.3">
      <c r="A36" t="s">
        <v>376</v>
      </c>
      <c r="B36" t="s">
        <v>375</v>
      </c>
      <c r="C36" t="s">
        <v>164</v>
      </c>
      <c r="D36">
        <v>0.99903964996337891</v>
      </c>
      <c r="E36">
        <v>0.99903964996337891</v>
      </c>
      <c r="F36">
        <v>0.99903964996337891</v>
      </c>
      <c r="G36">
        <v>0.16049382716049371</v>
      </c>
    </row>
    <row r="37" spans="1:7" x14ac:dyDescent="0.3">
      <c r="A37" t="s">
        <v>374</v>
      </c>
      <c r="B37" t="s">
        <v>373</v>
      </c>
      <c r="C37" t="s">
        <v>162</v>
      </c>
      <c r="D37">
        <v>0.99850857257843018</v>
      </c>
      <c r="E37">
        <v>0.99850857257843018</v>
      </c>
      <c r="F37">
        <v>0.99850857257843018</v>
      </c>
      <c r="G37">
        <v>0.63461538461538458</v>
      </c>
    </row>
    <row r="38" spans="1:7" x14ac:dyDescent="0.3">
      <c r="A38" t="s">
        <v>372</v>
      </c>
      <c r="B38" t="s">
        <v>371</v>
      </c>
      <c r="C38" t="s">
        <v>159</v>
      </c>
      <c r="D38">
        <v>0.998679518699646</v>
      </c>
      <c r="E38">
        <v>0.998679518699646</v>
      </c>
      <c r="F38">
        <v>0.998679518699646</v>
      </c>
      <c r="G38">
        <v>0.33884297520661172</v>
      </c>
    </row>
    <row r="39" spans="1:7" x14ac:dyDescent="0.3">
      <c r="A39" t="s">
        <v>370</v>
      </c>
      <c r="B39" t="s">
        <v>369</v>
      </c>
      <c r="C39" t="s">
        <v>156</v>
      </c>
      <c r="D39">
        <v>0.9978259801864624</v>
      </c>
      <c r="E39">
        <v>0.9978259801864624</v>
      </c>
      <c r="F39">
        <v>0.9978259801864624</v>
      </c>
      <c r="G39">
        <v>0.89506820566631684</v>
      </c>
    </row>
    <row r="40" spans="1:7" hidden="1" x14ac:dyDescent="0.3">
      <c r="A40" t="s">
        <v>368</v>
      </c>
      <c r="B40" t="s">
        <v>367</v>
      </c>
      <c r="C40" t="s">
        <v>153</v>
      </c>
      <c r="D40">
        <v>0.99127089977264404</v>
      </c>
      <c r="E40">
        <v>0.99388259649276733</v>
      </c>
      <c r="F40">
        <v>0.99257504940032959</v>
      </c>
      <c r="G40">
        <v>160.77096774193549</v>
      </c>
    </row>
    <row r="41" spans="1:7" hidden="1" x14ac:dyDescent="0.3">
      <c r="A41" t="s">
        <v>366</v>
      </c>
      <c r="B41" t="s">
        <v>365</v>
      </c>
      <c r="C41" t="s">
        <v>150</v>
      </c>
      <c r="D41">
        <v>0.99802237749099731</v>
      </c>
      <c r="E41">
        <v>0.99802237749099731</v>
      </c>
      <c r="F41">
        <v>0.99802237749099731</v>
      </c>
      <c r="G41">
        <v>26.333333333333329</v>
      </c>
    </row>
    <row r="42" spans="1:7" x14ac:dyDescent="0.3">
      <c r="A42" t="s">
        <v>364</v>
      </c>
      <c r="B42" t="s">
        <v>363</v>
      </c>
      <c r="C42" t="s">
        <v>147</v>
      </c>
      <c r="D42">
        <v>0.99873089790344238</v>
      </c>
      <c r="E42">
        <v>0.99873089790344238</v>
      </c>
      <c r="F42">
        <v>0.99873089790344238</v>
      </c>
      <c r="G42">
        <v>0.1078767123287671</v>
      </c>
    </row>
    <row r="43" spans="1:7" x14ac:dyDescent="0.3">
      <c r="A43" t="s">
        <v>362</v>
      </c>
      <c r="B43" t="s">
        <v>361</v>
      </c>
      <c r="C43" t="s">
        <v>144</v>
      </c>
      <c r="D43">
        <v>0.99705469608306885</v>
      </c>
      <c r="E43">
        <v>0.99705469608306885</v>
      </c>
      <c r="F43">
        <v>0.99705469608306885</v>
      </c>
      <c r="G43">
        <v>1.1355932203389829</v>
      </c>
    </row>
    <row r="44" spans="1:7" x14ac:dyDescent="0.3">
      <c r="A44" t="s">
        <v>360</v>
      </c>
      <c r="B44" t="s">
        <v>359</v>
      </c>
      <c r="C44" t="s">
        <v>141</v>
      </c>
      <c r="D44">
        <v>0.99608355760574341</v>
      </c>
      <c r="E44">
        <v>0.99608355760574341</v>
      </c>
      <c r="F44">
        <v>0.99608355760574341</v>
      </c>
      <c r="G44">
        <v>0.66937669376693765</v>
      </c>
    </row>
    <row r="45" spans="1:7" x14ac:dyDescent="0.3">
      <c r="A45" t="s">
        <v>358</v>
      </c>
      <c r="B45" t="s">
        <v>357</v>
      </c>
      <c r="C45" t="s">
        <v>138</v>
      </c>
      <c r="D45">
        <v>0.99542737007141113</v>
      </c>
      <c r="E45">
        <v>0.99542737007141113</v>
      </c>
      <c r="F45">
        <v>0.99542737007141113</v>
      </c>
      <c r="G45">
        <v>0.12264150943396231</v>
      </c>
    </row>
    <row r="46" spans="1:7" hidden="1" x14ac:dyDescent="0.3">
      <c r="A46" t="s">
        <v>356</v>
      </c>
      <c r="B46" t="s">
        <v>355</v>
      </c>
      <c r="C46" t="s">
        <v>135</v>
      </c>
      <c r="D46">
        <v>0.99590277671813965</v>
      </c>
      <c r="E46">
        <v>0.99590277671813965</v>
      </c>
      <c r="F46">
        <v>0.99590277671813965</v>
      </c>
      <c r="G46">
        <v>73.568312284730197</v>
      </c>
    </row>
    <row r="47" spans="1:7" x14ac:dyDescent="0.3">
      <c r="A47" t="s">
        <v>354</v>
      </c>
      <c r="B47" t="s">
        <v>353</v>
      </c>
      <c r="C47" t="s">
        <v>132</v>
      </c>
      <c r="D47">
        <v>0.99850791692733765</v>
      </c>
      <c r="E47">
        <v>0.99850791692733765</v>
      </c>
      <c r="F47">
        <v>0.99850791692733765</v>
      </c>
      <c r="G47">
        <v>1.142857142857143</v>
      </c>
    </row>
    <row r="48" spans="1:7" x14ac:dyDescent="0.3">
      <c r="A48" t="s">
        <v>352</v>
      </c>
      <c r="B48" t="s">
        <v>351</v>
      </c>
      <c r="C48" t="s">
        <v>129</v>
      </c>
      <c r="D48">
        <v>0.99634265899658203</v>
      </c>
      <c r="E48">
        <v>0.99634265899658203</v>
      </c>
      <c r="F48">
        <v>0.99634265899658203</v>
      </c>
      <c r="G48">
        <v>0.9196428571428571</v>
      </c>
    </row>
    <row r="49" spans="1:7" x14ac:dyDescent="0.3">
      <c r="A49" t="s">
        <v>350</v>
      </c>
      <c r="B49" t="s">
        <v>349</v>
      </c>
      <c r="C49" t="s">
        <v>126</v>
      </c>
      <c r="D49">
        <v>0.99931323528289795</v>
      </c>
      <c r="E49">
        <v>0.99931323528289795</v>
      </c>
      <c r="F49">
        <v>0.99931323528289795</v>
      </c>
      <c r="G49">
        <v>0.2413793103448276</v>
      </c>
    </row>
    <row r="50" spans="1:7" x14ac:dyDescent="0.3">
      <c r="A50" t="s">
        <v>348</v>
      </c>
      <c r="B50" t="s">
        <v>347</v>
      </c>
      <c r="C50" t="s">
        <v>123</v>
      </c>
      <c r="D50">
        <v>0.99953228235244751</v>
      </c>
      <c r="E50">
        <v>0.99953228235244751</v>
      </c>
      <c r="F50">
        <v>0.99953228235244751</v>
      </c>
      <c r="G50">
        <v>7.2243346007604542E-2</v>
      </c>
    </row>
    <row r="51" spans="1:7" x14ac:dyDescent="0.3">
      <c r="A51" t="s">
        <v>346</v>
      </c>
      <c r="B51" t="s">
        <v>345</v>
      </c>
      <c r="C51" t="s">
        <v>120</v>
      </c>
      <c r="D51">
        <v>0.99542158842086792</v>
      </c>
      <c r="E51">
        <v>0.99563366174697876</v>
      </c>
      <c r="F51">
        <v>0.99552756547927856</v>
      </c>
      <c r="G51">
        <v>0.93959731543624159</v>
      </c>
    </row>
    <row r="52" spans="1:7" x14ac:dyDescent="0.3">
      <c r="A52" t="s">
        <v>344</v>
      </c>
      <c r="B52" t="s">
        <v>343</v>
      </c>
      <c r="C52" t="s">
        <v>117</v>
      </c>
      <c r="D52">
        <v>0.99970197677612305</v>
      </c>
      <c r="E52">
        <v>0.99970197677612305</v>
      </c>
      <c r="F52">
        <v>0.99970197677612305</v>
      </c>
      <c r="G52">
        <v>0.25000000000000011</v>
      </c>
    </row>
    <row r="53" spans="1:7" x14ac:dyDescent="0.3">
      <c r="A53" t="s">
        <v>342</v>
      </c>
      <c r="B53" t="s">
        <v>341</v>
      </c>
      <c r="C53" t="s">
        <v>114</v>
      </c>
      <c r="D53">
        <v>0.99618005752563477</v>
      </c>
      <c r="E53">
        <v>0.99742096662521362</v>
      </c>
      <c r="F53">
        <v>0.99680006504058838</v>
      </c>
      <c r="G53">
        <v>2.711742082848867</v>
      </c>
    </row>
    <row r="54" spans="1:7" x14ac:dyDescent="0.3">
      <c r="A54" t="s">
        <v>340</v>
      </c>
      <c r="B54" t="s">
        <v>339</v>
      </c>
      <c r="C54" t="s">
        <v>111</v>
      </c>
      <c r="D54">
        <v>0.99894058704376221</v>
      </c>
      <c r="E54">
        <v>0.99894058704376221</v>
      </c>
      <c r="F54">
        <v>0.99894058704376221</v>
      </c>
      <c r="G54">
        <v>0.87500000000000011</v>
      </c>
    </row>
    <row r="55" spans="1:7" x14ac:dyDescent="0.3">
      <c r="A55" t="s">
        <v>338</v>
      </c>
      <c r="B55" t="s">
        <v>337</v>
      </c>
      <c r="C55" t="s">
        <v>108</v>
      </c>
      <c r="D55">
        <v>0.99589884281158447</v>
      </c>
      <c r="E55">
        <v>0.99589884281158447</v>
      </c>
      <c r="F55">
        <v>0.99589884281158447</v>
      </c>
      <c r="G55">
        <v>0.91724137931034477</v>
      </c>
    </row>
    <row r="56" spans="1:7" x14ac:dyDescent="0.3">
      <c r="A56" t="s">
        <v>336</v>
      </c>
      <c r="B56" t="s">
        <v>335</v>
      </c>
      <c r="C56" t="s">
        <v>105</v>
      </c>
      <c r="D56">
        <v>0.99776935577392578</v>
      </c>
      <c r="E56">
        <v>0.99776935577392578</v>
      </c>
      <c r="F56">
        <v>0.99776935577392578</v>
      </c>
      <c r="G56">
        <v>0.52518579686209743</v>
      </c>
    </row>
    <row r="57" spans="1:7" x14ac:dyDescent="0.3">
      <c r="A57" t="s">
        <v>334</v>
      </c>
      <c r="B57" t="s">
        <v>333</v>
      </c>
      <c r="C57" t="s">
        <v>102</v>
      </c>
      <c r="D57">
        <v>0.99610251188278198</v>
      </c>
      <c r="E57">
        <v>0.99610251188278198</v>
      </c>
      <c r="F57">
        <v>0.99610251188278198</v>
      </c>
      <c r="G57">
        <v>0.87209302325581406</v>
      </c>
    </row>
    <row r="58" spans="1:7" x14ac:dyDescent="0.3">
      <c r="A58" t="s">
        <v>332</v>
      </c>
      <c r="B58" t="s">
        <v>331</v>
      </c>
      <c r="C58" t="s">
        <v>99</v>
      </c>
      <c r="D58">
        <v>0.99845844507217407</v>
      </c>
      <c r="E58">
        <v>0.99845844507217407</v>
      </c>
      <c r="F58">
        <v>0.99845844507217407</v>
      </c>
      <c r="G58">
        <v>0.52338530066815137</v>
      </c>
    </row>
    <row r="59" spans="1:7" x14ac:dyDescent="0.3">
      <c r="A59" t="s">
        <v>330</v>
      </c>
      <c r="B59" t="s">
        <v>329</v>
      </c>
      <c r="C59" t="s">
        <v>96</v>
      </c>
      <c r="D59">
        <v>0.9973907470703125</v>
      </c>
      <c r="E59">
        <v>0.9973907470703125</v>
      </c>
      <c r="F59">
        <v>0.9973907470703125</v>
      </c>
      <c r="G59">
        <v>0.85438008616562955</v>
      </c>
    </row>
    <row r="60" spans="1:7" x14ac:dyDescent="0.3">
      <c r="A60" t="s">
        <v>328</v>
      </c>
      <c r="B60" t="s">
        <v>327</v>
      </c>
      <c r="C60" t="s">
        <v>93</v>
      </c>
      <c r="D60">
        <v>0.99646329879760742</v>
      </c>
      <c r="E60">
        <v>0.99646329879760742</v>
      </c>
      <c r="F60">
        <v>0.99646329879760742</v>
      </c>
      <c r="G60">
        <v>1.952380952380953</v>
      </c>
    </row>
    <row r="61" spans="1:7" x14ac:dyDescent="0.3">
      <c r="A61" t="s">
        <v>326</v>
      </c>
      <c r="B61" t="s">
        <v>325</v>
      </c>
      <c r="C61" t="s">
        <v>90</v>
      </c>
      <c r="D61">
        <v>0.99750179052352905</v>
      </c>
      <c r="E61">
        <v>0.99750179052352905</v>
      </c>
      <c r="F61">
        <v>0.99750179052352905</v>
      </c>
      <c r="G61">
        <v>0.81989367314638206</v>
      </c>
    </row>
    <row r="62" spans="1:7" x14ac:dyDescent="0.3">
      <c r="A62" t="s">
        <v>324</v>
      </c>
      <c r="B62" t="s">
        <v>323</v>
      </c>
      <c r="C62" t="s">
        <v>87</v>
      </c>
      <c r="D62">
        <v>0.99957984685897827</v>
      </c>
      <c r="E62">
        <v>0.99957984685897827</v>
      </c>
      <c r="F62">
        <v>0.99957984685897827</v>
      </c>
      <c r="G62">
        <v>1.88679245283019E-2</v>
      </c>
    </row>
    <row r="63" spans="1:7" x14ac:dyDescent="0.3">
      <c r="A63" t="s">
        <v>322</v>
      </c>
      <c r="B63" t="s">
        <v>321</v>
      </c>
      <c r="C63" t="s">
        <v>84</v>
      </c>
      <c r="D63">
        <v>0.99879801273345947</v>
      </c>
      <c r="E63">
        <v>0.99879801273345947</v>
      </c>
      <c r="F63">
        <v>0.99879801273345947</v>
      </c>
      <c r="G63">
        <v>0.84000000000000008</v>
      </c>
    </row>
    <row r="64" spans="1:7" x14ac:dyDescent="0.3">
      <c r="A64" t="s">
        <v>320</v>
      </c>
      <c r="B64" t="s">
        <v>319</v>
      </c>
      <c r="C64" t="s">
        <v>81</v>
      </c>
      <c r="D64">
        <v>0.99251741170883179</v>
      </c>
      <c r="E64">
        <v>0.97971844673156738</v>
      </c>
      <c r="F64">
        <v>0.98607635498046875</v>
      </c>
      <c r="G64">
        <v>0.9999999258007195</v>
      </c>
    </row>
    <row r="65" spans="1:7" x14ac:dyDescent="0.3">
      <c r="A65" t="s">
        <v>318</v>
      </c>
      <c r="B65" t="s">
        <v>317</v>
      </c>
      <c r="C65" t="s">
        <v>78</v>
      </c>
      <c r="D65">
        <v>0.99703085422515869</v>
      </c>
      <c r="E65">
        <v>0.99703085422515869</v>
      </c>
      <c r="F65">
        <v>0.99703085422515869</v>
      </c>
      <c r="G65">
        <v>4.3103448275862073</v>
      </c>
    </row>
    <row r="66" spans="1:7" x14ac:dyDescent="0.3">
      <c r="A66" t="s">
        <v>316</v>
      </c>
      <c r="B66" t="s">
        <v>315</v>
      </c>
      <c r="C66" t="s">
        <v>75</v>
      </c>
      <c r="D66">
        <v>0.99842405319213867</v>
      </c>
      <c r="E66">
        <v>0.99842405319213867</v>
      </c>
      <c r="F66">
        <v>0.99842405319213867</v>
      </c>
      <c r="G66">
        <v>0.23184019370460049</v>
      </c>
    </row>
    <row r="67" spans="1:7" x14ac:dyDescent="0.3">
      <c r="A67" t="s">
        <v>314</v>
      </c>
      <c r="B67" t="s">
        <v>313</v>
      </c>
      <c r="C67" t="s">
        <v>72</v>
      </c>
      <c r="D67">
        <v>0.99546694755554199</v>
      </c>
      <c r="E67">
        <v>0.99567955732345581</v>
      </c>
      <c r="F67">
        <v>0.99557322263717651</v>
      </c>
      <c r="G67">
        <v>0.9733696295419576</v>
      </c>
    </row>
    <row r="68" spans="1:7" x14ac:dyDescent="0.3">
      <c r="A68" t="s">
        <v>312</v>
      </c>
      <c r="B68" t="s">
        <v>70</v>
      </c>
      <c r="C68" t="s">
        <v>69</v>
      </c>
      <c r="D68">
        <v>0.99999994039535522</v>
      </c>
      <c r="E68">
        <v>0.99999994039535522</v>
      </c>
      <c r="F68">
        <v>0.99999994039535522</v>
      </c>
      <c r="G68">
        <v>0</v>
      </c>
    </row>
    <row r="69" spans="1:7" x14ac:dyDescent="0.3">
      <c r="A69" t="s">
        <v>311</v>
      </c>
      <c r="B69" t="s">
        <v>310</v>
      </c>
      <c r="C69" t="s">
        <v>66</v>
      </c>
      <c r="D69">
        <v>0.99947440624237061</v>
      </c>
      <c r="E69">
        <v>0.99947440624237061</v>
      </c>
      <c r="F69">
        <v>0.99947440624237061</v>
      </c>
      <c r="G69">
        <v>1</v>
      </c>
    </row>
    <row r="70" spans="1:7" x14ac:dyDescent="0.3">
      <c r="A70" t="s">
        <v>309</v>
      </c>
      <c r="B70" t="s">
        <v>308</v>
      </c>
      <c r="C70" t="s">
        <v>63</v>
      </c>
      <c r="D70">
        <v>0.99723851680755615</v>
      </c>
      <c r="E70">
        <v>0.99723851680755615</v>
      </c>
      <c r="F70">
        <v>0.99723851680755615</v>
      </c>
      <c r="G70">
        <v>0.3639240506329115</v>
      </c>
    </row>
    <row r="71" spans="1:7" x14ac:dyDescent="0.3">
      <c r="A71" t="s">
        <v>307</v>
      </c>
      <c r="B71" t="s">
        <v>306</v>
      </c>
      <c r="C71" t="s">
        <v>60</v>
      </c>
      <c r="D71">
        <v>0.99917197227478027</v>
      </c>
      <c r="E71">
        <v>0.99917197227478027</v>
      </c>
      <c r="F71">
        <v>0.99917197227478027</v>
      </c>
      <c r="G71">
        <v>6.3802083333333245E-2</v>
      </c>
    </row>
    <row r="72" spans="1:7" x14ac:dyDescent="0.3">
      <c r="A72" t="s">
        <v>305</v>
      </c>
      <c r="B72" t="s">
        <v>304</v>
      </c>
      <c r="C72" t="s">
        <v>57</v>
      </c>
      <c r="D72">
        <v>0.99905657768249512</v>
      </c>
      <c r="E72">
        <v>0.99905657768249512</v>
      </c>
      <c r="F72">
        <v>0.99905657768249512</v>
      </c>
      <c r="G72">
        <v>0.5</v>
      </c>
    </row>
    <row r="73" spans="1:7" x14ac:dyDescent="0.3">
      <c r="A73" t="s">
        <v>303</v>
      </c>
      <c r="B73" t="s">
        <v>302</v>
      </c>
      <c r="C73" t="s">
        <v>54</v>
      </c>
      <c r="D73">
        <v>0.99735599756240845</v>
      </c>
      <c r="E73">
        <v>0.99735599756240845</v>
      </c>
      <c r="F73">
        <v>0.99735599756240845</v>
      </c>
      <c r="G73">
        <v>1.528497409326425</v>
      </c>
    </row>
    <row r="74" spans="1:7" hidden="1" x14ac:dyDescent="0.3">
      <c r="A74" t="s">
        <v>301</v>
      </c>
      <c r="B74" t="s">
        <v>300</v>
      </c>
      <c r="C74" t="s">
        <v>51</v>
      </c>
      <c r="D74">
        <v>0.99847960472106934</v>
      </c>
      <c r="E74">
        <v>0.99847960472106934</v>
      </c>
      <c r="F74">
        <v>0.99847960472106934</v>
      </c>
      <c r="G74">
        <v>5.25</v>
      </c>
    </row>
    <row r="75" spans="1:7" x14ac:dyDescent="0.3">
      <c r="A75" t="s">
        <v>299</v>
      </c>
      <c r="B75" t="s">
        <v>298</v>
      </c>
      <c r="C75" t="s">
        <v>48</v>
      </c>
      <c r="D75">
        <v>0.99688839912414551</v>
      </c>
      <c r="E75">
        <v>0.99688839912414551</v>
      </c>
      <c r="F75">
        <v>0.99688839912414551</v>
      </c>
      <c r="G75">
        <v>0.80841638981173858</v>
      </c>
    </row>
    <row r="76" spans="1:7" x14ac:dyDescent="0.3">
      <c r="A76" t="s">
        <v>297</v>
      </c>
      <c r="B76" t="s">
        <v>296</v>
      </c>
      <c r="C76" t="s">
        <v>45</v>
      </c>
      <c r="D76">
        <v>0.99828267097473145</v>
      </c>
      <c r="E76">
        <v>0.99828267097473145</v>
      </c>
      <c r="F76">
        <v>0.99828267097473145</v>
      </c>
      <c r="G76">
        <v>0.32231404958677679</v>
      </c>
    </row>
    <row r="77" spans="1:7" x14ac:dyDescent="0.3">
      <c r="A77" t="s">
        <v>295</v>
      </c>
      <c r="B77" t="s">
        <v>294</v>
      </c>
      <c r="C77" t="s">
        <v>42</v>
      </c>
      <c r="D77">
        <v>0.99464952945709229</v>
      </c>
      <c r="E77">
        <v>0.98954975605010986</v>
      </c>
      <c r="F77">
        <v>0.99209308624267578</v>
      </c>
      <c r="G77">
        <v>0.99999534140790647</v>
      </c>
    </row>
    <row r="78" spans="1:7" x14ac:dyDescent="0.3">
      <c r="A78" t="s">
        <v>293</v>
      </c>
      <c r="B78" t="s">
        <v>292</v>
      </c>
      <c r="C78" t="s">
        <v>39</v>
      </c>
      <c r="D78">
        <v>0.99800390005111694</v>
      </c>
      <c r="E78">
        <v>0.99800390005111694</v>
      </c>
      <c r="F78">
        <v>0.99800390005111694</v>
      </c>
      <c r="G78">
        <v>0.87109375</v>
      </c>
    </row>
    <row r="79" spans="1:7" x14ac:dyDescent="0.3">
      <c r="A79" t="s">
        <v>291</v>
      </c>
      <c r="B79" t="s">
        <v>290</v>
      </c>
      <c r="C79" t="s">
        <v>36</v>
      </c>
      <c r="D79">
        <v>0.99787652492523193</v>
      </c>
      <c r="E79">
        <v>0.99787652492523193</v>
      </c>
      <c r="F79">
        <v>0.99787652492523193</v>
      </c>
      <c r="G79">
        <v>6.7193675889328217E-2</v>
      </c>
    </row>
    <row r="80" spans="1:7" hidden="1" x14ac:dyDescent="0.3">
      <c r="A80" t="s">
        <v>289</v>
      </c>
      <c r="B80" t="s">
        <v>288</v>
      </c>
      <c r="C80" t="s">
        <v>33</v>
      </c>
      <c r="D80">
        <v>0.99840724468231201</v>
      </c>
      <c r="E80">
        <v>0.99840724468231201</v>
      </c>
      <c r="F80">
        <v>0.99840724468231201</v>
      </c>
      <c r="G80">
        <v>25</v>
      </c>
    </row>
    <row r="81" spans="1:7" x14ac:dyDescent="0.3">
      <c r="A81" t="s">
        <v>287</v>
      </c>
      <c r="B81" t="s">
        <v>286</v>
      </c>
      <c r="C81" t="s">
        <v>30</v>
      </c>
      <c r="D81">
        <v>0.99794811010360718</v>
      </c>
      <c r="E81">
        <v>0.99794811010360718</v>
      </c>
      <c r="F81">
        <v>0.99794811010360718</v>
      </c>
      <c r="G81">
        <v>0.9285714285714286</v>
      </c>
    </row>
    <row r="82" spans="1:7" x14ac:dyDescent="0.3">
      <c r="A82" t="s">
        <v>285</v>
      </c>
      <c r="B82" t="s">
        <v>284</v>
      </c>
      <c r="C82" t="s">
        <v>27</v>
      </c>
      <c r="D82">
        <v>0.99886727333068848</v>
      </c>
      <c r="E82">
        <v>0.99886727333068848</v>
      </c>
      <c r="F82">
        <v>0.99886727333068848</v>
      </c>
      <c r="G82">
        <v>0.29140461215932911</v>
      </c>
    </row>
    <row r="83" spans="1:7" x14ac:dyDescent="0.3">
      <c r="A83" t="s">
        <v>283</v>
      </c>
      <c r="B83" t="s">
        <v>282</v>
      </c>
      <c r="C83" t="s">
        <v>24</v>
      </c>
      <c r="D83">
        <v>0.99564981460571289</v>
      </c>
      <c r="E83">
        <v>0.99564981460571289</v>
      </c>
      <c r="F83">
        <v>0.99564981460571289</v>
      </c>
      <c r="G83">
        <v>0.13402061855670089</v>
      </c>
    </row>
    <row r="84" spans="1:7" x14ac:dyDescent="0.3">
      <c r="A84" t="s">
        <v>281</v>
      </c>
      <c r="B84" t="s">
        <v>280</v>
      </c>
      <c r="C84" t="s">
        <v>21</v>
      </c>
      <c r="D84">
        <v>0.99864983558654785</v>
      </c>
      <c r="E84">
        <v>0.99864983558654785</v>
      </c>
      <c r="F84">
        <v>0.99864983558654785</v>
      </c>
      <c r="G84">
        <v>0.30633802816901412</v>
      </c>
    </row>
    <row r="85" spans="1:7" x14ac:dyDescent="0.3">
      <c r="A85" t="s">
        <v>279</v>
      </c>
      <c r="B85" t="s">
        <v>278</v>
      </c>
      <c r="C85" t="s">
        <v>18</v>
      </c>
      <c r="D85">
        <v>0.99959540367126465</v>
      </c>
      <c r="E85">
        <v>0.99959540367126465</v>
      </c>
      <c r="F85">
        <v>0.99959540367126465</v>
      </c>
      <c r="G85">
        <v>5.8823529411764747E-2</v>
      </c>
    </row>
    <row r="86" spans="1:7" hidden="1" x14ac:dyDescent="0.3">
      <c r="A86" t="s">
        <v>277</v>
      </c>
      <c r="B86" t="s">
        <v>276</v>
      </c>
      <c r="C86" t="s">
        <v>15</v>
      </c>
      <c r="D86">
        <v>0.99405002593994141</v>
      </c>
      <c r="E86">
        <v>0.99596482515335083</v>
      </c>
      <c r="F86">
        <v>0.99500656127929688</v>
      </c>
      <c r="G86">
        <v>8.6234647112740621</v>
      </c>
    </row>
    <row r="87" spans="1:7" x14ac:dyDescent="0.3">
      <c r="A87" t="s">
        <v>275</v>
      </c>
      <c r="B87" t="s">
        <v>274</v>
      </c>
      <c r="C87" t="s">
        <v>12</v>
      </c>
      <c r="D87">
        <v>0.99928444623947144</v>
      </c>
      <c r="E87">
        <v>0.99928444623947144</v>
      </c>
      <c r="F87">
        <v>0.99928444623947144</v>
      </c>
      <c r="G87">
        <v>0.85714285714285698</v>
      </c>
    </row>
    <row r="88" spans="1:7" x14ac:dyDescent="0.3">
      <c r="A88" t="s">
        <v>273</v>
      </c>
      <c r="B88" t="s">
        <v>272</v>
      </c>
      <c r="C88" t="s">
        <v>9</v>
      </c>
      <c r="D88">
        <v>0.99737727642059326</v>
      </c>
      <c r="E88">
        <v>0.99737727642059326</v>
      </c>
      <c r="F88">
        <v>0.99737727642059326</v>
      </c>
      <c r="G88">
        <v>1.968531468531469</v>
      </c>
    </row>
    <row r="89" spans="1:7" x14ac:dyDescent="0.3">
      <c r="A89" t="s">
        <v>271</v>
      </c>
      <c r="B89" t="s">
        <v>270</v>
      </c>
      <c r="C89" t="s">
        <v>6</v>
      </c>
      <c r="D89">
        <v>0.99760890007019043</v>
      </c>
      <c r="E89">
        <v>0.99760890007019043</v>
      </c>
      <c r="F89">
        <v>0.99760890007019043</v>
      </c>
      <c r="G89">
        <v>2.5236427320490371</v>
      </c>
    </row>
    <row r="90" spans="1:7" x14ac:dyDescent="0.3">
      <c r="A90" t="s">
        <v>269</v>
      </c>
      <c r="B90" t="s">
        <v>268</v>
      </c>
      <c r="C90" t="s">
        <v>3</v>
      </c>
      <c r="D90">
        <v>0.99841666221618652</v>
      </c>
      <c r="E90">
        <v>0.99841666221618652</v>
      </c>
      <c r="F90">
        <v>0.99841666221618652</v>
      </c>
      <c r="G90">
        <v>0.23076923076923081</v>
      </c>
    </row>
    <row r="91" spans="1:7" x14ac:dyDescent="0.3">
      <c r="A91" t="s">
        <v>267</v>
      </c>
      <c r="B91" t="s">
        <v>266</v>
      </c>
      <c r="C91" t="s">
        <v>0</v>
      </c>
      <c r="D91">
        <v>0.99738800525665283</v>
      </c>
      <c r="E91">
        <v>0.99738800525665283</v>
      </c>
      <c r="F91">
        <v>0.99738800525665283</v>
      </c>
      <c r="G91">
        <v>1.717325227963526</v>
      </c>
    </row>
    <row r="92" spans="1:7" hidden="1" x14ac:dyDescent="0.3">
      <c r="D92">
        <f>AVERAGE(D2:D91)</f>
        <v>0.99727540347311228</v>
      </c>
      <c r="E92">
        <f t="shared" ref="E92:F92" si="0">AVERAGE(E2:E91)</f>
        <v>0.99676674670643273</v>
      </c>
      <c r="F92">
        <f t="shared" si="0"/>
        <v>0.99701445036464265</v>
      </c>
    </row>
  </sheetData>
  <autoFilter ref="A1:G92" xr:uid="{5F862221-A3C4-4A57-BD2B-410C33640FAE}">
    <filterColumn colId="6">
      <customFilters and="1">
        <customFilter operator="greaterThanOrEqual" val="0"/>
        <customFilter operator="lessThanOrEqual" val="5"/>
      </customFilters>
    </filterColumn>
  </autoFilter>
  <phoneticPr fontId="1"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5F049-6F81-4560-83B9-13E9A11C7C48}">
  <sheetPr filterMode="1"/>
  <dimension ref="A1:G92"/>
  <sheetViews>
    <sheetView topLeftCell="A22" workbookViewId="0">
      <selection activeCell="G2" sqref="G2:G90"/>
    </sheetView>
  </sheetViews>
  <sheetFormatPr defaultRowHeight="14" x14ac:dyDescent="0.3"/>
  <sheetData>
    <row r="1" spans="1:7" x14ac:dyDescent="0.3">
      <c r="A1" s="1" t="s">
        <v>265</v>
      </c>
      <c r="B1" s="1" t="s">
        <v>264</v>
      </c>
      <c r="C1" s="1" t="s">
        <v>263</v>
      </c>
      <c r="D1" s="1" t="s">
        <v>262</v>
      </c>
      <c r="E1" s="1" t="s">
        <v>261</v>
      </c>
      <c r="F1" s="1" t="s">
        <v>260</v>
      </c>
      <c r="G1" s="1" t="s">
        <v>259</v>
      </c>
    </row>
    <row r="2" spans="1:7" x14ac:dyDescent="0.3">
      <c r="A2" t="s">
        <v>707</v>
      </c>
      <c r="B2" t="s">
        <v>706</v>
      </c>
      <c r="C2" t="s">
        <v>705</v>
      </c>
      <c r="D2">
        <v>0.99886316061019897</v>
      </c>
      <c r="E2">
        <v>0.99886316061019897</v>
      </c>
      <c r="F2">
        <v>0.99886316061019897</v>
      </c>
      <c r="G2">
        <v>0.71428571428571408</v>
      </c>
    </row>
    <row r="3" spans="1:7" x14ac:dyDescent="0.3">
      <c r="A3" t="s">
        <v>704</v>
      </c>
      <c r="B3" t="s">
        <v>703</v>
      </c>
      <c r="C3" t="s">
        <v>702</v>
      </c>
      <c r="D3">
        <v>0.99865764379501343</v>
      </c>
      <c r="E3">
        <v>0.99865764379501343</v>
      </c>
      <c r="F3">
        <v>0.99865764379501343</v>
      </c>
      <c r="G3">
        <v>0.19672131147540989</v>
      </c>
    </row>
    <row r="4" spans="1:7" x14ac:dyDescent="0.3">
      <c r="A4" t="s">
        <v>701</v>
      </c>
      <c r="B4" t="s">
        <v>700</v>
      </c>
      <c r="C4" t="s">
        <v>699</v>
      </c>
      <c r="D4">
        <v>0.99753916263580322</v>
      </c>
      <c r="E4">
        <v>0.99753916263580322</v>
      </c>
      <c r="F4">
        <v>0.99753916263580322</v>
      </c>
      <c r="G4">
        <v>1.556338028169014</v>
      </c>
    </row>
    <row r="5" spans="1:7" x14ac:dyDescent="0.3">
      <c r="A5" t="s">
        <v>698</v>
      </c>
      <c r="B5" t="s">
        <v>697</v>
      </c>
      <c r="C5" t="s">
        <v>696</v>
      </c>
      <c r="D5">
        <v>0.9990609884262085</v>
      </c>
      <c r="E5">
        <v>0.9990609884262085</v>
      </c>
      <c r="F5">
        <v>0.9990609884262085</v>
      </c>
      <c r="G5">
        <v>0.29411764705882359</v>
      </c>
    </row>
    <row r="6" spans="1:7" x14ac:dyDescent="0.3">
      <c r="A6" t="s">
        <v>695</v>
      </c>
      <c r="B6" t="s">
        <v>694</v>
      </c>
      <c r="C6" t="s">
        <v>693</v>
      </c>
      <c r="D6">
        <v>0.9980309009552002</v>
      </c>
      <c r="E6">
        <v>0.9980309009552002</v>
      </c>
      <c r="F6">
        <v>0.9980309009552002</v>
      </c>
      <c r="G6">
        <v>0.25179856115107913</v>
      </c>
    </row>
    <row r="7" spans="1:7" x14ac:dyDescent="0.3">
      <c r="A7" t="s">
        <v>692</v>
      </c>
      <c r="B7" t="s">
        <v>691</v>
      </c>
      <c r="C7" t="s">
        <v>690</v>
      </c>
      <c r="D7">
        <v>0.99607455730438232</v>
      </c>
      <c r="E7">
        <v>0.99607455730438232</v>
      </c>
      <c r="F7">
        <v>0.99607455730438232</v>
      </c>
      <c r="G7">
        <v>0.85904945503077035</v>
      </c>
    </row>
    <row r="8" spans="1:7" x14ac:dyDescent="0.3">
      <c r="A8" t="s">
        <v>689</v>
      </c>
      <c r="B8" t="s">
        <v>688</v>
      </c>
      <c r="C8" t="s">
        <v>687</v>
      </c>
      <c r="D8">
        <v>0.99571502208709717</v>
      </c>
      <c r="E8">
        <v>0.99571502208709717</v>
      </c>
      <c r="F8">
        <v>0.99571502208709717</v>
      </c>
      <c r="G8">
        <v>0.9770723104056438</v>
      </c>
    </row>
    <row r="9" spans="1:7" x14ac:dyDescent="0.3">
      <c r="A9" t="s">
        <v>686</v>
      </c>
      <c r="B9" t="s">
        <v>685</v>
      </c>
      <c r="C9" t="s">
        <v>684</v>
      </c>
      <c r="D9">
        <v>0.99720579385757446</v>
      </c>
      <c r="E9">
        <v>0.99720579385757446</v>
      </c>
      <c r="F9">
        <v>0.99720579385757446</v>
      </c>
      <c r="G9">
        <v>1.1818181818181821</v>
      </c>
    </row>
    <row r="10" spans="1:7" x14ac:dyDescent="0.3">
      <c r="A10" t="s">
        <v>683</v>
      </c>
      <c r="B10" t="s">
        <v>682</v>
      </c>
      <c r="C10" t="s">
        <v>681</v>
      </c>
      <c r="D10">
        <v>0.99878287315368652</v>
      </c>
      <c r="E10">
        <v>0.99878287315368652</v>
      </c>
      <c r="F10">
        <v>0.99878287315368652</v>
      </c>
      <c r="G10">
        <v>0.56756756756756754</v>
      </c>
    </row>
    <row r="11" spans="1:7" x14ac:dyDescent="0.3">
      <c r="A11" t="s">
        <v>680</v>
      </c>
      <c r="B11" t="s">
        <v>679</v>
      </c>
      <c r="C11" t="s">
        <v>678</v>
      </c>
      <c r="D11">
        <v>0.98815071582794189</v>
      </c>
      <c r="E11">
        <v>0.94487273693084717</v>
      </c>
      <c r="F11">
        <v>0.96602725982666016</v>
      </c>
      <c r="G11">
        <v>0.99750000000000005</v>
      </c>
    </row>
    <row r="12" spans="1:7" x14ac:dyDescent="0.3">
      <c r="A12" t="s">
        <v>677</v>
      </c>
      <c r="B12" t="s">
        <v>676</v>
      </c>
      <c r="C12" t="s">
        <v>675</v>
      </c>
      <c r="D12">
        <v>0.99897336959838867</v>
      </c>
      <c r="E12">
        <v>0.99897336959838867</v>
      </c>
      <c r="F12">
        <v>0.99897336959838867</v>
      </c>
      <c r="G12">
        <v>0.27906976744186052</v>
      </c>
    </row>
    <row r="13" spans="1:7" x14ac:dyDescent="0.3">
      <c r="A13" t="s">
        <v>674</v>
      </c>
      <c r="B13" t="s">
        <v>673</v>
      </c>
      <c r="C13" t="s">
        <v>672</v>
      </c>
      <c r="D13">
        <v>0.99956011772155762</v>
      </c>
      <c r="E13">
        <v>0.99956011772155762</v>
      </c>
      <c r="F13">
        <v>0.99956011772155762</v>
      </c>
      <c r="G13">
        <v>0.33333333333333331</v>
      </c>
    </row>
    <row r="14" spans="1:7" x14ac:dyDescent="0.3">
      <c r="A14" t="s">
        <v>671</v>
      </c>
      <c r="B14" t="s">
        <v>670</v>
      </c>
      <c r="C14" t="s">
        <v>669</v>
      </c>
      <c r="D14">
        <v>0.99737375974655151</v>
      </c>
      <c r="E14">
        <v>0.99737375974655151</v>
      </c>
      <c r="F14">
        <v>0.99737375974655151</v>
      </c>
      <c r="G14">
        <v>0.49955476402493321</v>
      </c>
    </row>
    <row r="15" spans="1:7" hidden="1" x14ac:dyDescent="0.3">
      <c r="A15" t="s">
        <v>668</v>
      </c>
      <c r="B15" t="s">
        <v>667</v>
      </c>
      <c r="C15" t="s">
        <v>666</v>
      </c>
      <c r="D15">
        <v>0.99600899219512939</v>
      </c>
      <c r="E15">
        <v>0.99597668647766113</v>
      </c>
      <c r="F15">
        <v>0.99599283933639526</v>
      </c>
      <c r="G15">
        <v>21.733333333333331</v>
      </c>
    </row>
    <row r="16" spans="1:7" x14ac:dyDescent="0.3">
      <c r="A16" t="s">
        <v>665</v>
      </c>
      <c r="B16" t="s">
        <v>414</v>
      </c>
      <c r="C16" t="s">
        <v>414</v>
      </c>
      <c r="D16">
        <v>1</v>
      </c>
      <c r="E16">
        <v>1</v>
      </c>
      <c r="F16">
        <v>1</v>
      </c>
      <c r="G16">
        <v>0</v>
      </c>
    </row>
    <row r="17" spans="1:7" x14ac:dyDescent="0.3">
      <c r="A17" t="s">
        <v>664</v>
      </c>
      <c r="B17" t="s">
        <v>663</v>
      </c>
      <c r="C17" t="s">
        <v>662</v>
      </c>
      <c r="D17">
        <v>0.99886411428451538</v>
      </c>
      <c r="E17">
        <v>0.99886411428451538</v>
      </c>
      <c r="F17">
        <v>0.99886411428451538</v>
      </c>
      <c r="G17">
        <v>0.71428571428571408</v>
      </c>
    </row>
    <row r="18" spans="1:7" x14ac:dyDescent="0.3">
      <c r="A18" t="s">
        <v>661</v>
      </c>
      <c r="B18" t="s">
        <v>660</v>
      </c>
      <c r="C18" t="s">
        <v>659</v>
      </c>
      <c r="D18">
        <v>0.99582231044769287</v>
      </c>
      <c r="E18">
        <v>0.99582231044769287</v>
      </c>
      <c r="F18">
        <v>0.99582231044769287</v>
      </c>
      <c r="G18">
        <v>0.84204106636911602</v>
      </c>
    </row>
    <row r="19" spans="1:7" x14ac:dyDescent="0.3">
      <c r="A19" t="s">
        <v>658</v>
      </c>
      <c r="B19" t="s">
        <v>657</v>
      </c>
      <c r="C19" t="s">
        <v>656</v>
      </c>
      <c r="D19">
        <v>0.99827337265014648</v>
      </c>
      <c r="E19">
        <v>0.99827337265014648</v>
      </c>
      <c r="F19">
        <v>0.99827337265014648</v>
      </c>
      <c r="G19">
        <v>0.4931620389556568</v>
      </c>
    </row>
    <row r="20" spans="1:7" x14ac:dyDescent="0.3">
      <c r="A20" t="s">
        <v>655</v>
      </c>
      <c r="B20" t="s">
        <v>654</v>
      </c>
      <c r="C20" t="s">
        <v>653</v>
      </c>
      <c r="D20">
        <v>0.99928402900695801</v>
      </c>
      <c r="E20">
        <v>0.99928402900695801</v>
      </c>
      <c r="F20">
        <v>0.99928402900695801</v>
      </c>
      <c r="G20">
        <v>0.30769230769230782</v>
      </c>
    </row>
    <row r="21" spans="1:7" x14ac:dyDescent="0.3">
      <c r="A21" t="s">
        <v>652</v>
      </c>
      <c r="B21" t="s">
        <v>651</v>
      </c>
      <c r="C21" t="s">
        <v>650</v>
      </c>
      <c r="D21">
        <v>0.99581849575042725</v>
      </c>
      <c r="E21">
        <v>0.99581849575042725</v>
      </c>
      <c r="F21">
        <v>0.99581849575042725</v>
      </c>
      <c r="G21">
        <v>0.48568588469184881</v>
      </c>
    </row>
    <row r="22" spans="1:7" x14ac:dyDescent="0.3">
      <c r="A22" t="s">
        <v>649</v>
      </c>
      <c r="B22" t="s">
        <v>648</v>
      </c>
      <c r="C22" t="s">
        <v>647</v>
      </c>
      <c r="D22">
        <v>0.99712401628494263</v>
      </c>
      <c r="E22">
        <v>0.99712401628494263</v>
      </c>
      <c r="F22">
        <v>0.99712401628494263</v>
      </c>
      <c r="G22">
        <v>0.30541871921182262</v>
      </c>
    </row>
    <row r="23" spans="1:7" x14ac:dyDescent="0.3">
      <c r="A23" t="s">
        <v>646</v>
      </c>
      <c r="B23" t="s">
        <v>645</v>
      </c>
      <c r="C23" t="s">
        <v>644</v>
      </c>
      <c r="D23">
        <v>0.99878716468811035</v>
      </c>
      <c r="E23">
        <v>0.99878716468811035</v>
      </c>
      <c r="F23">
        <v>0.99878716468811035</v>
      </c>
      <c r="G23">
        <v>0.27725856697819318</v>
      </c>
    </row>
    <row r="24" spans="1:7" x14ac:dyDescent="0.3">
      <c r="A24" t="s">
        <v>643</v>
      </c>
      <c r="B24" t="s">
        <v>201</v>
      </c>
      <c r="C24" t="s">
        <v>642</v>
      </c>
      <c r="D24">
        <v>0.99959450960159302</v>
      </c>
      <c r="E24">
        <v>0.99959450960159302</v>
      </c>
      <c r="F24">
        <v>0.99959450960159302</v>
      </c>
      <c r="G24">
        <v>4.6511627906976792E-2</v>
      </c>
    </row>
    <row r="25" spans="1:7" x14ac:dyDescent="0.3">
      <c r="A25" t="s">
        <v>641</v>
      </c>
      <c r="B25" t="s">
        <v>640</v>
      </c>
      <c r="C25" t="s">
        <v>639</v>
      </c>
      <c r="D25">
        <v>0.99607151746749878</v>
      </c>
      <c r="E25">
        <v>0.99445164203643799</v>
      </c>
      <c r="F25">
        <v>0.99526095390319824</v>
      </c>
      <c r="G25">
        <v>0.9577538268800263</v>
      </c>
    </row>
    <row r="26" spans="1:7" x14ac:dyDescent="0.3">
      <c r="A26" t="s">
        <v>638</v>
      </c>
      <c r="B26" t="s">
        <v>637</v>
      </c>
      <c r="C26" t="s">
        <v>636</v>
      </c>
      <c r="D26">
        <v>0.99822574853897095</v>
      </c>
      <c r="E26">
        <v>0.99822574853897095</v>
      </c>
      <c r="F26">
        <v>0.99822574853897095</v>
      </c>
      <c r="G26">
        <v>0.79069767441860461</v>
      </c>
    </row>
    <row r="27" spans="1:7" x14ac:dyDescent="0.3">
      <c r="A27" t="s">
        <v>635</v>
      </c>
      <c r="B27" t="s">
        <v>634</v>
      </c>
      <c r="C27" t="s">
        <v>633</v>
      </c>
      <c r="D27">
        <v>0.99783682823181152</v>
      </c>
      <c r="E27">
        <v>0.99783682823181152</v>
      </c>
      <c r="F27">
        <v>0.99783682823181152</v>
      </c>
      <c r="G27">
        <v>0.35813953488372102</v>
      </c>
    </row>
    <row r="28" spans="1:7" x14ac:dyDescent="0.3">
      <c r="A28" t="s">
        <v>632</v>
      </c>
      <c r="B28" t="s">
        <v>631</v>
      </c>
      <c r="C28" t="s">
        <v>630</v>
      </c>
      <c r="D28">
        <v>0.99907433986663818</v>
      </c>
      <c r="E28">
        <v>0.99907433986663818</v>
      </c>
      <c r="F28">
        <v>0.99907433986663818</v>
      </c>
      <c r="G28">
        <v>9.7560975609756184E-2</v>
      </c>
    </row>
    <row r="29" spans="1:7" x14ac:dyDescent="0.3">
      <c r="A29" t="s">
        <v>629</v>
      </c>
      <c r="B29" t="s">
        <v>628</v>
      </c>
      <c r="C29" t="s">
        <v>627</v>
      </c>
      <c r="D29">
        <v>0.99517428874969482</v>
      </c>
      <c r="E29">
        <v>0.99543774127960205</v>
      </c>
      <c r="F29">
        <v>0.99530595541000366</v>
      </c>
      <c r="G29">
        <v>0.96465696465696471</v>
      </c>
    </row>
    <row r="30" spans="1:7" x14ac:dyDescent="0.3">
      <c r="A30" t="s">
        <v>626</v>
      </c>
      <c r="B30" t="s">
        <v>625</v>
      </c>
      <c r="C30" t="s">
        <v>624</v>
      </c>
      <c r="D30">
        <v>0.99591302871704102</v>
      </c>
      <c r="E30">
        <v>0.99591302871704102</v>
      </c>
      <c r="F30">
        <v>0.99591302871704102</v>
      </c>
      <c r="G30">
        <v>0.93617021276595747</v>
      </c>
    </row>
    <row r="31" spans="1:7" x14ac:dyDescent="0.3">
      <c r="A31" t="s">
        <v>623</v>
      </c>
      <c r="B31" t="s">
        <v>622</v>
      </c>
      <c r="C31" t="s">
        <v>621</v>
      </c>
      <c r="D31">
        <v>0.99837028980255127</v>
      </c>
      <c r="E31">
        <v>0.99837028980255127</v>
      </c>
      <c r="F31">
        <v>0.99837028980255127</v>
      </c>
      <c r="G31">
        <v>8.9340101522842663E-2</v>
      </c>
    </row>
    <row r="32" spans="1:7" x14ac:dyDescent="0.3">
      <c r="A32" t="s">
        <v>620</v>
      </c>
      <c r="B32" t="s">
        <v>619</v>
      </c>
      <c r="C32" t="s">
        <v>618</v>
      </c>
      <c r="D32">
        <v>0.99662613868713379</v>
      </c>
      <c r="E32">
        <v>0.99662613868713379</v>
      </c>
      <c r="F32">
        <v>0.99662613868713379</v>
      </c>
      <c r="G32">
        <v>3.533813400125235</v>
      </c>
    </row>
    <row r="33" spans="1:7" x14ac:dyDescent="0.3">
      <c r="A33" t="s">
        <v>617</v>
      </c>
      <c r="B33" t="s">
        <v>616</v>
      </c>
      <c r="C33" t="s">
        <v>615</v>
      </c>
      <c r="D33">
        <v>0.99638259410858154</v>
      </c>
      <c r="E33">
        <v>0.99638259410858154</v>
      </c>
      <c r="F33">
        <v>0.99638259410858154</v>
      </c>
      <c r="G33">
        <v>3.4722222222222219</v>
      </c>
    </row>
    <row r="34" spans="1:7" x14ac:dyDescent="0.3">
      <c r="A34" t="s">
        <v>614</v>
      </c>
      <c r="B34" t="s">
        <v>613</v>
      </c>
      <c r="C34" t="s">
        <v>612</v>
      </c>
      <c r="D34">
        <v>0.9984734058380127</v>
      </c>
      <c r="E34">
        <v>0.9984734058380127</v>
      </c>
      <c r="F34">
        <v>0.9984734058380127</v>
      </c>
      <c r="G34">
        <v>0.67763794772507258</v>
      </c>
    </row>
    <row r="35" spans="1:7" x14ac:dyDescent="0.3">
      <c r="A35" t="s">
        <v>611</v>
      </c>
      <c r="B35" t="s">
        <v>610</v>
      </c>
      <c r="C35" t="s">
        <v>609</v>
      </c>
      <c r="D35">
        <v>0.99769902229309082</v>
      </c>
      <c r="E35">
        <v>0.99769902229309082</v>
      </c>
      <c r="F35">
        <v>0.99769902229309082</v>
      </c>
      <c r="G35">
        <v>1.916666666666667</v>
      </c>
    </row>
    <row r="36" spans="1:7" x14ac:dyDescent="0.3">
      <c r="A36" t="s">
        <v>608</v>
      </c>
      <c r="B36" t="s">
        <v>607</v>
      </c>
      <c r="C36" t="s">
        <v>606</v>
      </c>
      <c r="D36">
        <v>0.9978865385055542</v>
      </c>
      <c r="E36">
        <v>0.9978865385055542</v>
      </c>
      <c r="F36">
        <v>0.9978865385055542</v>
      </c>
      <c r="G36">
        <v>1.1111111111111109</v>
      </c>
    </row>
    <row r="37" spans="1:7" x14ac:dyDescent="0.3">
      <c r="A37" t="s">
        <v>605</v>
      </c>
      <c r="B37" t="s">
        <v>604</v>
      </c>
      <c r="C37" t="s">
        <v>603</v>
      </c>
      <c r="D37">
        <v>0.99717795848846436</v>
      </c>
      <c r="E37">
        <v>0.99717795848846436</v>
      </c>
      <c r="F37">
        <v>0.99717795848846436</v>
      </c>
      <c r="G37">
        <v>0.61538461538461542</v>
      </c>
    </row>
    <row r="38" spans="1:7" x14ac:dyDescent="0.3">
      <c r="A38" t="s">
        <v>602</v>
      </c>
      <c r="B38" t="s">
        <v>601</v>
      </c>
      <c r="C38" t="s">
        <v>600</v>
      </c>
      <c r="D38">
        <v>0.99674999713897705</v>
      </c>
      <c r="E38">
        <v>0.99674999713897705</v>
      </c>
      <c r="F38">
        <v>0.99674999713897705</v>
      </c>
      <c r="G38">
        <v>2.1322314049586781</v>
      </c>
    </row>
    <row r="39" spans="1:7" x14ac:dyDescent="0.3">
      <c r="A39" t="s">
        <v>599</v>
      </c>
      <c r="B39" t="s">
        <v>598</v>
      </c>
      <c r="C39" t="s">
        <v>597</v>
      </c>
      <c r="D39">
        <v>0.99872517585754395</v>
      </c>
      <c r="E39">
        <v>0.99872517585754395</v>
      </c>
      <c r="F39">
        <v>0.99872517585754395</v>
      </c>
      <c r="G39">
        <v>0.41867785939139562</v>
      </c>
    </row>
    <row r="40" spans="1:7" x14ac:dyDescent="0.3">
      <c r="A40" t="s">
        <v>596</v>
      </c>
      <c r="B40" t="s">
        <v>595</v>
      </c>
      <c r="C40" t="s">
        <v>594</v>
      </c>
      <c r="D40">
        <v>0.99626880884170532</v>
      </c>
      <c r="E40">
        <v>0.99626880884170532</v>
      </c>
      <c r="F40">
        <v>0.99626880884170532</v>
      </c>
      <c r="G40">
        <v>2.9983870967741928</v>
      </c>
    </row>
    <row r="41" spans="1:7" hidden="1" x14ac:dyDescent="0.3">
      <c r="A41" t="s">
        <v>593</v>
      </c>
      <c r="B41" t="s">
        <v>592</v>
      </c>
      <c r="C41" t="s">
        <v>591</v>
      </c>
      <c r="D41">
        <v>0.99834978580474854</v>
      </c>
      <c r="E41">
        <v>0.99834978580474854</v>
      </c>
      <c r="F41">
        <v>0.99834978580474854</v>
      </c>
      <c r="G41">
        <v>5</v>
      </c>
    </row>
    <row r="42" spans="1:7" x14ac:dyDescent="0.3">
      <c r="A42" t="s">
        <v>590</v>
      </c>
      <c r="B42" t="s">
        <v>589</v>
      </c>
      <c r="C42" t="s">
        <v>588</v>
      </c>
      <c r="D42">
        <v>0.99847543239593506</v>
      </c>
      <c r="E42">
        <v>0.99847543239593506</v>
      </c>
      <c r="F42">
        <v>0.99847543239593506</v>
      </c>
      <c r="G42">
        <v>0.86301369863013722</v>
      </c>
    </row>
    <row r="43" spans="1:7" x14ac:dyDescent="0.3">
      <c r="A43" t="s">
        <v>587</v>
      </c>
      <c r="B43" t="s">
        <v>586</v>
      </c>
      <c r="C43" t="s">
        <v>585</v>
      </c>
      <c r="D43">
        <v>0.99929618835449219</v>
      </c>
      <c r="E43">
        <v>0.99929618835449219</v>
      </c>
      <c r="F43">
        <v>0.99929618835449219</v>
      </c>
      <c r="G43">
        <v>0.22033898305084751</v>
      </c>
    </row>
    <row r="44" spans="1:7" x14ac:dyDescent="0.3">
      <c r="A44" t="s">
        <v>584</v>
      </c>
      <c r="B44" t="s">
        <v>583</v>
      </c>
      <c r="C44" t="s">
        <v>582</v>
      </c>
      <c r="D44">
        <v>0.99835109710693359</v>
      </c>
      <c r="E44">
        <v>0.99835109710693359</v>
      </c>
      <c r="F44">
        <v>0.99835109710693359</v>
      </c>
      <c r="G44">
        <v>0.45287563986750973</v>
      </c>
    </row>
    <row r="45" spans="1:7" x14ac:dyDescent="0.3">
      <c r="A45" t="s">
        <v>581</v>
      </c>
      <c r="B45" t="s">
        <v>580</v>
      </c>
      <c r="C45" t="s">
        <v>579</v>
      </c>
      <c r="D45">
        <v>0.9957200288772583</v>
      </c>
      <c r="E45">
        <v>0.9957200288772583</v>
      </c>
      <c r="F45">
        <v>0.9957200288772583</v>
      </c>
      <c r="G45">
        <v>0.11320754716981141</v>
      </c>
    </row>
    <row r="46" spans="1:7" hidden="1" x14ac:dyDescent="0.3">
      <c r="A46" t="s">
        <v>578</v>
      </c>
      <c r="B46" t="s">
        <v>577</v>
      </c>
      <c r="C46" t="s">
        <v>576</v>
      </c>
      <c r="D46">
        <v>0.99342304468154907</v>
      </c>
      <c r="E46">
        <v>0.99558615684509277</v>
      </c>
      <c r="F46">
        <v>0.9945034384727478</v>
      </c>
      <c r="G46">
        <v>374.76578645235372</v>
      </c>
    </row>
    <row r="47" spans="1:7" x14ac:dyDescent="0.3">
      <c r="A47" t="s">
        <v>575</v>
      </c>
      <c r="B47" t="s">
        <v>574</v>
      </c>
      <c r="C47" t="s">
        <v>573</v>
      </c>
      <c r="D47">
        <v>0.99863338470458984</v>
      </c>
      <c r="E47">
        <v>0.99863338470458984</v>
      </c>
      <c r="F47">
        <v>0.99863338470458984</v>
      </c>
      <c r="G47">
        <v>1.714285714285714</v>
      </c>
    </row>
    <row r="48" spans="1:7" x14ac:dyDescent="0.3">
      <c r="A48" t="s">
        <v>572</v>
      </c>
      <c r="B48" t="s">
        <v>571</v>
      </c>
      <c r="C48" t="s">
        <v>570</v>
      </c>
      <c r="D48">
        <v>0.99815136194229126</v>
      </c>
      <c r="E48">
        <v>0.99815136194229126</v>
      </c>
      <c r="F48">
        <v>0.99815136194229126</v>
      </c>
      <c r="G48">
        <v>0.22023809523809521</v>
      </c>
    </row>
    <row r="49" spans="1:7" x14ac:dyDescent="0.3">
      <c r="A49" t="s">
        <v>569</v>
      </c>
      <c r="B49" t="s">
        <v>568</v>
      </c>
      <c r="C49" t="s">
        <v>567</v>
      </c>
      <c r="D49">
        <v>0.99841392040252686</v>
      </c>
      <c r="E49">
        <v>0.99841392040252686</v>
      </c>
      <c r="F49">
        <v>0.99841392040252686</v>
      </c>
      <c r="G49">
        <v>0.75862068965517238</v>
      </c>
    </row>
    <row r="50" spans="1:7" x14ac:dyDescent="0.3">
      <c r="A50" t="s">
        <v>566</v>
      </c>
      <c r="B50" t="s">
        <v>565</v>
      </c>
      <c r="C50" t="s">
        <v>564</v>
      </c>
      <c r="D50">
        <v>0.99611544609069824</v>
      </c>
      <c r="E50">
        <v>0.99611544609069824</v>
      </c>
      <c r="F50">
        <v>0.99611544609069824</v>
      </c>
      <c r="G50">
        <v>0.90494296577946765</v>
      </c>
    </row>
    <row r="51" spans="1:7" x14ac:dyDescent="0.3">
      <c r="A51" t="s">
        <v>563</v>
      </c>
      <c r="B51" t="s">
        <v>562</v>
      </c>
      <c r="C51" t="s">
        <v>561</v>
      </c>
      <c r="D51">
        <v>0.99503648281097412</v>
      </c>
      <c r="E51">
        <v>0.99642914533615112</v>
      </c>
      <c r="F51">
        <v>0.99573230743408203</v>
      </c>
      <c r="G51">
        <v>0.76963087248322148</v>
      </c>
    </row>
    <row r="52" spans="1:7" hidden="1" x14ac:dyDescent="0.3">
      <c r="A52" t="s">
        <v>560</v>
      </c>
      <c r="B52" t="s">
        <v>559</v>
      </c>
      <c r="C52" t="s">
        <v>558</v>
      </c>
      <c r="D52">
        <v>0.99470072984695435</v>
      </c>
      <c r="E52">
        <v>0.99474197626113892</v>
      </c>
      <c r="F52">
        <v>0.99472135305404663</v>
      </c>
      <c r="G52">
        <v>4364.25</v>
      </c>
    </row>
    <row r="53" spans="1:7" x14ac:dyDescent="0.3">
      <c r="A53" t="s">
        <v>557</v>
      </c>
      <c r="B53" t="s">
        <v>556</v>
      </c>
      <c r="C53" t="s">
        <v>555</v>
      </c>
      <c r="D53">
        <v>0.99593067169189453</v>
      </c>
      <c r="E53">
        <v>0.9935869574546814</v>
      </c>
      <c r="F53">
        <v>0.99475741386413574</v>
      </c>
      <c r="G53">
        <v>0.99131056973216181</v>
      </c>
    </row>
    <row r="54" spans="1:7" x14ac:dyDescent="0.3">
      <c r="A54" t="s">
        <v>554</v>
      </c>
      <c r="B54" t="s">
        <v>553</v>
      </c>
      <c r="C54" t="s">
        <v>552</v>
      </c>
      <c r="D54">
        <v>0.99966967105865479</v>
      </c>
      <c r="E54">
        <v>0.99966967105865479</v>
      </c>
      <c r="F54">
        <v>0.99966967105865479</v>
      </c>
      <c r="G54">
        <v>0.1249999999999999</v>
      </c>
    </row>
    <row r="55" spans="1:7" x14ac:dyDescent="0.3">
      <c r="A55" t="s">
        <v>551</v>
      </c>
      <c r="B55" t="s">
        <v>550</v>
      </c>
      <c r="C55" t="s">
        <v>549</v>
      </c>
      <c r="D55">
        <v>0.99597609043121338</v>
      </c>
      <c r="E55">
        <v>0.99597609043121338</v>
      </c>
      <c r="F55">
        <v>0.99597609043121338</v>
      </c>
      <c r="G55">
        <v>0.93015407190022015</v>
      </c>
    </row>
    <row r="56" spans="1:7" x14ac:dyDescent="0.3">
      <c r="A56" t="s">
        <v>548</v>
      </c>
      <c r="B56" t="s">
        <v>547</v>
      </c>
      <c r="C56" t="s">
        <v>546</v>
      </c>
      <c r="D56">
        <v>0.99774891138076782</v>
      </c>
      <c r="E56">
        <v>0.99774891138076782</v>
      </c>
      <c r="F56">
        <v>0.99774891138076782</v>
      </c>
      <c r="G56">
        <v>0.30140379851362509</v>
      </c>
    </row>
    <row r="57" spans="1:7" x14ac:dyDescent="0.3">
      <c r="A57" t="s">
        <v>545</v>
      </c>
      <c r="B57" t="s">
        <v>544</v>
      </c>
      <c r="C57" t="s">
        <v>543</v>
      </c>
      <c r="D57">
        <v>0.99811369180679321</v>
      </c>
      <c r="E57">
        <v>0.99811369180679321</v>
      </c>
      <c r="F57">
        <v>0.99811369180679321</v>
      </c>
      <c r="G57">
        <v>0.43023255813953493</v>
      </c>
    </row>
    <row r="58" spans="1:7" x14ac:dyDescent="0.3">
      <c r="A58" t="s">
        <v>542</v>
      </c>
      <c r="B58" t="s">
        <v>541</v>
      </c>
      <c r="C58" t="s">
        <v>540</v>
      </c>
      <c r="D58">
        <v>0.99639344215393066</v>
      </c>
      <c r="E58">
        <v>0.99639344215393066</v>
      </c>
      <c r="F58">
        <v>0.99639344215393066</v>
      </c>
      <c r="G58">
        <v>4.3897550111358576</v>
      </c>
    </row>
    <row r="59" spans="1:7" x14ac:dyDescent="0.3">
      <c r="A59" t="s">
        <v>539</v>
      </c>
      <c r="B59" t="s">
        <v>538</v>
      </c>
      <c r="C59" t="s">
        <v>537</v>
      </c>
      <c r="D59">
        <v>0.99745231866836548</v>
      </c>
      <c r="E59">
        <v>0.99745231866836548</v>
      </c>
      <c r="F59">
        <v>0.99745231866836548</v>
      </c>
      <c r="G59">
        <v>3.3142173288654861</v>
      </c>
    </row>
    <row r="60" spans="1:7" x14ac:dyDescent="0.3">
      <c r="A60" t="s">
        <v>536</v>
      </c>
      <c r="B60" t="s">
        <v>535</v>
      </c>
      <c r="C60" t="s">
        <v>534</v>
      </c>
      <c r="D60">
        <v>0.99905222654342651</v>
      </c>
      <c r="E60">
        <v>0.99905222654342651</v>
      </c>
      <c r="F60">
        <v>0.99905222654342651</v>
      </c>
      <c r="G60">
        <v>0.10714285714285721</v>
      </c>
    </row>
    <row r="61" spans="1:7" x14ac:dyDescent="0.3">
      <c r="A61" t="s">
        <v>533</v>
      </c>
      <c r="B61" t="s">
        <v>532</v>
      </c>
      <c r="C61" t="s">
        <v>531</v>
      </c>
      <c r="D61">
        <v>0.995563805103302</v>
      </c>
      <c r="E61">
        <v>0.9972502589225769</v>
      </c>
      <c r="F61">
        <v>0.99640631675720215</v>
      </c>
      <c r="G61">
        <v>0.90601030802321347</v>
      </c>
    </row>
    <row r="62" spans="1:7" x14ac:dyDescent="0.3">
      <c r="A62" t="s">
        <v>530</v>
      </c>
      <c r="B62" t="s">
        <v>529</v>
      </c>
      <c r="C62" t="s">
        <v>528</v>
      </c>
      <c r="D62">
        <v>0.99953949451446533</v>
      </c>
      <c r="E62">
        <v>0.99953949451446533</v>
      </c>
      <c r="F62">
        <v>0.99953949451446533</v>
      </c>
      <c r="G62">
        <v>3.7735849056603807E-2</v>
      </c>
    </row>
    <row r="63" spans="1:7" x14ac:dyDescent="0.3">
      <c r="A63" t="s">
        <v>527</v>
      </c>
      <c r="B63" t="s">
        <v>526</v>
      </c>
      <c r="C63" t="s">
        <v>525</v>
      </c>
      <c r="D63">
        <v>0.99825036525726318</v>
      </c>
      <c r="E63">
        <v>0.99825036525726318</v>
      </c>
      <c r="F63">
        <v>0.99825036525726318</v>
      </c>
      <c r="G63">
        <v>2.44</v>
      </c>
    </row>
    <row r="64" spans="1:7" x14ac:dyDescent="0.3">
      <c r="A64" t="s">
        <v>524</v>
      </c>
      <c r="B64" t="s">
        <v>523</v>
      </c>
      <c r="C64" t="s">
        <v>522</v>
      </c>
      <c r="D64">
        <v>0.99101638793945313</v>
      </c>
      <c r="E64">
        <v>0.97775286436080933</v>
      </c>
      <c r="F64">
        <v>0.98433989286422729</v>
      </c>
      <c r="G64">
        <v>0.99999999015557794</v>
      </c>
    </row>
    <row r="65" spans="1:7" x14ac:dyDescent="0.3">
      <c r="A65" t="s">
        <v>521</v>
      </c>
      <c r="B65" t="s">
        <v>520</v>
      </c>
      <c r="C65" t="s">
        <v>519</v>
      </c>
      <c r="D65">
        <v>0.99907022714614868</v>
      </c>
      <c r="E65">
        <v>0.99907022714614868</v>
      </c>
      <c r="F65">
        <v>0.99907022714614868</v>
      </c>
      <c r="G65">
        <v>0.82758620689655193</v>
      </c>
    </row>
    <row r="66" spans="1:7" x14ac:dyDescent="0.3">
      <c r="A66" t="s">
        <v>518</v>
      </c>
      <c r="B66" t="s">
        <v>517</v>
      </c>
      <c r="C66" t="s">
        <v>516</v>
      </c>
      <c r="D66">
        <v>0.9978710412979126</v>
      </c>
      <c r="E66">
        <v>0.9978710412979126</v>
      </c>
      <c r="F66">
        <v>0.9978710412979126</v>
      </c>
      <c r="G66">
        <v>0.99092009685230031</v>
      </c>
    </row>
    <row r="67" spans="1:7" x14ac:dyDescent="0.3">
      <c r="A67" t="s">
        <v>515</v>
      </c>
      <c r="B67" t="s">
        <v>514</v>
      </c>
      <c r="C67" t="s">
        <v>513</v>
      </c>
      <c r="D67">
        <v>0.99625355005264282</v>
      </c>
      <c r="E67">
        <v>0.99651223421096802</v>
      </c>
      <c r="F67">
        <v>0.99638283252716064</v>
      </c>
      <c r="G67">
        <v>0.95952183690377557</v>
      </c>
    </row>
    <row r="68" spans="1:7" x14ac:dyDescent="0.3">
      <c r="A68" t="s">
        <v>512</v>
      </c>
      <c r="B68" t="s">
        <v>70</v>
      </c>
      <c r="C68" t="s">
        <v>70</v>
      </c>
      <c r="D68">
        <v>0.99999994039535522</v>
      </c>
      <c r="E68">
        <v>0.99999994039535522</v>
      </c>
      <c r="F68">
        <v>0.99999994039535522</v>
      </c>
      <c r="G68">
        <v>0</v>
      </c>
    </row>
    <row r="69" spans="1:7" x14ac:dyDescent="0.3">
      <c r="A69" t="s">
        <v>511</v>
      </c>
      <c r="B69" t="s">
        <v>510</v>
      </c>
      <c r="C69" t="s">
        <v>509</v>
      </c>
      <c r="D69">
        <v>0.99928426742553711</v>
      </c>
      <c r="E69">
        <v>0.99928426742553711</v>
      </c>
      <c r="F69">
        <v>0.99928426742553711</v>
      </c>
      <c r="G69">
        <v>1.666666666666667</v>
      </c>
    </row>
    <row r="70" spans="1:7" x14ac:dyDescent="0.3">
      <c r="A70" t="s">
        <v>508</v>
      </c>
      <c r="B70" t="s">
        <v>507</v>
      </c>
      <c r="C70" t="s">
        <v>506</v>
      </c>
      <c r="D70">
        <v>0.99725192785263062</v>
      </c>
      <c r="E70">
        <v>0.99725192785263062</v>
      </c>
      <c r="F70">
        <v>0.99725192785263062</v>
      </c>
      <c r="G70">
        <v>3.5917721518987338</v>
      </c>
    </row>
    <row r="71" spans="1:7" x14ac:dyDescent="0.3">
      <c r="A71" t="s">
        <v>505</v>
      </c>
      <c r="B71" t="s">
        <v>504</v>
      </c>
      <c r="C71" t="s">
        <v>503</v>
      </c>
      <c r="D71">
        <v>0.99856632947921753</v>
      </c>
      <c r="E71">
        <v>0.99856632947921753</v>
      </c>
      <c r="F71">
        <v>0.99856632947921753</v>
      </c>
      <c r="G71">
        <v>0.38867187499999989</v>
      </c>
    </row>
    <row r="72" spans="1:7" x14ac:dyDescent="0.3">
      <c r="A72" t="s">
        <v>502</v>
      </c>
      <c r="B72" t="s">
        <v>501</v>
      </c>
      <c r="C72" t="s">
        <v>500</v>
      </c>
      <c r="D72">
        <v>0.9983750581741333</v>
      </c>
      <c r="E72">
        <v>0.9983750581741333</v>
      </c>
      <c r="F72">
        <v>0.9983750581741333</v>
      </c>
      <c r="G72">
        <v>1.285714285714286</v>
      </c>
    </row>
    <row r="73" spans="1:7" x14ac:dyDescent="0.3">
      <c r="A73" t="s">
        <v>499</v>
      </c>
      <c r="B73" t="s">
        <v>498</v>
      </c>
      <c r="C73" t="s">
        <v>497</v>
      </c>
      <c r="D73">
        <v>0.99757343530654907</v>
      </c>
      <c r="E73">
        <v>0.99757343530654907</v>
      </c>
      <c r="F73">
        <v>0.99757343530654907</v>
      </c>
      <c r="G73">
        <v>0.33678756476683952</v>
      </c>
    </row>
    <row r="74" spans="1:7" x14ac:dyDescent="0.3">
      <c r="A74" t="s">
        <v>496</v>
      </c>
      <c r="B74" t="s">
        <v>495</v>
      </c>
      <c r="C74" t="s">
        <v>494</v>
      </c>
      <c r="D74">
        <v>0.99827158451080322</v>
      </c>
      <c r="E74">
        <v>0.99827158451080322</v>
      </c>
      <c r="F74">
        <v>0.99827158451080322</v>
      </c>
      <c r="G74">
        <v>2.75</v>
      </c>
    </row>
    <row r="75" spans="1:7" x14ac:dyDescent="0.3">
      <c r="A75" t="s">
        <v>493</v>
      </c>
      <c r="B75" t="s">
        <v>492</v>
      </c>
      <c r="C75" t="s">
        <v>491</v>
      </c>
      <c r="D75">
        <v>0.99497884511947632</v>
      </c>
      <c r="E75">
        <v>0.99497884511947632</v>
      </c>
      <c r="F75">
        <v>0.99497884511947632</v>
      </c>
      <c r="G75">
        <v>0.921373200442968</v>
      </c>
    </row>
    <row r="76" spans="1:7" x14ac:dyDescent="0.3">
      <c r="A76" t="s">
        <v>490</v>
      </c>
      <c r="B76" t="s">
        <v>489</v>
      </c>
      <c r="C76" t="s">
        <v>488</v>
      </c>
      <c r="D76">
        <v>0.9980771541595459</v>
      </c>
      <c r="E76">
        <v>0.9980771541595459</v>
      </c>
      <c r="F76">
        <v>0.9980771541595459</v>
      </c>
      <c r="G76">
        <v>0.19008264462809921</v>
      </c>
    </row>
    <row r="77" spans="1:7" x14ac:dyDescent="0.3">
      <c r="A77" t="s">
        <v>487</v>
      </c>
      <c r="B77" t="s">
        <v>486</v>
      </c>
      <c r="C77" t="s">
        <v>485</v>
      </c>
      <c r="D77">
        <v>0.99418532848358154</v>
      </c>
      <c r="E77">
        <v>0.98956072330474854</v>
      </c>
      <c r="F77">
        <v>0.99186760187149048</v>
      </c>
      <c r="G77">
        <v>0.99999696178776509</v>
      </c>
    </row>
    <row r="78" spans="1:7" x14ac:dyDescent="0.3">
      <c r="A78" t="s">
        <v>484</v>
      </c>
      <c r="B78" t="s">
        <v>483</v>
      </c>
      <c r="C78" t="s">
        <v>482</v>
      </c>
      <c r="D78">
        <v>0.99796843528747559</v>
      </c>
      <c r="E78">
        <v>0.99796843528747559</v>
      </c>
      <c r="F78">
        <v>0.99796843528747559</v>
      </c>
      <c r="G78">
        <v>0.43750000000000011</v>
      </c>
    </row>
    <row r="79" spans="1:7" x14ac:dyDescent="0.3">
      <c r="A79" t="s">
        <v>481</v>
      </c>
      <c r="B79" t="s">
        <v>480</v>
      </c>
      <c r="C79" t="s">
        <v>479</v>
      </c>
      <c r="D79">
        <v>0.99879038333892822</v>
      </c>
      <c r="E79">
        <v>0.99879038333892822</v>
      </c>
      <c r="F79">
        <v>0.99879038333892822</v>
      </c>
      <c r="G79">
        <v>0.12252964426877461</v>
      </c>
    </row>
    <row r="80" spans="1:7" hidden="1" x14ac:dyDescent="0.3">
      <c r="A80" t="s">
        <v>478</v>
      </c>
      <c r="B80" t="s">
        <v>477</v>
      </c>
      <c r="C80" t="s">
        <v>476</v>
      </c>
      <c r="D80">
        <v>0.99920010566711426</v>
      </c>
      <c r="E80">
        <v>0.99920010566711426</v>
      </c>
      <c r="F80">
        <v>0.99920010566711426</v>
      </c>
      <c r="G80">
        <v>7.0000000000000009</v>
      </c>
    </row>
    <row r="81" spans="1:7" x14ac:dyDescent="0.3">
      <c r="A81" t="s">
        <v>475</v>
      </c>
      <c r="B81" t="s">
        <v>474</v>
      </c>
      <c r="C81" t="s">
        <v>473</v>
      </c>
      <c r="D81">
        <v>0.99852770566940308</v>
      </c>
      <c r="E81">
        <v>0.99852770566940308</v>
      </c>
      <c r="F81">
        <v>0.99852770566940308</v>
      </c>
      <c r="G81">
        <v>0.40476190476190482</v>
      </c>
    </row>
    <row r="82" spans="1:7" x14ac:dyDescent="0.3">
      <c r="A82" t="s">
        <v>472</v>
      </c>
      <c r="B82" t="s">
        <v>471</v>
      </c>
      <c r="C82" t="s">
        <v>470</v>
      </c>
      <c r="D82">
        <v>0.99896174669265747</v>
      </c>
      <c r="E82">
        <v>0.99896174669265747</v>
      </c>
      <c r="F82">
        <v>0.99896174669265747</v>
      </c>
      <c r="G82">
        <v>0.17819706498951779</v>
      </c>
    </row>
    <row r="83" spans="1:7" x14ac:dyDescent="0.3">
      <c r="A83" t="s">
        <v>469</v>
      </c>
      <c r="B83" t="s">
        <v>468</v>
      </c>
      <c r="C83" t="s">
        <v>467</v>
      </c>
      <c r="D83">
        <v>0.99788528680801392</v>
      </c>
      <c r="E83">
        <v>0.99788528680801392</v>
      </c>
      <c r="F83">
        <v>0.99788528680801392</v>
      </c>
      <c r="G83">
        <v>0.32989690721649489</v>
      </c>
    </row>
    <row r="84" spans="1:7" x14ac:dyDescent="0.3">
      <c r="A84" t="s">
        <v>466</v>
      </c>
      <c r="B84" t="s">
        <v>465</v>
      </c>
      <c r="C84" t="s">
        <v>464</v>
      </c>
      <c r="D84">
        <v>0.99684524536132813</v>
      </c>
      <c r="E84">
        <v>0.99684524536132813</v>
      </c>
      <c r="F84">
        <v>0.99684524536132813</v>
      </c>
      <c r="G84">
        <v>0.97183098591549288</v>
      </c>
    </row>
    <row r="85" spans="1:7" x14ac:dyDescent="0.3">
      <c r="A85" t="s">
        <v>463</v>
      </c>
      <c r="B85" t="s">
        <v>462</v>
      </c>
      <c r="C85" t="s">
        <v>461</v>
      </c>
      <c r="D85">
        <v>0.99886667728424072</v>
      </c>
      <c r="E85">
        <v>0.99886667728424072</v>
      </c>
      <c r="F85">
        <v>0.99886667728424072</v>
      </c>
      <c r="G85">
        <v>0.52941176470588236</v>
      </c>
    </row>
    <row r="86" spans="1:7" x14ac:dyDescent="0.3">
      <c r="A86" t="s">
        <v>460</v>
      </c>
      <c r="B86" t="s">
        <v>459</v>
      </c>
      <c r="C86" t="s">
        <v>458</v>
      </c>
      <c r="D86">
        <v>0.99535173177719116</v>
      </c>
      <c r="E86">
        <v>0.99535173177719116</v>
      </c>
      <c r="F86">
        <v>0.99535173177719116</v>
      </c>
      <c r="G86">
        <v>0.61998166819431699</v>
      </c>
    </row>
    <row r="87" spans="1:7" x14ac:dyDescent="0.3">
      <c r="A87" t="s">
        <v>457</v>
      </c>
      <c r="B87" t="s">
        <v>456</v>
      </c>
      <c r="C87" t="s">
        <v>428</v>
      </c>
      <c r="D87">
        <v>0.99954187870025635</v>
      </c>
      <c r="E87">
        <v>0.99954187870025635</v>
      </c>
      <c r="F87">
        <v>0.99954187870025635</v>
      </c>
      <c r="G87">
        <v>0.14285714285714279</v>
      </c>
    </row>
    <row r="88" spans="1:7" x14ac:dyDescent="0.3">
      <c r="A88" t="s">
        <v>455</v>
      </c>
      <c r="B88" t="s">
        <v>454</v>
      </c>
      <c r="C88" t="s">
        <v>453</v>
      </c>
      <c r="D88">
        <v>0.99905920028686523</v>
      </c>
      <c r="E88">
        <v>0.99905920028686523</v>
      </c>
      <c r="F88">
        <v>0.99905920028686523</v>
      </c>
      <c r="G88">
        <v>0.1223776223776224</v>
      </c>
    </row>
    <row r="89" spans="1:7" x14ac:dyDescent="0.3">
      <c r="A89" t="s">
        <v>452</v>
      </c>
      <c r="B89" t="s">
        <v>451</v>
      </c>
      <c r="C89" t="s">
        <v>450</v>
      </c>
      <c r="D89">
        <v>0.99715816974639893</v>
      </c>
      <c r="E89">
        <v>0.99715816974639893</v>
      </c>
      <c r="F89">
        <v>0.99715816974639893</v>
      </c>
      <c r="G89">
        <v>0.39579684763572681</v>
      </c>
    </row>
    <row r="90" spans="1:7" x14ac:dyDescent="0.3">
      <c r="A90" t="s">
        <v>449</v>
      </c>
      <c r="B90" t="s">
        <v>448</v>
      </c>
      <c r="C90" t="s">
        <v>447</v>
      </c>
      <c r="D90">
        <v>0.99589109420776367</v>
      </c>
      <c r="E90">
        <v>0.99589109420776367</v>
      </c>
      <c r="F90">
        <v>0.99589109420776367</v>
      </c>
      <c r="G90">
        <v>1.5641025641025641</v>
      </c>
    </row>
    <row r="91" spans="1:7" hidden="1" x14ac:dyDescent="0.3">
      <c r="A91" t="s">
        <v>446</v>
      </c>
      <c r="B91" t="s">
        <v>445</v>
      </c>
      <c r="C91" t="s">
        <v>444</v>
      </c>
      <c r="D91">
        <v>0.99572610855102539</v>
      </c>
      <c r="E91">
        <v>0.99572610855102539</v>
      </c>
      <c r="F91">
        <v>0.99572610855102539</v>
      </c>
      <c r="G91">
        <v>105.5136778115502</v>
      </c>
    </row>
    <row r="92" spans="1:7" hidden="1" x14ac:dyDescent="0.3">
      <c r="D92">
        <f>AVERAGE(D2:D91)</f>
        <v>0.99743474655681186</v>
      </c>
      <c r="E92">
        <f t="shared" ref="E92:F92" si="0">AVERAGE(E2:E91)</f>
        <v>0.99677523109647959</v>
      </c>
      <c r="F92">
        <f t="shared" si="0"/>
        <v>0.99709899822870895</v>
      </c>
    </row>
  </sheetData>
  <autoFilter ref="A1:G92" xr:uid="{59D5F049-6F81-4560-83B9-13E9A11C7C48}">
    <filterColumn colId="6">
      <customFilters and="1">
        <customFilter operator="greaterThanOrEqual" val="0"/>
        <customFilter operator="lessThan" val="5"/>
      </customFilters>
    </filterColumn>
  </autoFilter>
  <phoneticPr fontId="1"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AA031-C3D3-45A0-822A-841063B3BA1A}">
  <sheetPr filterMode="1"/>
  <dimension ref="A1:G92"/>
  <sheetViews>
    <sheetView workbookViewId="0">
      <selection activeCell="G2" sqref="G2:G90"/>
    </sheetView>
  </sheetViews>
  <sheetFormatPr defaultRowHeight="14" x14ac:dyDescent="0.3"/>
  <sheetData>
    <row r="1" spans="1:7" x14ac:dyDescent="0.3">
      <c r="A1" s="1" t="s">
        <v>265</v>
      </c>
      <c r="B1" s="1" t="s">
        <v>264</v>
      </c>
      <c r="C1" s="1" t="s">
        <v>263</v>
      </c>
      <c r="D1" s="1" t="s">
        <v>262</v>
      </c>
      <c r="E1" s="1" t="s">
        <v>261</v>
      </c>
      <c r="F1" s="1" t="s">
        <v>260</v>
      </c>
      <c r="G1" s="1" t="s">
        <v>259</v>
      </c>
    </row>
    <row r="2" spans="1:7" x14ac:dyDescent="0.3">
      <c r="A2" t="s">
        <v>878</v>
      </c>
      <c r="B2" t="s">
        <v>877</v>
      </c>
      <c r="C2" t="s">
        <v>132</v>
      </c>
      <c r="D2">
        <v>0.99832159280776978</v>
      </c>
      <c r="E2">
        <v>0.99832159280776978</v>
      </c>
      <c r="F2">
        <v>0.99832159280776978</v>
      </c>
      <c r="G2">
        <v>3.714285714285714</v>
      </c>
    </row>
    <row r="3" spans="1:7" x14ac:dyDescent="0.3">
      <c r="A3" t="s">
        <v>876</v>
      </c>
      <c r="B3" t="s">
        <v>875</v>
      </c>
      <c r="C3" t="s">
        <v>129</v>
      </c>
      <c r="D3">
        <v>0.9970899224281311</v>
      </c>
      <c r="E3">
        <v>0.9970899224281311</v>
      </c>
      <c r="F3">
        <v>0.9970899224281311</v>
      </c>
      <c r="G3">
        <v>0.31547619047619052</v>
      </c>
    </row>
    <row r="4" spans="1:7" x14ac:dyDescent="0.3">
      <c r="A4" t="s">
        <v>874</v>
      </c>
      <c r="B4" t="s">
        <v>873</v>
      </c>
      <c r="C4" t="s">
        <v>126</v>
      </c>
      <c r="D4">
        <v>0.99930179119110107</v>
      </c>
      <c r="E4">
        <v>0.99930179119110107</v>
      </c>
      <c r="F4">
        <v>0.99930179119110107</v>
      </c>
      <c r="G4">
        <v>0.34482758620689669</v>
      </c>
    </row>
    <row r="5" spans="1:7" x14ac:dyDescent="0.3">
      <c r="A5" t="s">
        <v>872</v>
      </c>
      <c r="B5" t="s">
        <v>871</v>
      </c>
      <c r="C5" t="s">
        <v>123</v>
      </c>
      <c r="D5">
        <v>0.99701261520385742</v>
      </c>
      <c r="E5">
        <v>0.99701261520385742</v>
      </c>
      <c r="F5">
        <v>0.99701261520385742</v>
      </c>
      <c r="G5">
        <v>0.77946768060836502</v>
      </c>
    </row>
    <row r="6" spans="1:7" hidden="1" x14ac:dyDescent="0.3">
      <c r="A6" t="s">
        <v>870</v>
      </c>
      <c r="B6" t="s">
        <v>869</v>
      </c>
      <c r="C6" t="s">
        <v>120</v>
      </c>
      <c r="D6">
        <v>0.98818451166152954</v>
      </c>
      <c r="E6">
        <v>0.99421924352645874</v>
      </c>
      <c r="F6">
        <v>0.99119269847869873</v>
      </c>
      <c r="G6">
        <v>12686.149328859059</v>
      </c>
    </row>
    <row r="7" spans="1:7" x14ac:dyDescent="0.3">
      <c r="A7" t="s">
        <v>868</v>
      </c>
      <c r="B7" t="s">
        <v>867</v>
      </c>
      <c r="C7" t="s">
        <v>117</v>
      </c>
      <c r="D7">
        <v>0.99892956018447876</v>
      </c>
      <c r="E7">
        <v>0.99892956018447876</v>
      </c>
      <c r="F7">
        <v>0.99892956018447876</v>
      </c>
      <c r="G7">
        <v>4.75</v>
      </c>
    </row>
    <row r="8" spans="1:7" x14ac:dyDescent="0.3">
      <c r="A8" t="s">
        <v>866</v>
      </c>
      <c r="B8" t="s">
        <v>341</v>
      </c>
      <c r="C8" t="s">
        <v>114</v>
      </c>
      <c r="D8">
        <v>0.99618005752563477</v>
      </c>
      <c r="E8">
        <v>0.99742096662521362</v>
      </c>
      <c r="F8">
        <v>0.99680006504058838</v>
      </c>
      <c r="G8">
        <v>2.711742082848867</v>
      </c>
    </row>
    <row r="9" spans="1:7" x14ac:dyDescent="0.3">
      <c r="A9" t="s">
        <v>865</v>
      </c>
      <c r="B9" t="s">
        <v>864</v>
      </c>
      <c r="C9" t="s">
        <v>111</v>
      </c>
      <c r="D9">
        <v>0.9987337589263916</v>
      </c>
      <c r="E9">
        <v>0.9987337589263916</v>
      </c>
      <c r="F9">
        <v>0.9987337589263916</v>
      </c>
      <c r="G9">
        <v>1</v>
      </c>
    </row>
    <row r="10" spans="1:7" x14ac:dyDescent="0.3">
      <c r="A10" t="s">
        <v>863</v>
      </c>
      <c r="B10" t="s">
        <v>862</v>
      </c>
      <c r="C10" t="s">
        <v>108</v>
      </c>
      <c r="D10">
        <v>0.99536281824111938</v>
      </c>
      <c r="E10">
        <v>0.99536281824111938</v>
      </c>
      <c r="F10">
        <v>0.99536281824111938</v>
      </c>
      <c r="G10">
        <v>0.96815847395451204</v>
      </c>
    </row>
    <row r="11" spans="1:7" x14ac:dyDescent="0.3">
      <c r="A11" t="s">
        <v>861</v>
      </c>
      <c r="B11" t="s">
        <v>860</v>
      </c>
      <c r="C11" t="s">
        <v>105</v>
      </c>
      <c r="D11">
        <v>0.99580156803131104</v>
      </c>
      <c r="E11">
        <v>0.99580156803131104</v>
      </c>
      <c r="F11">
        <v>0.99580156803131104</v>
      </c>
      <c r="G11">
        <v>0.77043765483071847</v>
      </c>
    </row>
    <row r="12" spans="1:7" x14ac:dyDescent="0.3">
      <c r="A12" t="s">
        <v>859</v>
      </c>
      <c r="B12" t="s">
        <v>858</v>
      </c>
      <c r="C12" t="s">
        <v>102</v>
      </c>
      <c r="D12">
        <v>0.99891126155853271</v>
      </c>
      <c r="E12">
        <v>0.99891126155853271</v>
      </c>
      <c r="F12">
        <v>0.99891126155853271</v>
      </c>
      <c r="G12">
        <v>0.3837209302325581</v>
      </c>
    </row>
    <row r="13" spans="1:7" x14ac:dyDescent="0.3">
      <c r="A13" t="s">
        <v>857</v>
      </c>
      <c r="B13" t="s">
        <v>856</v>
      </c>
      <c r="C13" t="s">
        <v>99</v>
      </c>
      <c r="D13">
        <v>0.99794912338256836</v>
      </c>
      <c r="E13">
        <v>0.99794912338256836</v>
      </c>
      <c r="F13">
        <v>0.99794912338256836</v>
      </c>
      <c r="G13">
        <v>1.3786191536748329</v>
      </c>
    </row>
    <row r="14" spans="1:7" x14ac:dyDescent="0.3">
      <c r="A14" t="s">
        <v>855</v>
      </c>
      <c r="B14" t="s">
        <v>854</v>
      </c>
      <c r="C14" t="s">
        <v>96</v>
      </c>
      <c r="D14">
        <v>0.99631685018539429</v>
      </c>
      <c r="E14">
        <v>0.99631685018539429</v>
      </c>
      <c r="F14">
        <v>0.99631685018539429</v>
      </c>
      <c r="G14">
        <v>0.7031115366203925</v>
      </c>
    </row>
    <row r="15" spans="1:7" x14ac:dyDescent="0.3">
      <c r="A15" t="s">
        <v>853</v>
      </c>
      <c r="B15" t="s">
        <v>852</v>
      </c>
      <c r="C15" t="s">
        <v>93</v>
      </c>
      <c r="D15">
        <v>0.99565529823303223</v>
      </c>
      <c r="E15">
        <v>0.99565529823303223</v>
      </c>
      <c r="F15">
        <v>0.99565529823303223</v>
      </c>
      <c r="G15">
        <v>2.6785714285714288</v>
      </c>
    </row>
    <row r="16" spans="1:7" x14ac:dyDescent="0.3">
      <c r="A16" t="s">
        <v>851</v>
      </c>
      <c r="B16" t="s">
        <v>850</v>
      </c>
      <c r="C16" t="s">
        <v>90</v>
      </c>
      <c r="D16">
        <v>0.9971688985824585</v>
      </c>
      <c r="E16">
        <v>0.9971688985824585</v>
      </c>
      <c r="F16">
        <v>0.9971688985824585</v>
      </c>
      <c r="G16">
        <v>0.66454283511221135</v>
      </c>
    </row>
    <row r="17" spans="1:7" x14ac:dyDescent="0.3">
      <c r="A17" t="s">
        <v>849</v>
      </c>
      <c r="B17" t="s">
        <v>848</v>
      </c>
      <c r="C17" t="s">
        <v>87</v>
      </c>
      <c r="D17">
        <v>0.99634897708892822</v>
      </c>
      <c r="E17">
        <v>0.99634897708892822</v>
      </c>
      <c r="F17">
        <v>0.99634897708892822</v>
      </c>
      <c r="G17">
        <v>1.6226415094339619</v>
      </c>
    </row>
    <row r="18" spans="1:7" x14ac:dyDescent="0.3">
      <c r="A18" t="s">
        <v>847</v>
      </c>
      <c r="B18" t="s">
        <v>846</v>
      </c>
      <c r="C18" t="s">
        <v>84</v>
      </c>
      <c r="D18">
        <v>0.99854236841201782</v>
      </c>
      <c r="E18">
        <v>0.99854236841201782</v>
      </c>
      <c r="F18">
        <v>0.99854236841201782</v>
      </c>
      <c r="G18">
        <v>2.04</v>
      </c>
    </row>
    <row r="19" spans="1:7" x14ac:dyDescent="0.3">
      <c r="A19" t="s">
        <v>845</v>
      </c>
      <c r="B19" t="s">
        <v>844</v>
      </c>
      <c r="C19" t="s">
        <v>81</v>
      </c>
      <c r="D19">
        <v>0.99623054265975952</v>
      </c>
      <c r="E19">
        <v>0.99614596366882324</v>
      </c>
      <c r="F19">
        <v>0.99618822336196899</v>
      </c>
      <c r="G19">
        <v>0.93496453224417153</v>
      </c>
    </row>
    <row r="20" spans="1:7" x14ac:dyDescent="0.3">
      <c r="A20" t="s">
        <v>843</v>
      </c>
      <c r="B20" t="s">
        <v>842</v>
      </c>
      <c r="C20" t="s">
        <v>78</v>
      </c>
      <c r="D20">
        <v>0.99880850315093994</v>
      </c>
      <c r="E20">
        <v>0.99880850315093994</v>
      </c>
      <c r="F20">
        <v>0.99880850315093994</v>
      </c>
      <c r="G20">
        <v>0.75862068965517238</v>
      </c>
    </row>
    <row r="21" spans="1:7" x14ac:dyDescent="0.3">
      <c r="A21" t="s">
        <v>841</v>
      </c>
      <c r="B21" t="s">
        <v>840</v>
      </c>
      <c r="C21" t="s">
        <v>75</v>
      </c>
      <c r="D21">
        <v>0.99860882759094238</v>
      </c>
      <c r="E21">
        <v>0.99860882759094238</v>
      </c>
      <c r="F21">
        <v>0.99860882759094238</v>
      </c>
      <c r="G21">
        <v>0.13438256658595629</v>
      </c>
    </row>
    <row r="22" spans="1:7" x14ac:dyDescent="0.3">
      <c r="A22" t="s">
        <v>839</v>
      </c>
      <c r="B22" t="s">
        <v>838</v>
      </c>
      <c r="C22" t="s">
        <v>72</v>
      </c>
      <c r="D22">
        <v>0.99622249603271484</v>
      </c>
      <c r="E22">
        <v>0.99648755788803101</v>
      </c>
      <c r="F22">
        <v>0.99635499715805054</v>
      </c>
      <c r="G22">
        <v>0.96058705172209735</v>
      </c>
    </row>
    <row r="23" spans="1:7" x14ac:dyDescent="0.3">
      <c r="A23" t="s">
        <v>837</v>
      </c>
      <c r="B23" t="s">
        <v>70</v>
      </c>
      <c r="C23" t="s">
        <v>69</v>
      </c>
      <c r="D23">
        <v>0.99999994039535522</v>
      </c>
      <c r="E23">
        <v>0.99999994039535522</v>
      </c>
      <c r="F23">
        <v>0.99999994039535522</v>
      </c>
      <c r="G23">
        <v>0</v>
      </c>
    </row>
    <row r="24" spans="1:7" x14ac:dyDescent="0.3">
      <c r="A24" t="s">
        <v>836</v>
      </c>
      <c r="B24" t="s">
        <v>310</v>
      </c>
      <c r="C24" t="s">
        <v>66</v>
      </c>
      <c r="D24">
        <v>0.99947440624237061</v>
      </c>
      <c r="E24">
        <v>0.99947440624237061</v>
      </c>
      <c r="F24">
        <v>0.99947440624237061</v>
      </c>
      <c r="G24">
        <v>1</v>
      </c>
    </row>
    <row r="25" spans="1:7" x14ac:dyDescent="0.3">
      <c r="A25" t="s">
        <v>835</v>
      </c>
      <c r="B25" t="s">
        <v>834</v>
      </c>
      <c r="C25" t="s">
        <v>63</v>
      </c>
      <c r="D25">
        <v>0.99844372272491455</v>
      </c>
      <c r="E25">
        <v>0.99844372272491455</v>
      </c>
      <c r="F25">
        <v>0.99844372272491455</v>
      </c>
      <c r="G25">
        <v>0.27531645569620261</v>
      </c>
    </row>
    <row r="26" spans="1:7" x14ac:dyDescent="0.3">
      <c r="A26" t="s">
        <v>833</v>
      </c>
      <c r="B26" t="s">
        <v>832</v>
      </c>
      <c r="C26" t="s">
        <v>60</v>
      </c>
      <c r="D26">
        <v>0.99829602241516113</v>
      </c>
      <c r="E26">
        <v>0.99829602241516113</v>
      </c>
      <c r="F26">
        <v>0.99829602241516113</v>
      </c>
      <c r="G26">
        <v>0.40234375</v>
      </c>
    </row>
    <row r="27" spans="1:7" x14ac:dyDescent="0.3">
      <c r="A27" t="s">
        <v>831</v>
      </c>
      <c r="B27" t="s">
        <v>760</v>
      </c>
      <c r="C27" t="s">
        <v>57</v>
      </c>
      <c r="D27">
        <v>0.9960368275642395</v>
      </c>
      <c r="E27">
        <v>0.9960368275642395</v>
      </c>
      <c r="F27">
        <v>0.9960368275642395</v>
      </c>
      <c r="G27">
        <v>3.0357142857142851</v>
      </c>
    </row>
    <row r="28" spans="1:7" x14ac:dyDescent="0.3">
      <c r="A28" t="s">
        <v>830</v>
      </c>
      <c r="B28" t="s">
        <v>829</v>
      </c>
      <c r="C28" t="s">
        <v>54</v>
      </c>
      <c r="D28">
        <v>0.99741435050964355</v>
      </c>
      <c r="E28">
        <v>0.99741435050964355</v>
      </c>
      <c r="F28">
        <v>0.99741435050964355</v>
      </c>
      <c r="G28">
        <v>0.32642487046632129</v>
      </c>
    </row>
    <row r="29" spans="1:7" x14ac:dyDescent="0.3">
      <c r="A29" t="s">
        <v>828</v>
      </c>
      <c r="B29" t="s">
        <v>827</v>
      </c>
      <c r="C29" t="s">
        <v>51</v>
      </c>
      <c r="D29">
        <v>0.99845230579376221</v>
      </c>
      <c r="E29">
        <v>0.99845230579376221</v>
      </c>
      <c r="F29">
        <v>0.99845230579376221</v>
      </c>
      <c r="G29">
        <v>2</v>
      </c>
    </row>
    <row r="30" spans="1:7" x14ac:dyDescent="0.3">
      <c r="A30" t="s">
        <v>826</v>
      </c>
      <c r="B30" t="s">
        <v>825</v>
      </c>
      <c r="C30" t="s">
        <v>48</v>
      </c>
      <c r="D30">
        <v>0.9974815845489502</v>
      </c>
      <c r="E30">
        <v>0.9974815845489502</v>
      </c>
      <c r="F30">
        <v>0.9974815845489502</v>
      </c>
      <c r="G30">
        <v>0.69435215946843876</v>
      </c>
    </row>
    <row r="31" spans="1:7" x14ac:dyDescent="0.3">
      <c r="A31" t="s">
        <v>824</v>
      </c>
      <c r="B31" t="s">
        <v>823</v>
      </c>
      <c r="C31" t="s">
        <v>45</v>
      </c>
      <c r="D31">
        <v>0.99601221084594727</v>
      </c>
      <c r="E31">
        <v>0.99601221084594727</v>
      </c>
      <c r="F31">
        <v>0.99601221084594727</v>
      </c>
      <c r="G31">
        <v>0.42148760330578511</v>
      </c>
    </row>
    <row r="32" spans="1:7" x14ac:dyDescent="0.3">
      <c r="A32" t="s">
        <v>822</v>
      </c>
      <c r="B32" t="s">
        <v>821</v>
      </c>
      <c r="C32" t="s">
        <v>42</v>
      </c>
      <c r="D32">
        <v>0.99413621425628662</v>
      </c>
      <c r="E32">
        <v>0.989510178565979</v>
      </c>
      <c r="F32">
        <v>0.99181783199310303</v>
      </c>
      <c r="G32">
        <v>0.9999969511273713</v>
      </c>
    </row>
    <row r="33" spans="1:7" x14ac:dyDescent="0.3">
      <c r="A33" t="s">
        <v>820</v>
      </c>
      <c r="B33" t="s">
        <v>819</v>
      </c>
      <c r="C33" t="s">
        <v>39</v>
      </c>
      <c r="D33">
        <v>0.99535214900970459</v>
      </c>
      <c r="E33">
        <v>0.99535214900970459</v>
      </c>
      <c r="F33">
        <v>0.99535214900970459</v>
      </c>
      <c r="G33">
        <v>0.625</v>
      </c>
    </row>
    <row r="34" spans="1:7" x14ac:dyDescent="0.3">
      <c r="A34" t="s">
        <v>818</v>
      </c>
      <c r="B34" t="s">
        <v>817</v>
      </c>
      <c r="C34" t="s">
        <v>36</v>
      </c>
      <c r="D34">
        <v>0.9991600513458252</v>
      </c>
      <c r="E34">
        <v>0.9991600513458252</v>
      </c>
      <c r="F34">
        <v>0.9991600513458252</v>
      </c>
      <c r="G34">
        <v>9.881422924901187E-2</v>
      </c>
    </row>
    <row r="35" spans="1:7" hidden="1" x14ac:dyDescent="0.3">
      <c r="A35" t="s">
        <v>816</v>
      </c>
      <c r="B35" t="s">
        <v>815</v>
      </c>
      <c r="C35" t="s">
        <v>33</v>
      </c>
      <c r="D35">
        <v>0.99802744388580322</v>
      </c>
      <c r="E35">
        <v>0.99802744388580322</v>
      </c>
      <c r="F35">
        <v>0.99802744388580322</v>
      </c>
      <c r="G35">
        <v>46.999999999999993</v>
      </c>
    </row>
    <row r="36" spans="1:7" x14ac:dyDescent="0.3">
      <c r="A36" t="s">
        <v>814</v>
      </c>
      <c r="B36" t="s">
        <v>813</v>
      </c>
      <c r="C36" t="s">
        <v>30</v>
      </c>
      <c r="D36">
        <v>0.99880290031433105</v>
      </c>
      <c r="E36">
        <v>0.99880290031433105</v>
      </c>
      <c r="F36">
        <v>0.99880290031433105</v>
      </c>
      <c r="G36">
        <v>0.80952380952380965</v>
      </c>
    </row>
    <row r="37" spans="1:7" x14ac:dyDescent="0.3">
      <c r="A37" t="s">
        <v>812</v>
      </c>
      <c r="B37" t="s">
        <v>811</v>
      </c>
      <c r="C37" t="s">
        <v>27</v>
      </c>
      <c r="D37">
        <v>0.99833279848098755</v>
      </c>
      <c r="E37">
        <v>0.99833279848098755</v>
      </c>
      <c r="F37">
        <v>0.99833279848098755</v>
      </c>
      <c r="G37">
        <v>2.0733752620545078</v>
      </c>
    </row>
    <row r="38" spans="1:7" x14ac:dyDescent="0.3">
      <c r="A38" t="s">
        <v>810</v>
      </c>
      <c r="B38" t="s">
        <v>809</v>
      </c>
      <c r="C38" t="s">
        <v>24</v>
      </c>
      <c r="D38">
        <v>0.99844837188720703</v>
      </c>
      <c r="E38">
        <v>0.99844837188720703</v>
      </c>
      <c r="F38">
        <v>0.99844837188720703</v>
      </c>
      <c r="G38">
        <v>0.19243986254295531</v>
      </c>
    </row>
    <row r="39" spans="1:7" x14ac:dyDescent="0.3">
      <c r="A39" t="s">
        <v>808</v>
      </c>
      <c r="B39" t="s">
        <v>807</v>
      </c>
      <c r="C39" t="s">
        <v>21</v>
      </c>
      <c r="D39">
        <v>0.99730062484741211</v>
      </c>
      <c r="E39">
        <v>0.99730062484741211</v>
      </c>
      <c r="F39">
        <v>0.99730062484741211</v>
      </c>
      <c r="G39">
        <v>2.725352112676056</v>
      </c>
    </row>
    <row r="40" spans="1:7" x14ac:dyDescent="0.3">
      <c r="A40" t="s">
        <v>806</v>
      </c>
      <c r="B40" t="s">
        <v>139</v>
      </c>
      <c r="C40" t="s">
        <v>18</v>
      </c>
      <c r="D40">
        <v>0.99942684173583984</v>
      </c>
      <c r="E40">
        <v>0.99942684173583984</v>
      </c>
      <c r="F40">
        <v>0.99942684173583984</v>
      </c>
      <c r="G40">
        <v>8.8235294117647134E-2</v>
      </c>
    </row>
    <row r="41" spans="1:7" x14ac:dyDescent="0.3">
      <c r="A41" t="s">
        <v>805</v>
      </c>
      <c r="B41" t="s">
        <v>804</v>
      </c>
      <c r="C41" t="s">
        <v>15</v>
      </c>
      <c r="D41">
        <v>0.99557149410247803</v>
      </c>
      <c r="E41">
        <v>0.99557149410247803</v>
      </c>
      <c r="F41">
        <v>0.99557149410247803</v>
      </c>
      <c r="G41">
        <v>0.82804766269477537</v>
      </c>
    </row>
    <row r="42" spans="1:7" hidden="1" x14ac:dyDescent="0.3">
      <c r="A42" t="s">
        <v>803</v>
      </c>
      <c r="B42" t="s">
        <v>802</v>
      </c>
      <c r="C42" t="s">
        <v>12</v>
      </c>
      <c r="D42">
        <v>0.99584096670150757</v>
      </c>
      <c r="E42">
        <v>0.99584096670150757</v>
      </c>
      <c r="F42">
        <v>0.99584096670150757</v>
      </c>
      <c r="G42">
        <v>26.357142857142851</v>
      </c>
    </row>
    <row r="43" spans="1:7" x14ac:dyDescent="0.3">
      <c r="A43" t="s">
        <v>801</v>
      </c>
      <c r="B43" t="s">
        <v>800</v>
      </c>
      <c r="C43" t="s">
        <v>9</v>
      </c>
      <c r="D43">
        <v>0.99939650297164917</v>
      </c>
      <c r="E43">
        <v>0.99939650297164917</v>
      </c>
      <c r="F43">
        <v>0.99939650297164917</v>
      </c>
      <c r="G43">
        <v>2.447552447552458E-2</v>
      </c>
    </row>
    <row r="44" spans="1:7" x14ac:dyDescent="0.3">
      <c r="A44" t="s">
        <v>799</v>
      </c>
      <c r="B44" t="s">
        <v>798</v>
      </c>
      <c r="C44" t="s">
        <v>6</v>
      </c>
      <c r="D44">
        <v>0.99885141849517822</v>
      </c>
      <c r="E44">
        <v>0.99885141849517822</v>
      </c>
      <c r="F44">
        <v>0.99885141849517822</v>
      </c>
      <c r="G44">
        <v>0.1646234676007006</v>
      </c>
    </row>
    <row r="45" spans="1:7" x14ac:dyDescent="0.3">
      <c r="A45" t="s">
        <v>797</v>
      </c>
      <c r="B45" t="s">
        <v>448</v>
      </c>
      <c r="C45" t="s">
        <v>3</v>
      </c>
      <c r="D45">
        <v>0.99589109420776367</v>
      </c>
      <c r="E45">
        <v>0.99589109420776367</v>
      </c>
      <c r="F45">
        <v>0.99589109420776367</v>
      </c>
      <c r="G45">
        <v>1.5641025641025641</v>
      </c>
    </row>
    <row r="46" spans="1:7" hidden="1" x14ac:dyDescent="0.3">
      <c r="A46" t="s">
        <v>796</v>
      </c>
      <c r="B46" t="s">
        <v>795</v>
      </c>
      <c r="C46" t="s">
        <v>0</v>
      </c>
      <c r="D46">
        <v>0.99617230892181396</v>
      </c>
      <c r="E46">
        <v>0.99617230892181396</v>
      </c>
      <c r="F46">
        <v>0.99617230892181396</v>
      </c>
      <c r="G46">
        <v>12.583586626139819</v>
      </c>
    </row>
    <row r="47" spans="1:7" x14ac:dyDescent="0.3">
      <c r="A47" t="s">
        <v>794</v>
      </c>
      <c r="B47" t="s">
        <v>793</v>
      </c>
      <c r="C47" t="s">
        <v>258</v>
      </c>
      <c r="D47">
        <v>0.99820232391357422</v>
      </c>
      <c r="E47">
        <v>0.99820232391357422</v>
      </c>
      <c r="F47">
        <v>0.99820232391357422</v>
      </c>
      <c r="G47">
        <v>1</v>
      </c>
    </row>
    <row r="48" spans="1:7" x14ac:dyDescent="0.3">
      <c r="A48" t="s">
        <v>792</v>
      </c>
      <c r="B48" t="s">
        <v>791</v>
      </c>
      <c r="C48" t="s">
        <v>255</v>
      </c>
      <c r="D48">
        <v>0.99906551837921143</v>
      </c>
      <c r="E48">
        <v>0.99906551837921143</v>
      </c>
      <c r="F48">
        <v>0.99906551837921143</v>
      </c>
      <c r="G48">
        <v>0.32513661202185778</v>
      </c>
    </row>
    <row r="49" spans="1:7" x14ac:dyDescent="0.3">
      <c r="A49" t="s">
        <v>790</v>
      </c>
      <c r="B49" t="s">
        <v>789</v>
      </c>
      <c r="C49" t="s">
        <v>253</v>
      </c>
      <c r="D49">
        <v>0.99797391891479492</v>
      </c>
      <c r="E49">
        <v>0.99797391891479492</v>
      </c>
      <c r="F49">
        <v>0.99797391891479492</v>
      </c>
      <c r="G49">
        <v>0.76760563380281688</v>
      </c>
    </row>
    <row r="50" spans="1:7" x14ac:dyDescent="0.3">
      <c r="A50" t="s">
        <v>788</v>
      </c>
      <c r="B50" t="s">
        <v>787</v>
      </c>
      <c r="C50" t="s">
        <v>250</v>
      </c>
      <c r="D50">
        <v>0.998607337474823</v>
      </c>
      <c r="E50">
        <v>0.998607337474823</v>
      </c>
      <c r="F50">
        <v>0.998607337474823</v>
      </c>
      <c r="G50">
        <v>1.382352941176471</v>
      </c>
    </row>
    <row r="51" spans="1:7" x14ac:dyDescent="0.3">
      <c r="A51" t="s">
        <v>786</v>
      </c>
      <c r="B51" t="s">
        <v>785</v>
      </c>
      <c r="C51" t="s">
        <v>247</v>
      </c>
      <c r="D51">
        <v>0.99764299392700195</v>
      </c>
      <c r="E51">
        <v>0.99764299392700195</v>
      </c>
      <c r="F51">
        <v>0.99764299392700195</v>
      </c>
      <c r="G51">
        <v>0.60071942446043158</v>
      </c>
    </row>
    <row r="52" spans="1:7" x14ac:dyDescent="0.3">
      <c r="A52" t="s">
        <v>784</v>
      </c>
      <c r="B52" t="s">
        <v>783</v>
      </c>
      <c r="C52" t="s">
        <v>246</v>
      </c>
      <c r="D52">
        <v>0.99673348665237427</v>
      </c>
      <c r="E52">
        <v>0.99673348665237427</v>
      </c>
      <c r="F52">
        <v>0.99673348665237427</v>
      </c>
      <c r="G52">
        <v>0.86601912953214211</v>
      </c>
    </row>
    <row r="53" spans="1:7" x14ac:dyDescent="0.3">
      <c r="A53" t="s">
        <v>782</v>
      </c>
      <c r="B53" t="s">
        <v>430</v>
      </c>
      <c r="C53" t="s">
        <v>244</v>
      </c>
      <c r="D53">
        <v>0.9953961968421936</v>
      </c>
      <c r="E53">
        <v>0.9953961968421936</v>
      </c>
      <c r="F53">
        <v>0.9953961968421936</v>
      </c>
      <c r="G53">
        <v>0.97883597883597884</v>
      </c>
    </row>
    <row r="54" spans="1:7" x14ac:dyDescent="0.3">
      <c r="A54" t="s">
        <v>781</v>
      </c>
      <c r="B54" t="s">
        <v>780</v>
      </c>
      <c r="C54" t="s">
        <v>241</v>
      </c>
      <c r="D54">
        <v>0.99674594402313232</v>
      </c>
      <c r="E54">
        <v>0.99674594402313232</v>
      </c>
      <c r="F54">
        <v>0.99674594402313232</v>
      </c>
      <c r="G54">
        <v>0.67045454545454541</v>
      </c>
    </row>
    <row r="55" spans="1:7" x14ac:dyDescent="0.3">
      <c r="A55" t="s">
        <v>779</v>
      </c>
      <c r="B55" t="s">
        <v>778</v>
      </c>
      <c r="C55" t="s">
        <v>239</v>
      </c>
      <c r="D55">
        <v>0.99912697076797485</v>
      </c>
      <c r="E55">
        <v>0.99912697076797485</v>
      </c>
      <c r="F55">
        <v>0.99912697076797485</v>
      </c>
      <c r="G55">
        <v>0.51351351351351349</v>
      </c>
    </row>
    <row r="56" spans="1:7" x14ac:dyDescent="0.3">
      <c r="A56" t="s">
        <v>777</v>
      </c>
      <c r="B56" t="s">
        <v>776</v>
      </c>
      <c r="C56" t="s">
        <v>236</v>
      </c>
      <c r="D56">
        <v>0.98841935396194458</v>
      </c>
      <c r="E56">
        <v>0.94554507732391357</v>
      </c>
      <c r="F56">
        <v>0.9665069580078125</v>
      </c>
      <c r="G56">
        <v>0.95437499999999997</v>
      </c>
    </row>
    <row r="57" spans="1:7" x14ac:dyDescent="0.3">
      <c r="A57" t="s">
        <v>775</v>
      </c>
      <c r="B57" t="s">
        <v>774</v>
      </c>
      <c r="C57" t="s">
        <v>233</v>
      </c>
      <c r="D57">
        <v>0.99883687496185303</v>
      </c>
      <c r="E57">
        <v>0.99883687496185303</v>
      </c>
      <c r="F57">
        <v>0.99883687496185303</v>
      </c>
      <c r="G57">
        <v>0.60465116279069775</v>
      </c>
    </row>
    <row r="58" spans="1:7" x14ac:dyDescent="0.3">
      <c r="A58" t="s">
        <v>773</v>
      </c>
      <c r="B58" t="s">
        <v>772</v>
      </c>
      <c r="C58" t="s">
        <v>232</v>
      </c>
      <c r="D58">
        <v>0.99849283695220947</v>
      </c>
      <c r="E58">
        <v>0.99849283695220947</v>
      </c>
      <c r="F58">
        <v>0.99849283695220947</v>
      </c>
      <c r="G58">
        <v>4.666666666666667</v>
      </c>
    </row>
    <row r="59" spans="1:7" x14ac:dyDescent="0.3">
      <c r="A59" t="s">
        <v>771</v>
      </c>
      <c r="B59" t="s">
        <v>770</v>
      </c>
      <c r="C59" t="s">
        <v>229</v>
      </c>
      <c r="D59">
        <v>0.99875068664550781</v>
      </c>
      <c r="E59">
        <v>0.99875068664550781</v>
      </c>
      <c r="F59">
        <v>0.99875068664550781</v>
      </c>
      <c r="G59">
        <v>0.62689225289403372</v>
      </c>
    </row>
    <row r="60" spans="1:7" x14ac:dyDescent="0.3">
      <c r="A60" t="s">
        <v>769</v>
      </c>
      <c r="B60" t="s">
        <v>666</v>
      </c>
      <c r="C60" t="s">
        <v>227</v>
      </c>
      <c r="D60">
        <v>1</v>
      </c>
      <c r="E60">
        <v>1</v>
      </c>
      <c r="F60">
        <v>1</v>
      </c>
      <c r="G60">
        <v>0</v>
      </c>
    </row>
    <row r="61" spans="1:7" x14ac:dyDescent="0.3">
      <c r="A61" t="s">
        <v>768</v>
      </c>
      <c r="B61" t="s">
        <v>767</v>
      </c>
      <c r="C61" t="s">
        <v>224</v>
      </c>
      <c r="D61">
        <v>0.99847507476806641</v>
      </c>
      <c r="E61">
        <v>0.99847507476806641</v>
      </c>
      <c r="F61">
        <v>0.99847507476806641</v>
      </c>
      <c r="G61">
        <v>0.68217054263565879</v>
      </c>
    </row>
    <row r="62" spans="1:7" x14ac:dyDescent="0.3">
      <c r="A62" t="s">
        <v>766</v>
      </c>
      <c r="B62" t="s">
        <v>222</v>
      </c>
      <c r="C62" t="s">
        <v>221</v>
      </c>
      <c r="D62">
        <v>0.99930942058563232</v>
      </c>
      <c r="E62">
        <v>0.99930942058563232</v>
      </c>
      <c r="F62">
        <v>0.99930942058563232</v>
      </c>
      <c r="G62">
        <v>0.7142857142857143</v>
      </c>
    </row>
    <row r="63" spans="1:7" x14ac:dyDescent="0.3">
      <c r="A63" t="s">
        <v>765</v>
      </c>
      <c r="B63" t="s">
        <v>764</v>
      </c>
      <c r="C63" t="s">
        <v>218</v>
      </c>
      <c r="D63">
        <v>0.99338364601135254</v>
      </c>
      <c r="E63">
        <v>0.99613428115844727</v>
      </c>
      <c r="F63">
        <v>0.99475705623626709</v>
      </c>
      <c r="G63">
        <v>0.45183398422543841</v>
      </c>
    </row>
    <row r="64" spans="1:7" x14ac:dyDescent="0.3">
      <c r="A64" t="s">
        <v>763</v>
      </c>
      <c r="B64" t="s">
        <v>762</v>
      </c>
      <c r="C64" t="s">
        <v>215</v>
      </c>
      <c r="D64">
        <v>0.99685925245285034</v>
      </c>
      <c r="E64">
        <v>0.99685925245285034</v>
      </c>
      <c r="F64">
        <v>0.99685925245285034</v>
      </c>
      <c r="G64">
        <v>0.64898466639038532</v>
      </c>
    </row>
    <row r="65" spans="1:7" x14ac:dyDescent="0.3">
      <c r="A65" t="s">
        <v>761</v>
      </c>
      <c r="B65" t="s">
        <v>760</v>
      </c>
      <c r="C65" t="s">
        <v>212</v>
      </c>
      <c r="D65">
        <v>0.9960821270942688</v>
      </c>
      <c r="E65">
        <v>0.9960821270942688</v>
      </c>
      <c r="F65">
        <v>0.9960821270942688</v>
      </c>
      <c r="G65">
        <v>3.3461538461538458</v>
      </c>
    </row>
    <row r="66" spans="1:7" x14ac:dyDescent="0.3">
      <c r="A66" t="s">
        <v>759</v>
      </c>
      <c r="B66" t="s">
        <v>758</v>
      </c>
      <c r="C66" t="s">
        <v>209</v>
      </c>
      <c r="D66">
        <v>0.99581849575042725</v>
      </c>
      <c r="E66">
        <v>0.99581849575042725</v>
      </c>
      <c r="F66">
        <v>0.99581849575042725</v>
      </c>
      <c r="G66">
        <v>0.48568588469184881</v>
      </c>
    </row>
    <row r="67" spans="1:7" x14ac:dyDescent="0.3">
      <c r="A67" t="s">
        <v>757</v>
      </c>
      <c r="B67" t="s">
        <v>756</v>
      </c>
      <c r="C67" t="s">
        <v>206</v>
      </c>
      <c r="D67">
        <v>0.9969559907913208</v>
      </c>
      <c r="E67">
        <v>0.9969559907913208</v>
      </c>
      <c r="F67">
        <v>0.9969559907913208</v>
      </c>
      <c r="G67">
        <v>2.4950738916256161</v>
      </c>
    </row>
    <row r="68" spans="1:7" x14ac:dyDescent="0.3">
      <c r="A68" t="s">
        <v>755</v>
      </c>
      <c r="B68" t="s">
        <v>754</v>
      </c>
      <c r="C68" t="s">
        <v>203</v>
      </c>
      <c r="D68">
        <v>0.99859052896499634</v>
      </c>
      <c r="E68">
        <v>0.99859052896499634</v>
      </c>
      <c r="F68">
        <v>0.99859052896499634</v>
      </c>
      <c r="G68">
        <v>0.26479750778816202</v>
      </c>
    </row>
    <row r="69" spans="1:7" x14ac:dyDescent="0.3">
      <c r="A69" t="s">
        <v>753</v>
      </c>
      <c r="B69" t="s">
        <v>752</v>
      </c>
      <c r="C69" t="s">
        <v>200</v>
      </c>
      <c r="D69">
        <v>0.99860382080078125</v>
      </c>
      <c r="E69">
        <v>0.99860382080078125</v>
      </c>
      <c r="F69">
        <v>0.99860382080078125</v>
      </c>
      <c r="G69">
        <v>0.83720930232558133</v>
      </c>
    </row>
    <row r="70" spans="1:7" x14ac:dyDescent="0.3">
      <c r="A70" t="s">
        <v>751</v>
      </c>
      <c r="B70" t="s">
        <v>750</v>
      </c>
      <c r="C70" t="s">
        <v>197</v>
      </c>
      <c r="D70">
        <v>0.99383461475372314</v>
      </c>
      <c r="E70">
        <v>0.98876309394836426</v>
      </c>
      <c r="F70">
        <v>0.99129235744476318</v>
      </c>
      <c r="G70">
        <v>0.99662547088988807</v>
      </c>
    </row>
    <row r="71" spans="1:7" x14ac:dyDescent="0.3">
      <c r="A71" t="s">
        <v>749</v>
      </c>
      <c r="B71" t="s">
        <v>748</v>
      </c>
      <c r="C71" t="s">
        <v>194</v>
      </c>
      <c r="D71">
        <v>0.99810552597045898</v>
      </c>
      <c r="E71">
        <v>0.99810552597045898</v>
      </c>
      <c r="F71">
        <v>0.99810552597045898</v>
      </c>
      <c r="G71">
        <v>0.80232558139534882</v>
      </c>
    </row>
    <row r="72" spans="1:7" x14ac:dyDescent="0.3">
      <c r="A72" t="s">
        <v>747</v>
      </c>
      <c r="B72" t="s">
        <v>746</v>
      </c>
      <c r="C72" t="s">
        <v>191</v>
      </c>
      <c r="D72">
        <v>0.9978715181350708</v>
      </c>
      <c r="E72">
        <v>0.9978715181350708</v>
      </c>
      <c r="F72">
        <v>0.9978715181350708</v>
      </c>
      <c r="G72">
        <v>0.16279069767441859</v>
      </c>
    </row>
    <row r="73" spans="1:7" x14ac:dyDescent="0.3">
      <c r="A73" t="s">
        <v>745</v>
      </c>
      <c r="B73" t="s">
        <v>744</v>
      </c>
      <c r="C73" t="s">
        <v>188</v>
      </c>
      <c r="D73">
        <v>0.9976317286491394</v>
      </c>
      <c r="E73">
        <v>0.9976317286491394</v>
      </c>
      <c r="F73">
        <v>0.9976317286491394</v>
      </c>
      <c r="G73">
        <v>0.91056910569105698</v>
      </c>
    </row>
    <row r="74" spans="1:7" x14ac:dyDescent="0.3">
      <c r="A74" t="s">
        <v>743</v>
      </c>
      <c r="B74" t="s">
        <v>742</v>
      </c>
      <c r="C74" t="s">
        <v>185</v>
      </c>
      <c r="D74">
        <v>0.9954533576965332</v>
      </c>
      <c r="E74">
        <v>0.99557626247406006</v>
      </c>
      <c r="F74">
        <v>0.99551475048065186</v>
      </c>
      <c r="G74">
        <v>0.95634095634095639</v>
      </c>
    </row>
    <row r="75" spans="1:7" x14ac:dyDescent="0.3">
      <c r="A75" t="s">
        <v>741</v>
      </c>
      <c r="B75" t="s">
        <v>740</v>
      </c>
      <c r="C75" t="s">
        <v>182</v>
      </c>
      <c r="D75">
        <v>0.99581348896026611</v>
      </c>
      <c r="E75">
        <v>0.99581348896026611</v>
      </c>
      <c r="F75">
        <v>0.99581348896026611</v>
      </c>
      <c r="G75">
        <v>0.80547112462006076</v>
      </c>
    </row>
    <row r="76" spans="1:7" x14ac:dyDescent="0.3">
      <c r="A76" t="s">
        <v>739</v>
      </c>
      <c r="B76" t="s">
        <v>738</v>
      </c>
      <c r="C76" t="s">
        <v>179</v>
      </c>
      <c r="D76">
        <v>0.99796456098556519</v>
      </c>
      <c r="E76">
        <v>0.99796456098556519</v>
      </c>
      <c r="F76">
        <v>0.99796456098556519</v>
      </c>
      <c r="G76">
        <v>0.18883248730964469</v>
      </c>
    </row>
    <row r="77" spans="1:7" x14ac:dyDescent="0.3">
      <c r="A77" t="s">
        <v>737</v>
      </c>
      <c r="B77" t="s">
        <v>736</v>
      </c>
      <c r="C77" t="s">
        <v>176</v>
      </c>
      <c r="D77">
        <v>0.99641168117523193</v>
      </c>
      <c r="E77">
        <v>0.99641168117523193</v>
      </c>
      <c r="F77">
        <v>0.99641168117523193</v>
      </c>
      <c r="G77">
        <v>0.65341264871634319</v>
      </c>
    </row>
    <row r="78" spans="1:7" x14ac:dyDescent="0.3">
      <c r="A78" t="s">
        <v>735</v>
      </c>
      <c r="B78" t="s">
        <v>734</v>
      </c>
      <c r="C78" t="s">
        <v>173</v>
      </c>
      <c r="D78">
        <v>0.99919062852859497</v>
      </c>
      <c r="E78">
        <v>0.99919062852859497</v>
      </c>
      <c r="F78">
        <v>0.99919062852859497</v>
      </c>
      <c r="G78">
        <v>0.1388888888888889</v>
      </c>
    </row>
    <row r="79" spans="1:7" x14ac:dyDescent="0.3">
      <c r="A79" t="s">
        <v>733</v>
      </c>
      <c r="B79" t="s">
        <v>732</v>
      </c>
      <c r="C79" t="s">
        <v>170</v>
      </c>
      <c r="D79">
        <v>0.99786478281021118</v>
      </c>
      <c r="E79">
        <v>0.99786478281021118</v>
      </c>
      <c r="F79">
        <v>0.99786478281021118</v>
      </c>
      <c r="G79">
        <v>0.54791868344627304</v>
      </c>
    </row>
    <row r="80" spans="1:7" x14ac:dyDescent="0.3">
      <c r="A80" t="s">
        <v>731</v>
      </c>
      <c r="B80" t="s">
        <v>730</v>
      </c>
      <c r="C80" t="s">
        <v>167</v>
      </c>
      <c r="D80">
        <v>0.99999994039535522</v>
      </c>
      <c r="E80">
        <v>0.99999994039535522</v>
      </c>
      <c r="F80">
        <v>0.99999994039535522</v>
      </c>
      <c r="G80">
        <v>0</v>
      </c>
    </row>
    <row r="81" spans="1:7" x14ac:dyDescent="0.3">
      <c r="A81" t="s">
        <v>729</v>
      </c>
      <c r="B81" t="s">
        <v>728</v>
      </c>
      <c r="C81" t="s">
        <v>164</v>
      </c>
      <c r="D81">
        <v>0.99813312292098999</v>
      </c>
      <c r="E81">
        <v>0.99813312292098999</v>
      </c>
      <c r="F81">
        <v>0.99813312292098999</v>
      </c>
      <c r="G81">
        <v>0.98765432098765427</v>
      </c>
    </row>
    <row r="82" spans="1:7" x14ac:dyDescent="0.3">
      <c r="A82" t="s">
        <v>727</v>
      </c>
      <c r="B82" t="s">
        <v>726</v>
      </c>
      <c r="C82" t="s">
        <v>162</v>
      </c>
      <c r="D82">
        <v>0.99941384792327881</v>
      </c>
      <c r="E82">
        <v>0.99941384792327881</v>
      </c>
      <c r="F82">
        <v>0.99941384792327881</v>
      </c>
      <c r="G82">
        <v>5.7692307692307737E-2</v>
      </c>
    </row>
    <row r="83" spans="1:7" x14ac:dyDescent="0.3">
      <c r="A83" t="s">
        <v>725</v>
      </c>
      <c r="B83" t="s">
        <v>724</v>
      </c>
      <c r="C83" t="s">
        <v>159</v>
      </c>
      <c r="D83">
        <v>0.99405211210250854</v>
      </c>
      <c r="E83">
        <v>0.99405211210250854</v>
      </c>
      <c r="F83">
        <v>0.99405211210250854</v>
      </c>
      <c r="G83">
        <v>0.83471074380165289</v>
      </c>
    </row>
    <row r="84" spans="1:7" x14ac:dyDescent="0.3">
      <c r="A84" t="s">
        <v>723</v>
      </c>
      <c r="B84" t="s">
        <v>722</v>
      </c>
      <c r="C84" t="s">
        <v>156</v>
      </c>
      <c r="D84">
        <v>0.99766433238983154</v>
      </c>
      <c r="E84">
        <v>0.99766433238983154</v>
      </c>
      <c r="F84">
        <v>0.99766433238983154</v>
      </c>
      <c r="G84">
        <v>0.72612801678908712</v>
      </c>
    </row>
    <row r="85" spans="1:7" x14ac:dyDescent="0.3">
      <c r="A85" t="s">
        <v>721</v>
      </c>
      <c r="B85" t="s">
        <v>720</v>
      </c>
      <c r="C85" t="s">
        <v>153</v>
      </c>
      <c r="D85">
        <v>0.99603486061096191</v>
      </c>
      <c r="E85">
        <v>0.99603486061096191</v>
      </c>
      <c r="F85">
        <v>0.99603486061096191</v>
      </c>
      <c r="G85">
        <v>2.7080645161290322</v>
      </c>
    </row>
    <row r="86" spans="1:7" x14ac:dyDescent="0.3">
      <c r="A86" t="s">
        <v>719</v>
      </c>
      <c r="B86" t="s">
        <v>718</v>
      </c>
      <c r="C86" t="s">
        <v>150</v>
      </c>
      <c r="D86">
        <v>0.9984515905380249</v>
      </c>
      <c r="E86">
        <v>0.9984515905380249</v>
      </c>
      <c r="F86">
        <v>0.9984515905380249</v>
      </c>
      <c r="G86">
        <v>4.3333333333333339</v>
      </c>
    </row>
    <row r="87" spans="1:7" x14ac:dyDescent="0.3">
      <c r="A87" t="s">
        <v>717</v>
      </c>
      <c r="B87" t="s">
        <v>716</v>
      </c>
      <c r="C87" t="s">
        <v>147</v>
      </c>
      <c r="D87">
        <v>0.99752700328826904</v>
      </c>
      <c r="E87">
        <v>0.99752700328826904</v>
      </c>
      <c r="F87">
        <v>0.99752700328826904</v>
      </c>
      <c r="G87">
        <v>3.6883561643835621</v>
      </c>
    </row>
    <row r="88" spans="1:7" x14ac:dyDescent="0.3">
      <c r="A88" t="s">
        <v>715</v>
      </c>
      <c r="B88" t="s">
        <v>714</v>
      </c>
      <c r="C88" t="s">
        <v>144</v>
      </c>
      <c r="D88">
        <v>0.99690228700637817</v>
      </c>
      <c r="E88">
        <v>0.99690228700637817</v>
      </c>
      <c r="F88">
        <v>0.99690228700637817</v>
      </c>
      <c r="G88">
        <v>0.91525423728813549</v>
      </c>
    </row>
    <row r="89" spans="1:7" x14ac:dyDescent="0.3">
      <c r="A89" t="s">
        <v>713</v>
      </c>
      <c r="B89" t="s">
        <v>712</v>
      </c>
      <c r="C89" t="s">
        <v>141</v>
      </c>
      <c r="D89">
        <v>0.99838697910308838</v>
      </c>
      <c r="E89">
        <v>0.99838697910308838</v>
      </c>
      <c r="F89">
        <v>0.99838697910308838</v>
      </c>
      <c r="G89">
        <v>0.36525143029208079</v>
      </c>
    </row>
    <row r="90" spans="1:7" x14ac:dyDescent="0.3">
      <c r="A90" t="s">
        <v>711</v>
      </c>
      <c r="B90" t="s">
        <v>710</v>
      </c>
      <c r="C90" t="s">
        <v>138</v>
      </c>
      <c r="D90">
        <v>0.9959794282913208</v>
      </c>
      <c r="E90">
        <v>0.9959794282913208</v>
      </c>
      <c r="F90">
        <v>0.9959794282913208</v>
      </c>
      <c r="G90">
        <v>0.57547169811320764</v>
      </c>
    </row>
    <row r="91" spans="1:7" hidden="1" x14ac:dyDescent="0.3">
      <c r="A91" t="s">
        <v>709</v>
      </c>
      <c r="B91" t="s">
        <v>708</v>
      </c>
      <c r="C91" t="s">
        <v>135</v>
      </c>
      <c r="D91">
        <v>0.96457815170288086</v>
      </c>
      <c r="E91">
        <v>0.99080759286880493</v>
      </c>
      <c r="F91">
        <v>0.97751700878143311</v>
      </c>
      <c r="G91">
        <v>1184265765508.845</v>
      </c>
    </row>
    <row r="92" spans="1:7" hidden="1" x14ac:dyDescent="0.3">
      <c r="D92">
        <f>AVERAGE(D2:D91)</f>
        <v>0.99692602488729687</v>
      </c>
      <c r="E92">
        <f t="shared" ref="E92:F92" si="0">AVERAGE(E2:E91)</f>
        <v>0.99674810568491623</v>
      </c>
      <c r="F92">
        <f t="shared" si="0"/>
        <v>0.9968295693397522</v>
      </c>
    </row>
  </sheetData>
  <autoFilter ref="A1:G92" xr:uid="{895AA031-C3D3-45A0-822A-841063B3BA1A}">
    <filterColumn colId="6">
      <customFilters and="1">
        <customFilter operator="greaterThanOrEqual" val="0"/>
        <customFilter operator="lessThanOrEqual" val="5"/>
      </customFilters>
    </filterColumn>
  </autoFilter>
  <phoneticPr fontId="1"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D9B5C-903A-497E-955C-B00F455BFA6E}">
  <sheetPr filterMode="1"/>
  <dimension ref="A1:G92"/>
  <sheetViews>
    <sheetView topLeftCell="A61" zoomScale="40" zoomScaleNormal="40" workbookViewId="0">
      <selection activeCell="B82" sqref="B82"/>
    </sheetView>
  </sheetViews>
  <sheetFormatPr defaultRowHeight="14" x14ac:dyDescent="0.3"/>
  <sheetData>
    <row r="1" spans="1:7" x14ac:dyDescent="0.3">
      <c r="A1" s="1" t="s">
        <v>265</v>
      </c>
      <c r="B1" s="1" t="s">
        <v>264</v>
      </c>
      <c r="C1" s="1" t="s">
        <v>263</v>
      </c>
      <c r="D1" s="1" t="s">
        <v>262</v>
      </c>
      <c r="E1" s="1" t="s">
        <v>261</v>
      </c>
      <c r="F1" s="1" t="s">
        <v>260</v>
      </c>
      <c r="G1" s="1" t="s">
        <v>259</v>
      </c>
    </row>
    <row r="2" spans="1:7" ht="409.5" x14ac:dyDescent="0.3">
      <c r="A2" t="s">
        <v>1142</v>
      </c>
      <c r="B2" s="6" t="s">
        <v>1156</v>
      </c>
      <c r="C2" s="6" t="s">
        <v>1155</v>
      </c>
      <c r="D2">
        <v>0.99870765209197998</v>
      </c>
      <c r="E2">
        <v>0.99870765209197998</v>
      </c>
      <c r="F2">
        <v>0.99870765209197998</v>
      </c>
      <c r="G2">
        <v>1.285714285714286</v>
      </c>
    </row>
    <row r="3" spans="1:7" x14ac:dyDescent="0.3">
      <c r="A3" t="s">
        <v>1141</v>
      </c>
      <c r="B3" t="s">
        <v>1140</v>
      </c>
      <c r="C3" t="s">
        <v>1139</v>
      </c>
      <c r="D3">
        <v>0.99828505516052246</v>
      </c>
      <c r="E3">
        <v>0.99828505516052246</v>
      </c>
      <c r="F3">
        <v>0.99828505516052246</v>
      </c>
      <c r="G3">
        <v>0.5</v>
      </c>
    </row>
    <row r="4" spans="1:7" x14ac:dyDescent="0.3">
      <c r="A4" t="s">
        <v>1138</v>
      </c>
      <c r="B4" t="s">
        <v>1137</v>
      </c>
      <c r="C4" t="s">
        <v>1136</v>
      </c>
      <c r="D4">
        <v>0.99619913101196289</v>
      </c>
      <c r="E4">
        <v>0.99619913101196289</v>
      </c>
      <c r="F4">
        <v>0.99619913101196289</v>
      </c>
      <c r="G4">
        <v>0.61971830985915488</v>
      </c>
    </row>
    <row r="5" spans="1:7" x14ac:dyDescent="0.3">
      <c r="A5" t="s">
        <v>1135</v>
      </c>
      <c r="B5" t="s">
        <v>1134</v>
      </c>
      <c r="C5" t="s">
        <v>1133</v>
      </c>
      <c r="D5">
        <v>0.99717307090759277</v>
      </c>
      <c r="E5">
        <v>0.99717307090759277</v>
      </c>
      <c r="F5">
        <v>0.99717307090759277</v>
      </c>
      <c r="G5">
        <v>0.70588235294117652</v>
      </c>
    </row>
    <row r="6" spans="1:7" x14ac:dyDescent="0.3">
      <c r="A6" t="s">
        <v>1132</v>
      </c>
      <c r="B6" t="s">
        <v>1131</v>
      </c>
      <c r="C6" t="s">
        <v>1130</v>
      </c>
      <c r="D6">
        <v>0.99863016605377197</v>
      </c>
      <c r="E6">
        <v>0.99863016605377197</v>
      </c>
      <c r="F6">
        <v>0.99863016605377197</v>
      </c>
      <c r="G6">
        <v>0.12949640287769801</v>
      </c>
    </row>
    <row r="7" spans="1:7" x14ac:dyDescent="0.3">
      <c r="A7" t="s">
        <v>1129</v>
      </c>
      <c r="B7" t="s">
        <v>1128</v>
      </c>
      <c r="C7" t="s">
        <v>1127</v>
      </c>
      <c r="D7">
        <v>0.85008507966995239</v>
      </c>
      <c r="E7">
        <v>0.46966719627380371</v>
      </c>
      <c r="F7">
        <v>0.6050485372543335</v>
      </c>
      <c r="G7">
        <v>0.99977756357974346</v>
      </c>
    </row>
    <row r="8" spans="1:7" x14ac:dyDescent="0.3">
      <c r="A8" t="s">
        <v>1126</v>
      </c>
      <c r="B8" t="s">
        <v>1125</v>
      </c>
      <c r="C8" t="s">
        <v>1124</v>
      </c>
      <c r="D8">
        <v>0.99493575096130371</v>
      </c>
      <c r="E8">
        <v>0.99493575096130371</v>
      </c>
      <c r="F8">
        <v>0.99493575096130371</v>
      </c>
      <c r="G8">
        <v>0.99647266313932992</v>
      </c>
    </row>
    <row r="9" spans="1:7" x14ac:dyDescent="0.3">
      <c r="A9" t="s">
        <v>1123</v>
      </c>
      <c r="B9" t="s">
        <v>1122</v>
      </c>
      <c r="C9" t="s">
        <v>1121</v>
      </c>
      <c r="D9">
        <v>0.99860143661499023</v>
      </c>
      <c r="E9">
        <v>0.99860143661499023</v>
      </c>
      <c r="F9">
        <v>0.99860143661499023</v>
      </c>
      <c r="G9">
        <v>0.64772727272727282</v>
      </c>
    </row>
    <row r="10" spans="1:7" hidden="1" x14ac:dyDescent="0.3">
      <c r="A10" t="s">
        <v>1120</v>
      </c>
      <c r="B10" t="s">
        <v>1119</v>
      </c>
      <c r="C10" t="s">
        <v>1118</v>
      </c>
      <c r="D10">
        <v>0.98734867572784424</v>
      </c>
      <c r="E10">
        <v>0.99258565902709961</v>
      </c>
      <c r="F10">
        <v>0.98996025323867798</v>
      </c>
      <c r="G10">
        <v>1005248.594594595</v>
      </c>
    </row>
    <row r="11" spans="1:7" x14ac:dyDescent="0.3">
      <c r="A11" t="s">
        <v>1117</v>
      </c>
      <c r="B11" t="s">
        <v>1116</v>
      </c>
      <c r="C11" t="s">
        <v>1115</v>
      </c>
      <c r="D11">
        <v>0.98936927318572998</v>
      </c>
      <c r="E11">
        <v>0.94781088829040527</v>
      </c>
      <c r="F11">
        <v>0.96814429759979248</v>
      </c>
      <c r="G11">
        <v>0.99875000000000003</v>
      </c>
    </row>
    <row r="12" spans="1:7" x14ac:dyDescent="0.3">
      <c r="A12" t="s">
        <v>1114</v>
      </c>
      <c r="B12" t="s">
        <v>945</v>
      </c>
      <c r="C12" t="s">
        <v>1113</v>
      </c>
      <c r="D12">
        <v>0.99766421318054199</v>
      </c>
      <c r="E12">
        <v>0.99766421318054199</v>
      </c>
      <c r="F12">
        <v>0.99766421318054199</v>
      </c>
      <c r="G12">
        <v>0.98837209302325579</v>
      </c>
    </row>
    <row r="13" spans="1:7" x14ac:dyDescent="0.3">
      <c r="A13" t="s">
        <v>1112</v>
      </c>
      <c r="B13" t="s">
        <v>1111</v>
      </c>
      <c r="C13" t="s">
        <v>1110</v>
      </c>
      <c r="D13">
        <v>0.89129078388214111</v>
      </c>
      <c r="E13">
        <v>0.45708969235420233</v>
      </c>
      <c r="F13">
        <v>0.60428023338317871</v>
      </c>
      <c r="G13">
        <v>0</v>
      </c>
    </row>
    <row r="14" spans="1:7" x14ac:dyDescent="0.3">
      <c r="A14" t="s">
        <v>1109</v>
      </c>
      <c r="B14" t="s">
        <v>1108</v>
      </c>
      <c r="C14" t="s">
        <v>1107</v>
      </c>
      <c r="D14">
        <v>0.99760401248931885</v>
      </c>
      <c r="E14">
        <v>0.99760401248931885</v>
      </c>
      <c r="F14">
        <v>0.99760401248931885</v>
      </c>
      <c r="G14">
        <v>2.412288512911843</v>
      </c>
    </row>
    <row r="15" spans="1:7" hidden="1" x14ac:dyDescent="0.3">
      <c r="A15" t="s">
        <v>1106</v>
      </c>
      <c r="B15" t="s">
        <v>1105</v>
      </c>
      <c r="C15" t="s">
        <v>1104</v>
      </c>
      <c r="D15">
        <v>0.99725794792175293</v>
      </c>
      <c r="E15">
        <v>0.99725794792175293</v>
      </c>
      <c r="F15">
        <v>0.99725794792175293</v>
      </c>
      <c r="G15">
        <v>7.0666666666666673</v>
      </c>
    </row>
    <row r="16" spans="1:7" x14ac:dyDescent="0.3">
      <c r="A16" t="s">
        <v>1103</v>
      </c>
      <c r="B16" t="s">
        <v>1102</v>
      </c>
      <c r="C16" t="s">
        <v>1101</v>
      </c>
      <c r="D16">
        <v>0.99859839677810669</v>
      </c>
      <c r="E16">
        <v>0.99859839677810669</v>
      </c>
      <c r="F16">
        <v>0.99859839677810669</v>
      </c>
      <c r="G16">
        <v>0.48449612403100772</v>
      </c>
    </row>
    <row r="17" spans="1:7" x14ac:dyDescent="0.3">
      <c r="A17" t="s">
        <v>1100</v>
      </c>
      <c r="B17" t="s">
        <v>1099</v>
      </c>
      <c r="C17" t="s">
        <v>1098</v>
      </c>
      <c r="D17">
        <v>0.99912810325622559</v>
      </c>
      <c r="E17">
        <v>0.99912810325622559</v>
      </c>
      <c r="F17">
        <v>0.99912810325622559</v>
      </c>
      <c r="G17">
        <v>0.85714285714285698</v>
      </c>
    </row>
    <row r="18" spans="1:7" x14ac:dyDescent="0.3">
      <c r="A18" t="s">
        <v>1097</v>
      </c>
      <c r="B18" t="s">
        <v>1096</v>
      </c>
      <c r="C18" t="s">
        <v>1095</v>
      </c>
      <c r="D18">
        <v>0.99527919292449951</v>
      </c>
      <c r="E18">
        <v>0.99527919292449951</v>
      </c>
      <c r="F18">
        <v>0.99527919292449951</v>
      </c>
      <c r="G18">
        <v>0.98337763775392995</v>
      </c>
    </row>
    <row r="19" spans="1:7" x14ac:dyDescent="0.3">
      <c r="A19" t="s">
        <v>1094</v>
      </c>
      <c r="B19" t="s">
        <v>1093</v>
      </c>
      <c r="C19" t="s">
        <v>1092</v>
      </c>
      <c r="D19">
        <v>0.99783939123153687</v>
      </c>
      <c r="E19">
        <v>0.99783939123153687</v>
      </c>
      <c r="F19">
        <v>0.99783939123153687</v>
      </c>
      <c r="G19">
        <v>0.14131786158309159</v>
      </c>
    </row>
    <row r="20" spans="1:7" x14ac:dyDescent="0.3">
      <c r="A20" t="s">
        <v>1091</v>
      </c>
      <c r="B20" t="s">
        <v>1090</v>
      </c>
      <c r="C20" t="s">
        <v>1089</v>
      </c>
      <c r="D20">
        <v>0.99932992458343506</v>
      </c>
      <c r="E20">
        <v>0.99932992458343506</v>
      </c>
      <c r="F20">
        <v>0.99932992458343506</v>
      </c>
      <c r="G20">
        <v>3.8461538461538491E-2</v>
      </c>
    </row>
    <row r="21" spans="1:7" x14ac:dyDescent="0.3">
      <c r="A21" t="s">
        <v>1088</v>
      </c>
      <c r="B21" t="s">
        <v>1087</v>
      </c>
      <c r="C21" t="s">
        <v>1086</v>
      </c>
      <c r="D21">
        <v>0.99453991651535034</v>
      </c>
      <c r="E21">
        <v>0.99453991651535034</v>
      </c>
      <c r="F21">
        <v>0.99453991651535034</v>
      </c>
      <c r="G21">
        <v>0.89363817097415499</v>
      </c>
    </row>
    <row r="22" spans="1:7" x14ac:dyDescent="0.3">
      <c r="A22" t="s">
        <v>1085</v>
      </c>
      <c r="B22" t="s">
        <v>1084</v>
      </c>
      <c r="C22" t="s">
        <v>1083</v>
      </c>
      <c r="D22">
        <v>0.87118840217590332</v>
      </c>
      <c r="E22">
        <v>0.47095209360122681</v>
      </c>
      <c r="F22">
        <v>0.61139357089996338</v>
      </c>
      <c r="G22">
        <v>0.97290640394088668</v>
      </c>
    </row>
    <row r="23" spans="1:7" x14ac:dyDescent="0.3">
      <c r="A23" t="s">
        <v>1082</v>
      </c>
      <c r="B23" t="s">
        <v>1081</v>
      </c>
      <c r="C23" t="s">
        <v>1080</v>
      </c>
      <c r="D23">
        <v>0.99542868137359619</v>
      </c>
      <c r="E23">
        <v>0.99542868137359619</v>
      </c>
      <c r="F23">
        <v>0.99542868137359619</v>
      </c>
      <c r="G23">
        <v>6.5420560747663545E-2</v>
      </c>
    </row>
    <row r="24" spans="1:7" x14ac:dyDescent="0.3">
      <c r="A24" t="s">
        <v>1079</v>
      </c>
      <c r="B24" t="s">
        <v>1078</v>
      </c>
      <c r="C24" t="s">
        <v>1077</v>
      </c>
      <c r="D24">
        <v>0.99793148040771484</v>
      </c>
      <c r="E24">
        <v>0.99793148040771484</v>
      </c>
      <c r="F24">
        <v>0.99793148040771484</v>
      </c>
      <c r="G24">
        <v>0.97674418604651159</v>
      </c>
    </row>
    <row r="25" spans="1:7" x14ac:dyDescent="0.3">
      <c r="A25" t="s">
        <v>1076</v>
      </c>
      <c r="B25" t="s">
        <v>1075</v>
      </c>
      <c r="C25" t="s">
        <v>1074</v>
      </c>
      <c r="D25">
        <v>0.8356701135635376</v>
      </c>
      <c r="E25">
        <v>0.46634265780448908</v>
      </c>
      <c r="F25">
        <v>0.5986248254776001</v>
      </c>
      <c r="G25">
        <v>0.99999912757778953</v>
      </c>
    </row>
    <row r="26" spans="1:7" x14ac:dyDescent="0.3">
      <c r="A26" t="s">
        <v>1073</v>
      </c>
      <c r="B26" t="s">
        <v>1072</v>
      </c>
      <c r="C26" t="s">
        <v>1071</v>
      </c>
      <c r="D26">
        <v>0.99765968322753906</v>
      </c>
      <c r="E26">
        <v>0.99765968322753906</v>
      </c>
      <c r="F26">
        <v>0.99765968322753906</v>
      </c>
      <c r="G26">
        <v>0.95348837209302317</v>
      </c>
    </row>
    <row r="27" spans="1:7" x14ac:dyDescent="0.3">
      <c r="A27" t="s">
        <v>1070</v>
      </c>
      <c r="B27" t="s">
        <v>1069</v>
      </c>
      <c r="C27" t="s">
        <v>1068</v>
      </c>
      <c r="D27">
        <v>0.99682307243347168</v>
      </c>
      <c r="E27">
        <v>0.99682307243347168</v>
      </c>
      <c r="F27">
        <v>0.99682307243347168</v>
      </c>
      <c r="G27">
        <v>0.16279069767441859</v>
      </c>
    </row>
    <row r="28" spans="1:7" x14ac:dyDescent="0.3">
      <c r="A28" t="s">
        <v>1067</v>
      </c>
      <c r="B28" t="s">
        <v>1066</v>
      </c>
      <c r="C28" t="s">
        <v>1065</v>
      </c>
      <c r="D28">
        <v>0.99424666166305542</v>
      </c>
      <c r="E28">
        <v>0.99424666166305542</v>
      </c>
      <c r="F28">
        <v>0.99424666166305542</v>
      </c>
      <c r="G28">
        <v>0.5934959349593496</v>
      </c>
    </row>
    <row r="29" spans="1:7" x14ac:dyDescent="0.3">
      <c r="A29" t="s">
        <v>1064</v>
      </c>
      <c r="B29" t="s">
        <v>1063</v>
      </c>
      <c r="C29" t="s">
        <v>1062</v>
      </c>
      <c r="D29">
        <v>0.99545383453369141</v>
      </c>
      <c r="E29">
        <v>0.99563336372375488</v>
      </c>
      <c r="F29">
        <v>0.99554359912872314</v>
      </c>
      <c r="G29">
        <v>0.97297297297297303</v>
      </c>
    </row>
    <row r="30" spans="1:7" x14ac:dyDescent="0.3">
      <c r="A30" t="s">
        <v>1061</v>
      </c>
      <c r="B30" t="s">
        <v>1060</v>
      </c>
      <c r="C30" t="s">
        <v>1059</v>
      </c>
      <c r="D30">
        <v>0.99532192945480347</v>
      </c>
      <c r="E30">
        <v>0.99532192945480347</v>
      </c>
      <c r="F30">
        <v>0.99532192945480347</v>
      </c>
      <c r="G30">
        <v>0.9878419452887538</v>
      </c>
    </row>
    <row r="31" spans="1:7" x14ac:dyDescent="0.3">
      <c r="A31" t="s">
        <v>1058</v>
      </c>
      <c r="B31" t="s">
        <v>1057</v>
      </c>
      <c r="C31" t="s">
        <v>1056</v>
      </c>
      <c r="D31">
        <v>0.99453973770141602</v>
      </c>
      <c r="E31">
        <v>0.99459826946258545</v>
      </c>
      <c r="F31">
        <v>0.99456900358200073</v>
      </c>
      <c r="G31">
        <v>0.58714043993231813</v>
      </c>
    </row>
    <row r="32" spans="1:7" x14ac:dyDescent="0.3">
      <c r="A32" t="s">
        <v>1055</v>
      </c>
      <c r="B32" t="s">
        <v>1054</v>
      </c>
      <c r="C32" t="s">
        <v>1053</v>
      </c>
      <c r="D32">
        <v>0.86643099784851074</v>
      </c>
      <c r="E32">
        <v>0.4702775776386261</v>
      </c>
      <c r="F32">
        <v>0.60965132713317871</v>
      </c>
      <c r="G32">
        <v>0.97432686286787729</v>
      </c>
    </row>
    <row r="33" spans="1:7" x14ac:dyDescent="0.3">
      <c r="A33" t="s">
        <v>1052</v>
      </c>
      <c r="B33" t="s">
        <v>898</v>
      </c>
      <c r="C33" t="s">
        <v>1051</v>
      </c>
      <c r="D33">
        <v>0.88203912973403931</v>
      </c>
      <c r="E33">
        <v>0.45585200190544128</v>
      </c>
      <c r="F33">
        <v>0.60106432437896729</v>
      </c>
      <c r="G33">
        <v>0.66666666666666663</v>
      </c>
    </row>
    <row r="34" spans="1:7" x14ac:dyDescent="0.3">
      <c r="A34" t="s">
        <v>1050</v>
      </c>
      <c r="B34" t="s">
        <v>1049</v>
      </c>
      <c r="C34" t="s">
        <v>1048</v>
      </c>
      <c r="D34">
        <v>0.99521094560623169</v>
      </c>
      <c r="E34">
        <v>0.99521094560623169</v>
      </c>
      <c r="F34">
        <v>0.99521094560623169</v>
      </c>
      <c r="G34">
        <v>0.99806389157792841</v>
      </c>
    </row>
    <row r="35" spans="1:7" x14ac:dyDescent="0.3">
      <c r="A35" t="s">
        <v>1047</v>
      </c>
      <c r="B35" t="s">
        <v>1046</v>
      </c>
      <c r="C35" t="s">
        <v>1045</v>
      </c>
      <c r="D35">
        <v>0.9984966516494751</v>
      </c>
      <c r="E35">
        <v>0.9984966516494751</v>
      </c>
      <c r="F35">
        <v>0.9984966516494751</v>
      </c>
      <c r="G35">
        <v>0.83333333333333326</v>
      </c>
    </row>
    <row r="36" spans="1:7" x14ac:dyDescent="0.3">
      <c r="A36" t="s">
        <v>1044</v>
      </c>
      <c r="B36" t="s">
        <v>1043</v>
      </c>
      <c r="C36" t="s">
        <v>1042</v>
      </c>
      <c r="D36">
        <v>0.99890673160552979</v>
      </c>
      <c r="E36">
        <v>0.99890673160552979</v>
      </c>
      <c r="F36">
        <v>0.99890673160552979</v>
      </c>
      <c r="G36">
        <v>0.15637860082304519</v>
      </c>
    </row>
    <row r="37" spans="1:7" x14ac:dyDescent="0.3">
      <c r="A37" t="s">
        <v>1041</v>
      </c>
      <c r="B37" t="s">
        <v>1040</v>
      </c>
      <c r="C37" t="s">
        <v>1039</v>
      </c>
      <c r="D37">
        <v>0.85900616645812988</v>
      </c>
      <c r="E37">
        <v>0.45462554693222051</v>
      </c>
      <c r="F37">
        <v>0.59457474946975708</v>
      </c>
      <c r="G37">
        <v>0.94423076923076921</v>
      </c>
    </row>
    <row r="38" spans="1:7" x14ac:dyDescent="0.3">
      <c r="A38" t="s">
        <v>1038</v>
      </c>
      <c r="B38" t="s">
        <v>1037</v>
      </c>
      <c r="C38" t="s">
        <v>1036</v>
      </c>
      <c r="D38">
        <v>0.99696290493011475</v>
      </c>
      <c r="E38">
        <v>0.99696290493011475</v>
      </c>
      <c r="F38">
        <v>0.99696290493011475</v>
      </c>
      <c r="G38">
        <v>0.77685950413223137</v>
      </c>
    </row>
    <row r="39" spans="1:7" x14ac:dyDescent="0.3">
      <c r="A39" t="s">
        <v>1035</v>
      </c>
      <c r="B39" t="s">
        <v>1034</v>
      </c>
      <c r="C39" t="s">
        <v>1033</v>
      </c>
      <c r="D39">
        <v>0.97118067741394043</v>
      </c>
      <c r="E39">
        <v>0.96572959423065186</v>
      </c>
      <c r="F39">
        <v>0.96844744682312012</v>
      </c>
      <c r="G39">
        <v>0.95592864637985309</v>
      </c>
    </row>
    <row r="40" spans="1:7" x14ac:dyDescent="0.3">
      <c r="A40" t="s">
        <v>1032</v>
      </c>
      <c r="B40" t="s">
        <v>1031</v>
      </c>
      <c r="C40" t="s">
        <v>1030</v>
      </c>
      <c r="D40">
        <v>0.99617469310760498</v>
      </c>
      <c r="E40">
        <v>0.99617469310760498</v>
      </c>
      <c r="F40">
        <v>0.99617475271224976</v>
      </c>
      <c r="G40">
        <v>0.54677419354838708</v>
      </c>
    </row>
    <row r="41" spans="1:7" x14ac:dyDescent="0.3">
      <c r="A41" t="s">
        <v>1029</v>
      </c>
      <c r="B41" t="s">
        <v>931</v>
      </c>
      <c r="C41" t="s">
        <v>1028</v>
      </c>
      <c r="D41">
        <v>0.99940890073776245</v>
      </c>
      <c r="E41">
        <v>0.99940890073776245</v>
      </c>
      <c r="F41">
        <v>0.99940890073776245</v>
      </c>
      <c r="G41">
        <v>0.66666666666666663</v>
      </c>
    </row>
    <row r="42" spans="1:7" x14ac:dyDescent="0.3">
      <c r="A42" t="s">
        <v>1027</v>
      </c>
      <c r="B42" t="s">
        <v>1026</v>
      </c>
      <c r="C42" t="s">
        <v>1025</v>
      </c>
      <c r="D42">
        <v>0.85289168357849121</v>
      </c>
      <c r="E42">
        <v>0.44621157646179199</v>
      </c>
      <c r="F42">
        <v>0.58589667081832886</v>
      </c>
      <c r="G42">
        <v>0.97089041095890416</v>
      </c>
    </row>
    <row r="43" spans="1:7" x14ac:dyDescent="0.3">
      <c r="A43" t="s">
        <v>1024</v>
      </c>
      <c r="B43" t="s">
        <v>1023</v>
      </c>
      <c r="C43" t="s">
        <v>1022</v>
      </c>
      <c r="D43">
        <v>0.99757230281829834</v>
      </c>
      <c r="E43">
        <v>0.99757230281829834</v>
      </c>
      <c r="F43">
        <v>0.99757230281829834</v>
      </c>
      <c r="G43">
        <v>1.3050847457627119</v>
      </c>
    </row>
    <row r="44" spans="1:7" x14ac:dyDescent="0.3">
      <c r="A44" t="s">
        <v>1021</v>
      </c>
      <c r="B44" t="s">
        <v>1020</v>
      </c>
      <c r="C44" t="s">
        <v>1019</v>
      </c>
      <c r="D44">
        <v>0.9958842396736145</v>
      </c>
      <c r="E44">
        <v>0.9958842396736145</v>
      </c>
      <c r="F44">
        <v>0.9958842396736145</v>
      </c>
      <c r="G44">
        <v>0.92592592592592593</v>
      </c>
    </row>
    <row r="45" spans="1:7" x14ac:dyDescent="0.3">
      <c r="A45" t="s">
        <v>1018</v>
      </c>
      <c r="B45" t="s">
        <v>1017</v>
      </c>
      <c r="C45" t="s">
        <v>1016</v>
      </c>
      <c r="D45">
        <v>0.86378085613250732</v>
      </c>
      <c r="E45">
        <v>0.45045590400695801</v>
      </c>
      <c r="F45">
        <v>0.59212344884872437</v>
      </c>
      <c r="G45">
        <v>0.51886792452830188</v>
      </c>
    </row>
    <row r="46" spans="1:7" hidden="1" x14ac:dyDescent="0.3">
      <c r="A46" t="s">
        <v>1015</v>
      </c>
      <c r="B46" t="s">
        <v>1014</v>
      </c>
      <c r="C46" t="s">
        <v>1013</v>
      </c>
      <c r="D46">
        <v>0.99193024635314941</v>
      </c>
      <c r="E46">
        <v>0.99433505535125732</v>
      </c>
      <c r="F46">
        <v>0.99313122034072876</v>
      </c>
      <c r="G46">
        <v>835.74320704171441</v>
      </c>
    </row>
    <row r="47" spans="1:7" x14ac:dyDescent="0.3">
      <c r="A47" t="s">
        <v>1012</v>
      </c>
      <c r="B47" t="s">
        <v>1011</v>
      </c>
      <c r="C47" t="s">
        <v>1010</v>
      </c>
      <c r="D47">
        <v>0.99965798854827881</v>
      </c>
      <c r="E47">
        <v>0.99965798854827881</v>
      </c>
      <c r="F47">
        <v>0.99965798854827881</v>
      </c>
      <c r="G47">
        <v>0.14285714285714299</v>
      </c>
    </row>
    <row r="48" spans="1:7" x14ac:dyDescent="0.3">
      <c r="A48" t="s">
        <v>1009</v>
      </c>
      <c r="B48" t="s">
        <v>1008</v>
      </c>
      <c r="C48" t="s">
        <v>1007</v>
      </c>
      <c r="D48">
        <v>0.99519950151443481</v>
      </c>
      <c r="E48">
        <v>0.99519950151443481</v>
      </c>
      <c r="F48">
        <v>0.99519950151443481</v>
      </c>
      <c r="G48">
        <v>0.9910714285714286</v>
      </c>
    </row>
    <row r="49" spans="1:7" x14ac:dyDescent="0.3">
      <c r="A49" t="s">
        <v>1006</v>
      </c>
      <c r="B49" t="s">
        <v>1005</v>
      </c>
      <c r="C49" t="s">
        <v>1004</v>
      </c>
      <c r="D49">
        <v>0.99830073118209839</v>
      </c>
      <c r="E49">
        <v>0.99830073118209839</v>
      </c>
      <c r="F49">
        <v>0.99830073118209839</v>
      </c>
      <c r="G49">
        <v>0.7931034482758621</v>
      </c>
    </row>
    <row r="50" spans="1:7" x14ac:dyDescent="0.3">
      <c r="A50" t="s">
        <v>1003</v>
      </c>
      <c r="B50" t="s">
        <v>1002</v>
      </c>
      <c r="C50" t="s">
        <v>1001</v>
      </c>
      <c r="D50">
        <v>0.99578750133514404</v>
      </c>
      <c r="E50">
        <v>0.99578750133514404</v>
      </c>
      <c r="F50">
        <v>0.99578750133514404</v>
      </c>
      <c r="G50">
        <v>0.99239543726235746</v>
      </c>
    </row>
    <row r="51" spans="1:7" x14ac:dyDescent="0.3">
      <c r="A51" t="s">
        <v>1000</v>
      </c>
      <c r="B51" t="s">
        <v>999</v>
      </c>
      <c r="C51" t="s">
        <v>998</v>
      </c>
      <c r="D51">
        <v>0.97370976209640503</v>
      </c>
      <c r="E51">
        <v>0.96699190139770508</v>
      </c>
      <c r="F51">
        <v>0.97033917903900146</v>
      </c>
      <c r="G51">
        <v>0.83808724832214765</v>
      </c>
    </row>
    <row r="52" spans="1:7" hidden="1" x14ac:dyDescent="0.3">
      <c r="A52" t="s">
        <v>997</v>
      </c>
      <c r="B52" t="s">
        <v>996</v>
      </c>
      <c r="C52" t="s">
        <v>995</v>
      </c>
      <c r="D52">
        <v>0.99584001302719116</v>
      </c>
      <c r="E52">
        <v>0.99598366022109985</v>
      </c>
      <c r="F52">
        <v>0.99591183662414551</v>
      </c>
      <c r="G52">
        <v>69.75</v>
      </c>
    </row>
    <row r="53" spans="1:7" x14ac:dyDescent="0.3">
      <c r="A53" t="s">
        <v>994</v>
      </c>
      <c r="B53" t="s">
        <v>993</v>
      </c>
      <c r="C53" t="s">
        <v>992</v>
      </c>
      <c r="D53">
        <v>0.99112921953201294</v>
      </c>
      <c r="E53">
        <v>0.98867976665496826</v>
      </c>
      <c r="F53">
        <v>0.98990297317504883</v>
      </c>
      <c r="G53">
        <v>0.99998624001541114</v>
      </c>
    </row>
    <row r="54" spans="1:7" x14ac:dyDescent="0.3">
      <c r="A54" t="s">
        <v>991</v>
      </c>
      <c r="B54" t="s">
        <v>990</v>
      </c>
      <c r="C54" t="s">
        <v>989</v>
      </c>
      <c r="D54">
        <v>0.99887818098068237</v>
      </c>
      <c r="E54">
        <v>0.99887818098068237</v>
      </c>
      <c r="F54">
        <v>0.99887818098068237</v>
      </c>
      <c r="G54">
        <v>0.75000000000000011</v>
      </c>
    </row>
    <row r="55" spans="1:7" x14ac:dyDescent="0.3">
      <c r="A55" t="s">
        <v>988</v>
      </c>
      <c r="B55" t="s">
        <v>987</v>
      </c>
      <c r="C55" t="s">
        <v>986</v>
      </c>
      <c r="D55">
        <v>0.99631845951080322</v>
      </c>
      <c r="E55">
        <v>0.99631845951080322</v>
      </c>
      <c r="F55">
        <v>0.99631845951080322</v>
      </c>
      <c r="G55">
        <v>0.62729273661041829</v>
      </c>
    </row>
    <row r="56" spans="1:7" x14ac:dyDescent="0.3">
      <c r="A56" t="s">
        <v>985</v>
      </c>
      <c r="B56" t="s">
        <v>984</v>
      </c>
      <c r="C56" t="s">
        <v>983</v>
      </c>
      <c r="D56">
        <v>0.99577337503433228</v>
      </c>
      <c r="E56">
        <v>0.99577337503433228</v>
      </c>
      <c r="F56">
        <v>0.99577337503433228</v>
      </c>
      <c r="G56">
        <v>1.568125516102395</v>
      </c>
    </row>
    <row r="57" spans="1:7" x14ac:dyDescent="0.3">
      <c r="A57" t="s">
        <v>982</v>
      </c>
      <c r="B57" t="s">
        <v>981</v>
      </c>
      <c r="C57" t="s">
        <v>980</v>
      </c>
      <c r="D57">
        <v>0.99870902299880981</v>
      </c>
      <c r="E57">
        <v>0.99870902299880981</v>
      </c>
      <c r="F57">
        <v>0.99870902299880981</v>
      </c>
      <c r="G57">
        <v>0.61627906976744196</v>
      </c>
    </row>
    <row r="58" spans="1:7" x14ac:dyDescent="0.3">
      <c r="A58" t="s">
        <v>979</v>
      </c>
      <c r="B58" t="s">
        <v>978</v>
      </c>
      <c r="C58" t="s">
        <v>977</v>
      </c>
      <c r="D58">
        <v>0.99861609935760498</v>
      </c>
      <c r="E58">
        <v>0.99861609935760498</v>
      </c>
      <c r="F58">
        <v>0.99861609935760498</v>
      </c>
      <c r="G58">
        <v>1.55456570155902</v>
      </c>
    </row>
    <row r="59" spans="1:7" x14ac:dyDescent="0.3">
      <c r="A59" t="s">
        <v>976</v>
      </c>
      <c r="B59" t="s">
        <v>975</v>
      </c>
      <c r="C59" t="s">
        <v>974</v>
      </c>
      <c r="D59">
        <v>0.82944595813751221</v>
      </c>
      <c r="E59">
        <v>0.44748547673225397</v>
      </c>
      <c r="F59">
        <v>0.58133900165557861</v>
      </c>
      <c r="G59">
        <v>0.99061752034466244</v>
      </c>
    </row>
    <row r="60" spans="1:7" x14ac:dyDescent="0.3">
      <c r="A60" t="s">
        <v>973</v>
      </c>
      <c r="B60" t="s">
        <v>972</v>
      </c>
      <c r="C60" t="s">
        <v>971</v>
      </c>
      <c r="D60">
        <v>0.99879217147827148</v>
      </c>
      <c r="E60">
        <v>0.99879217147827148</v>
      </c>
      <c r="F60">
        <v>0.99879217147827148</v>
      </c>
      <c r="G60">
        <v>0.5714285714285714</v>
      </c>
    </row>
    <row r="61" spans="1:7" x14ac:dyDescent="0.3">
      <c r="A61" t="s">
        <v>970</v>
      </c>
      <c r="B61" t="s">
        <v>969</v>
      </c>
      <c r="C61" t="s">
        <v>968</v>
      </c>
      <c r="D61">
        <v>0.85876750946044922</v>
      </c>
      <c r="E61">
        <v>0.47006022930145258</v>
      </c>
      <c r="F61">
        <v>0.60756176710128784</v>
      </c>
      <c r="G61">
        <v>0.99874193417474944</v>
      </c>
    </row>
    <row r="62" spans="1:7" x14ac:dyDescent="0.3">
      <c r="A62" t="s">
        <v>967</v>
      </c>
      <c r="B62" t="s">
        <v>966</v>
      </c>
      <c r="C62" t="s">
        <v>965</v>
      </c>
      <c r="D62">
        <v>0.99837195873260498</v>
      </c>
      <c r="E62">
        <v>0.99837195873260498</v>
      </c>
      <c r="F62">
        <v>0.99837195873260498</v>
      </c>
      <c r="G62">
        <v>0.73584905660377353</v>
      </c>
    </row>
    <row r="63" spans="1:7" x14ac:dyDescent="0.3">
      <c r="A63" t="s">
        <v>964</v>
      </c>
      <c r="B63" t="s">
        <v>963</v>
      </c>
      <c r="C63" t="s">
        <v>962</v>
      </c>
      <c r="D63">
        <v>0.99895501136779785</v>
      </c>
      <c r="E63">
        <v>0.99895501136779785</v>
      </c>
      <c r="F63">
        <v>0.99895501136779785</v>
      </c>
      <c r="G63">
        <v>0.3600000000000001</v>
      </c>
    </row>
    <row r="64" spans="1:7" x14ac:dyDescent="0.3">
      <c r="A64" t="s">
        <v>961</v>
      </c>
      <c r="B64" t="s">
        <v>960</v>
      </c>
      <c r="C64" t="s">
        <v>959</v>
      </c>
      <c r="D64">
        <v>0.99075955152511597</v>
      </c>
      <c r="E64">
        <v>0.97659993171691895</v>
      </c>
      <c r="F64">
        <v>0.98362874984741211</v>
      </c>
      <c r="G64">
        <v>0.99999999975592346</v>
      </c>
    </row>
    <row r="65" spans="1:7" x14ac:dyDescent="0.3">
      <c r="A65" t="s">
        <v>958</v>
      </c>
      <c r="B65" t="s">
        <v>957</v>
      </c>
      <c r="C65" t="s">
        <v>956</v>
      </c>
      <c r="D65">
        <v>0.99952715635299683</v>
      </c>
      <c r="E65">
        <v>0.99952715635299683</v>
      </c>
      <c r="F65">
        <v>0.99952715635299683</v>
      </c>
      <c r="G65">
        <v>0.17241379310344851</v>
      </c>
    </row>
    <row r="66" spans="1:7" x14ac:dyDescent="0.3">
      <c r="A66" t="s">
        <v>955</v>
      </c>
      <c r="B66" t="s">
        <v>954</v>
      </c>
      <c r="C66" t="s">
        <v>953</v>
      </c>
      <c r="D66">
        <v>0.99840414524078369</v>
      </c>
      <c r="E66">
        <v>0.99840414524078369</v>
      </c>
      <c r="F66">
        <v>0.99840414524078369</v>
      </c>
      <c r="G66">
        <v>0.25786924939467309</v>
      </c>
    </row>
    <row r="67" spans="1:7" x14ac:dyDescent="0.3">
      <c r="A67" t="s">
        <v>952</v>
      </c>
      <c r="B67" t="s">
        <v>951</v>
      </c>
      <c r="C67" t="s">
        <v>950</v>
      </c>
      <c r="D67">
        <v>0.86251455545425415</v>
      </c>
      <c r="E67">
        <v>0.44973671436309809</v>
      </c>
      <c r="F67">
        <v>0.59120452404022217</v>
      </c>
      <c r="G67">
        <v>0.97774884601728018</v>
      </c>
    </row>
    <row r="68" spans="1:7" hidden="1" x14ac:dyDescent="0.3">
      <c r="A68" t="s">
        <v>949</v>
      </c>
      <c r="B68" t="s">
        <v>948</v>
      </c>
      <c r="C68" t="s">
        <v>947</v>
      </c>
      <c r="D68">
        <v>0.99752867221832275</v>
      </c>
      <c r="E68">
        <v>0.99752867221832275</v>
      </c>
      <c r="F68">
        <v>0.99752867221832275</v>
      </c>
      <c r="G68">
        <v>29</v>
      </c>
    </row>
    <row r="69" spans="1:7" x14ac:dyDescent="0.3">
      <c r="A69" t="s">
        <v>946</v>
      </c>
      <c r="B69" t="s">
        <v>945</v>
      </c>
      <c r="C69" t="s">
        <v>944</v>
      </c>
      <c r="D69">
        <v>0.99947404861450195</v>
      </c>
      <c r="E69">
        <v>0.99947404861450195</v>
      </c>
      <c r="F69">
        <v>0.99947404861450195</v>
      </c>
      <c r="G69">
        <v>0.66666666666666663</v>
      </c>
    </row>
    <row r="70" spans="1:7" x14ac:dyDescent="0.3">
      <c r="A70" t="s">
        <v>943</v>
      </c>
      <c r="B70" t="s">
        <v>942</v>
      </c>
      <c r="C70" t="s">
        <v>941</v>
      </c>
      <c r="D70">
        <v>0.86346471309661865</v>
      </c>
      <c r="E70">
        <v>0.4532427191734314</v>
      </c>
      <c r="F70">
        <v>0.59445112943649292</v>
      </c>
      <c r="G70">
        <v>0.92088607594936711</v>
      </c>
    </row>
    <row r="71" spans="1:7" x14ac:dyDescent="0.3">
      <c r="A71" t="s">
        <v>940</v>
      </c>
      <c r="B71" t="s">
        <v>910</v>
      </c>
      <c r="C71" t="s">
        <v>939</v>
      </c>
      <c r="D71">
        <v>0.86528313159942627</v>
      </c>
      <c r="E71">
        <v>0.47041136026382452</v>
      </c>
      <c r="F71">
        <v>0.60947918891906738</v>
      </c>
      <c r="G71">
        <v>0.98632812499999989</v>
      </c>
    </row>
    <row r="72" spans="1:7" x14ac:dyDescent="0.3">
      <c r="A72" t="s">
        <v>938</v>
      </c>
      <c r="B72" t="s">
        <v>937</v>
      </c>
      <c r="C72" t="s">
        <v>936</v>
      </c>
      <c r="D72">
        <v>0.897086501121521</v>
      </c>
      <c r="E72">
        <v>0.47343772649765009</v>
      </c>
      <c r="F72">
        <v>0.61978417634963989</v>
      </c>
      <c r="G72">
        <v>0.28571428571428548</v>
      </c>
    </row>
    <row r="73" spans="1:7" x14ac:dyDescent="0.3">
      <c r="A73" t="s">
        <v>935</v>
      </c>
      <c r="B73" t="s">
        <v>934</v>
      </c>
      <c r="C73" t="s">
        <v>933</v>
      </c>
      <c r="D73">
        <v>0.99793702363967896</v>
      </c>
      <c r="E73">
        <v>0.99793702363967896</v>
      </c>
      <c r="F73">
        <v>0.99793702363967896</v>
      </c>
      <c r="G73">
        <v>0.47668393782383428</v>
      </c>
    </row>
    <row r="74" spans="1:7" x14ac:dyDescent="0.3">
      <c r="A74" t="s">
        <v>932</v>
      </c>
      <c r="B74" t="s">
        <v>931</v>
      </c>
      <c r="C74" t="s">
        <v>930</v>
      </c>
      <c r="D74">
        <v>0.99918091297149658</v>
      </c>
      <c r="E74">
        <v>0.99918091297149658</v>
      </c>
      <c r="F74">
        <v>0.99918091297149658</v>
      </c>
      <c r="G74">
        <v>0.75</v>
      </c>
    </row>
    <row r="75" spans="1:7" x14ac:dyDescent="0.3">
      <c r="A75" t="s">
        <v>929</v>
      </c>
      <c r="B75" t="s">
        <v>928</v>
      </c>
      <c r="C75" t="s">
        <v>927</v>
      </c>
      <c r="D75">
        <v>0.99688959121704102</v>
      </c>
      <c r="E75">
        <v>0.99688959121704102</v>
      </c>
      <c r="F75">
        <v>0.99688959121704102</v>
      </c>
      <c r="G75">
        <v>0.86157253599114059</v>
      </c>
    </row>
    <row r="76" spans="1:7" hidden="1" x14ac:dyDescent="0.3">
      <c r="A76" t="s">
        <v>926</v>
      </c>
      <c r="B76" t="s">
        <v>925</v>
      </c>
      <c r="C76" t="s">
        <v>924</v>
      </c>
      <c r="D76">
        <v>0.99692755937576294</v>
      </c>
      <c r="E76">
        <v>0.99692755937576294</v>
      </c>
      <c r="F76">
        <v>0.99692755937576294</v>
      </c>
      <c r="G76">
        <v>8.0468319559228672</v>
      </c>
    </row>
    <row r="77" spans="1:7" x14ac:dyDescent="0.3">
      <c r="A77" t="s">
        <v>923</v>
      </c>
      <c r="B77" t="s">
        <v>922</v>
      </c>
      <c r="C77" t="s">
        <v>921</v>
      </c>
      <c r="D77">
        <v>0.99448525905609131</v>
      </c>
      <c r="E77">
        <v>0.98985916376113892</v>
      </c>
      <c r="F77">
        <v>0.99216675758361816</v>
      </c>
      <c r="G77">
        <v>0.99999702575012794</v>
      </c>
    </row>
    <row r="78" spans="1:7" x14ac:dyDescent="0.3">
      <c r="A78" t="s">
        <v>920</v>
      </c>
      <c r="B78" t="s">
        <v>919</v>
      </c>
      <c r="C78" t="s">
        <v>918</v>
      </c>
      <c r="D78">
        <v>0.99787992238998413</v>
      </c>
      <c r="E78">
        <v>0.99787992238998413</v>
      </c>
      <c r="F78">
        <v>0.99787992238998413</v>
      </c>
      <c r="G78">
        <v>0.2734375</v>
      </c>
    </row>
    <row r="79" spans="1:7" x14ac:dyDescent="0.3">
      <c r="A79" t="s">
        <v>917</v>
      </c>
      <c r="B79" t="s">
        <v>916</v>
      </c>
      <c r="C79" t="s">
        <v>915</v>
      </c>
      <c r="D79">
        <v>0.99871289730072021</v>
      </c>
      <c r="E79">
        <v>0.99871289730072021</v>
      </c>
      <c r="F79">
        <v>0.99871289730072021</v>
      </c>
      <c r="G79">
        <v>0.11462450592885361</v>
      </c>
    </row>
    <row r="80" spans="1:7" x14ac:dyDescent="0.3">
      <c r="A80" t="s">
        <v>914</v>
      </c>
      <c r="B80" t="s">
        <v>913</v>
      </c>
      <c r="C80" t="s">
        <v>912</v>
      </c>
      <c r="D80">
        <v>0.99946165084838867</v>
      </c>
      <c r="E80">
        <v>0.99946165084838867</v>
      </c>
      <c r="F80">
        <v>0.99946165084838867</v>
      </c>
      <c r="G80">
        <v>4</v>
      </c>
    </row>
    <row r="81" spans="1:7" x14ac:dyDescent="0.3">
      <c r="A81" t="s">
        <v>911</v>
      </c>
      <c r="B81" t="s">
        <v>910</v>
      </c>
      <c r="C81" t="s">
        <v>909</v>
      </c>
      <c r="D81">
        <v>0.88172078132629395</v>
      </c>
      <c r="E81">
        <v>0.45573630928993231</v>
      </c>
      <c r="F81">
        <v>0.60088980197906494</v>
      </c>
      <c r="G81">
        <v>0.5</v>
      </c>
    </row>
    <row r="82" spans="1:7" x14ac:dyDescent="0.3">
      <c r="A82" t="s">
        <v>908</v>
      </c>
      <c r="B82" t="s">
        <v>907</v>
      </c>
      <c r="C82" t="s">
        <v>906</v>
      </c>
      <c r="D82">
        <v>0.99562686681747437</v>
      </c>
      <c r="E82">
        <v>0.99585849046707153</v>
      </c>
      <c r="F82">
        <v>0.99574267864227295</v>
      </c>
      <c r="G82">
        <v>0.91614255765199148</v>
      </c>
    </row>
    <row r="83" spans="1:7" x14ac:dyDescent="0.3">
      <c r="A83" t="s">
        <v>905</v>
      </c>
      <c r="B83" t="s">
        <v>904</v>
      </c>
      <c r="C83" t="s">
        <v>903</v>
      </c>
      <c r="D83">
        <v>0.99720895290374756</v>
      </c>
      <c r="E83">
        <v>0.99720895290374756</v>
      </c>
      <c r="F83">
        <v>0.99720895290374756</v>
      </c>
      <c r="G83">
        <v>0.49484536082474212</v>
      </c>
    </row>
    <row r="84" spans="1:7" x14ac:dyDescent="0.3">
      <c r="A84" t="s">
        <v>902</v>
      </c>
      <c r="B84" t="s">
        <v>901</v>
      </c>
      <c r="C84" t="s">
        <v>900</v>
      </c>
      <c r="D84">
        <v>0.85842013359069824</v>
      </c>
      <c r="E84">
        <v>0.45308485627174377</v>
      </c>
      <c r="F84">
        <v>0.59311580657958984</v>
      </c>
      <c r="G84">
        <v>0.99295774647887325</v>
      </c>
    </row>
    <row r="85" spans="1:7" x14ac:dyDescent="0.3">
      <c r="A85" t="s">
        <v>899</v>
      </c>
      <c r="B85" t="s">
        <v>898</v>
      </c>
      <c r="C85" t="s">
        <v>897</v>
      </c>
      <c r="D85">
        <v>0.87574577331542969</v>
      </c>
      <c r="E85">
        <v>0.45454698801040649</v>
      </c>
      <c r="F85">
        <v>0.59846615791320801</v>
      </c>
      <c r="G85">
        <v>0.82352941176470595</v>
      </c>
    </row>
    <row r="86" spans="1:7" x14ac:dyDescent="0.3">
      <c r="A86" t="s">
        <v>896</v>
      </c>
      <c r="B86" t="s">
        <v>895</v>
      </c>
      <c r="C86" t="s">
        <v>894</v>
      </c>
      <c r="D86">
        <v>0.9967576265335083</v>
      </c>
      <c r="E86">
        <v>0.9967576265335083</v>
      </c>
      <c r="F86">
        <v>0.9967576265335083</v>
      </c>
      <c r="G86">
        <v>1.618881759853346</v>
      </c>
    </row>
    <row r="87" spans="1:7" x14ac:dyDescent="0.3">
      <c r="A87" t="s">
        <v>893</v>
      </c>
      <c r="B87" t="s">
        <v>892</v>
      </c>
      <c r="C87" t="s">
        <v>891</v>
      </c>
      <c r="D87">
        <v>0.99958962202072144</v>
      </c>
      <c r="E87">
        <v>0.99958962202072144</v>
      </c>
      <c r="F87">
        <v>0.99958962202072144</v>
      </c>
      <c r="G87">
        <v>7.1428571428571286E-2</v>
      </c>
    </row>
    <row r="88" spans="1:7" x14ac:dyDescent="0.3">
      <c r="A88" t="s">
        <v>890</v>
      </c>
      <c r="B88" t="s">
        <v>889</v>
      </c>
      <c r="C88" t="s">
        <v>888</v>
      </c>
      <c r="D88">
        <v>0.99738669395446777</v>
      </c>
      <c r="E88">
        <v>0.99738669395446777</v>
      </c>
      <c r="F88">
        <v>0.99738669395446777</v>
      </c>
      <c r="G88">
        <v>5.244755244755242E-2</v>
      </c>
    </row>
    <row r="89" spans="1:7" x14ac:dyDescent="0.3">
      <c r="A89" t="s">
        <v>887</v>
      </c>
      <c r="B89" t="s">
        <v>886</v>
      </c>
      <c r="C89" t="s">
        <v>885</v>
      </c>
      <c r="D89">
        <v>0.99529623985290527</v>
      </c>
      <c r="E89">
        <v>0.99571073055267334</v>
      </c>
      <c r="F89">
        <v>0.99550342559814453</v>
      </c>
      <c r="G89">
        <v>0.99036777583187396</v>
      </c>
    </row>
    <row r="90" spans="1:7" x14ac:dyDescent="0.3">
      <c r="A90" t="s">
        <v>884</v>
      </c>
      <c r="B90" t="s">
        <v>883</v>
      </c>
      <c r="C90" t="s">
        <v>882</v>
      </c>
      <c r="D90">
        <v>0.99897098541259766</v>
      </c>
      <c r="E90">
        <v>0.99897098541259766</v>
      </c>
      <c r="F90">
        <v>0.99897098541259766</v>
      </c>
      <c r="G90">
        <v>1.2307692307692311</v>
      </c>
    </row>
    <row r="91" spans="1:7" x14ac:dyDescent="0.3">
      <c r="A91" t="s">
        <v>881</v>
      </c>
      <c r="B91" t="s">
        <v>880</v>
      </c>
      <c r="C91" t="s">
        <v>879</v>
      </c>
      <c r="D91">
        <v>0.89719116687774658</v>
      </c>
      <c r="E91">
        <v>0.94505035877227783</v>
      </c>
      <c r="F91">
        <v>0.92049914598464966</v>
      </c>
      <c r="G91">
        <v>0.97872340425531923</v>
      </c>
    </row>
    <row r="92" spans="1:7" hidden="1" x14ac:dyDescent="0.3">
      <c r="D92">
        <f>AVERAGE(D2:D91)</f>
        <v>0.96877436108059356</v>
      </c>
      <c r="E92">
        <f t="shared" ref="E92:F92" si="0">AVERAGE(E2:E91)</f>
        <v>0.88750714626577165</v>
      </c>
      <c r="F92">
        <f t="shared" si="0"/>
        <v>0.91570488413174944</v>
      </c>
    </row>
  </sheetData>
  <autoFilter ref="A1:G92" xr:uid="{E00D9B5C-903A-497E-955C-B00F455BFA6E}">
    <filterColumn colId="6">
      <customFilters and="1">
        <customFilter operator="greaterThanOrEqual" val="0"/>
        <customFilter operator="lessThanOrEqual" val="5"/>
      </customFilters>
    </filterColumn>
  </autoFilter>
  <phoneticPr fontId="1"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AL91"/>
  <sheetViews>
    <sheetView zoomScaleNormal="100" workbookViewId="0">
      <selection activeCell="I85" sqref="I85:M91"/>
    </sheetView>
  </sheetViews>
  <sheetFormatPr defaultRowHeight="14" x14ac:dyDescent="0.3"/>
  <cols>
    <col min="2" max="2" width="18.83203125" bestFit="1" customWidth="1"/>
    <col min="3" max="3" width="6.75" bestFit="1" customWidth="1"/>
    <col min="4" max="4" width="8.08203125" bestFit="1" customWidth="1"/>
    <col min="5" max="5" width="6.75" bestFit="1" customWidth="1"/>
    <col min="6" max="6" width="6.25" bestFit="1" customWidth="1"/>
    <col min="8" max="8" width="13.83203125" bestFit="1" customWidth="1"/>
    <col min="9" max="9" width="18.83203125" bestFit="1" customWidth="1"/>
    <col min="10" max="10" width="13" bestFit="1" customWidth="1"/>
    <col min="11" max="11" width="8.25" bestFit="1" customWidth="1"/>
    <col min="12" max="12" width="8.83203125" bestFit="1" customWidth="1"/>
    <col min="13" max="13" width="11.83203125" bestFit="1" customWidth="1"/>
    <col min="15" max="15" width="18.83203125" bestFit="1" customWidth="1"/>
    <col min="16" max="16" width="10.83203125" bestFit="1" customWidth="1"/>
    <col min="17" max="17" width="9" bestFit="1" customWidth="1"/>
    <col min="18" max="18" width="12.75" bestFit="1" customWidth="1"/>
    <col min="19" max="19" width="18.83203125" bestFit="1" customWidth="1"/>
    <col min="20" max="20" width="7.08203125" bestFit="1" customWidth="1"/>
    <col min="21" max="22" width="5.83203125" bestFit="1" customWidth="1"/>
    <col min="23" max="23" width="9.33203125" bestFit="1" customWidth="1"/>
    <col min="24" max="25" width="8.33203125" bestFit="1" customWidth="1"/>
    <col min="26" max="26" width="7.75" bestFit="1" customWidth="1"/>
    <col min="28" max="28" width="18.83203125" bestFit="1" customWidth="1"/>
  </cols>
  <sheetData>
    <row r="3" spans="2:38" x14ac:dyDescent="0.3">
      <c r="I3" s="33" t="s">
        <v>1151</v>
      </c>
      <c r="J3" s="34"/>
      <c r="K3" s="34"/>
      <c r="L3" s="34"/>
      <c r="M3" s="35"/>
      <c r="O3" s="31" t="s">
        <v>1158</v>
      </c>
      <c r="P3" s="31"/>
      <c r="Q3" s="31"/>
      <c r="S3" s="31" t="s">
        <v>1145</v>
      </c>
      <c r="T3" s="31" t="s">
        <v>1157</v>
      </c>
      <c r="U3" s="31"/>
      <c r="V3" s="31"/>
      <c r="W3" s="12" t="s">
        <v>1175</v>
      </c>
      <c r="X3" s="31" t="s">
        <v>1176</v>
      </c>
      <c r="Y3" s="31"/>
      <c r="Z3" s="31"/>
      <c r="AB3" s="31" t="s">
        <v>1145</v>
      </c>
      <c r="AC3" s="32" t="s">
        <v>2325</v>
      </c>
      <c r="AD3" s="32"/>
      <c r="AE3" s="32" t="s">
        <v>2326</v>
      </c>
      <c r="AF3" s="32"/>
      <c r="AG3" s="32"/>
      <c r="AH3" s="32"/>
      <c r="AI3" s="31" t="s">
        <v>1157</v>
      </c>
      <c r="AJ3" s="31"/>
      <c r="AK3" s="31"/>
      <c r="AL3" s="4"/>
    </row>
    <row r="4" spans="2:38" x14ac:dyDescent="0.3">
      <c r="B4" s="3" t="s">
        <v>1145</v>
      </c>
      <c r="C4" s="3" t="s">
        <v>1143</v>
      </c>
      <c r="D4" s="3" t="s">
        <v>1147</v>
      </c>
      <c r="E4" s="3" t="s">
        <v>1168</v>
      </c>
      <c r="F4" s="3" t="s">
        <v>1167</v>
      </c>
      <c r="I4" s="11" t="s">
        <v>1144</v>
      </c>
      <c r="J4" s="3" t="s">
        <v>1146</v>
      </c>
      <c r="K4" s="3" t="s">
        <v>1148</v>
      </c>
      <c r="L4" s="3" t="s">
        <v>1149</v>
      </c>
      <c r="M4" s="3" t="s">
        <v>1150</v>
      </c>
      <c r="O4" s="3" t="s">
        <v>1145</v>
      </c>
      <c r="P4" s="3" t="s">
        <v>1159</v>
      </c>
      <c r="Q4" s="3" t="s">
        <v>1160</v>
      </c>
      <c r="S4" s="31"/>
      <c r="T4" s="12" t="s">
        <v>1152</v>
      </c>
      <c r="U4" s="12" t="s">
        <v>1154</v>
      </c>
      <c r="V4" s="12" t="s">
        <v>1153</v>
      </c>
      <c r="W4" s="12" t="s">
        <v>1174</v>
      </c>
      <c r="X4" s="12" t="s">
        <v>1177</v>
      </c>
      <c r="Y4" s="12" t="s">
        <v>1178</v>
      </c>
      <c r="Z4" s="12" t="s">
        <v>1179</v>
      </c>
      <c r="AB4" s="31"/>
      <c r="AC4" s="10" t="s">
        <v>2353</v>
      </c>
      <c r="AD4" s="10" t="s">
        <v>1160</v>
      </c>
      <c r="AE4" s="10" t="s">
        <v>2353</v>
      </c>
      <c r="AF4" s="10" t="s">
        <v>1160</v>
      </c>
      <c r="AG4" s="15" t="s">
        <v>2330</v>
      </c>
      <c r="AH4" s="15" t="s">
        <v>1151</v>
      </c>
      <c r="AI4" s="15" t="s">
        <v>1152</v>
      </c>
      <c r="AJ4" s="15" t="s">
        <v>1154</v>
      </c>
      <c r="AK4" s="15" t="s">
        <v>1153</v>
      </c>
      <c r="AL4" s="4" t="s">
        <v>2351</v>
      </c>
    </row>
    <row r="5" spans="2:38" x14ac:dyDescent="0.3">
      <c r="B5" s="12" t="s">
        <v>1180</v>
      </c>
      <c r="C5" s="3">
        <v>35</v>
      </c>
      <c r="D5" s="3">
        <v>32</v>
      </c>
      <c r="E5" s="3">
        <v>11</v>
      </c>
      <c r="F5" s="3">
        <v>12</v>
      </c>
      <c r="I5" s="5" t="s">
        <v>1169</v>
      </c>
      <c r="J5" s="5" t="s">
        <v>1170</v>
      </c>
      <c r="K5" s="5" t="s">
        <v>1171</v>
      </c>
      <c r="L5" s="5" t="s">
        <v>1172</v>
      </c>
      <c r="M5" s="5" t="s">
        <v>1173</v>
      </c>
      <c r="O5" s="12" t="s">
        <v>1180</v>
      </c>
      <c r="P5" s="8">
        <v>18041</v>
      </c>
      <c r="Q5" s="9">
        <v>0.08</v>
      </c>
      <c r="S5" s="13" t="s">
        <v>1180</v>
      </c>
      <c r="T5" s="9">
        <v>0.99596283170912003</v>
      </c>
      <c r="U5" s="9">
        <v>0.99606838226318362</v>
      </c>
      <c r="V5" s="9">
        <v>0.99619594083891971</v>
      </c>
      <c r="W5" s="12">
        <v>0.97699999999999998</v>
      </c>
      <c r="X5" s="12">
        <v>0.97799999999999998</v>
      </c>
      <c r="Y5" s="12">
        <v>0.97399999999999998</v>
      </c>
      <c r="Z5" s="12">
        <v>0.99199999999999999</v>
      </c>
      <c r="AB5" s="15" t="s">
        <v>1180</v>
      </c>
      <c r="AC5" s="8">
        <v>18041</v>
      </c>
      <c r="AD5" s="9">
        <v>0.08</v>
      </c>
      <c r="AE5" s="8">
        <v>23011</v>
      </c>
      <c r="AF5" s="9">
        <v>4.3999999999999997E-2</v>
      </c>
      <c r="AG5" s="15">
        <v>60</v>
      </c>
      <c r="AH5" s="5" t="s">
        <v>2339</v>
      </c>
      <c r="AI5" s="9">
        <v>0.97835212471810251</v>
      </c>
      <c r="AJ5" s="9">
        <v>0.97884384204040875</v>
      </c>
      <c r="AK5" s="9">
        <v>0.97859493236650119</v>
      </c>
      <c r="AL5" s="21">
        <v>0.97727272727272696</v>
      </c>
    </row>
    <row r="6" spans="2:38" x14ac:dyDescent="0.3">
      <c r="B6" s="12" t="s">
        <v>1181</v>
      </c>
      <c r="C6" s="3">
        <v>40</v>
      </c>
      <c r="D6" s="3">
        <v>32</v>
      </c>
      <c r="E6" s="3">
        <v>8</v>
      </c>
      <c r="F6" s="3">
        <v>10</v>
      </c>
      <c r="I6" s="4" t="s">
        <v>1161</v>
      </c>
      <c r="J6" s="4" t="s">
        <v>1166</v>
      </c>
      <c r="K6" s="4" t="s">
        <v>2338</v>
      </c>
      <c r="L6" s="4"/>
      <c r="M6" s="4"/>
      <c r="O6" s="12" t="s">
        <v>1181</v>
      </c>
      <c r="P6" s="8">
        <v>11554</v>
      </c>
      <c r="Q6" s="9">
        <v>3.8399999999999997E-2</v>
      </c>
      <c r="S6" s="13" t="s">
        <v>1181</v>
      </c>
      <c r="T6" s="9">
        <v>0.99727540347311228</v>
      </c>
      <c r="U6" s="9">
        <v>0.99701445036464265</v>
      </c>
      <c r="V6" s="9">
        <v>0.99676674670643273</v>
      </c>
      <c r="W6" s="12">
        <v>0.97799999999999998</v>
      </c>
      <c r="X6" s="12">
        <v>0.97799999999999998</v>
      </c>
      <c r="Y6" s="12">
        <v>0.97399999999999998</v>
      </c>
      <c r="Z6" s="12">
        <v>0.99199999999999999</v>
      </c>
      <c r="AB6" s="15" t="s">
        <v>1181</v>
      </c>
      <c r="AC6" s="8">
        <v>11554</v>
      </c>
      <c r="AD6" s="9">
        <v>3.8399999999999997E-2</v>
      </c>
      <c r="AE6" s="8">
        <v>11857</v>
      </c>
      <c r="AF6" s="9">
        <v>0.06</v>
      </c>
      <c r="AG6" s="15">
        <v>51</v>
      </c>
      <c r="AH6" s="5" t="s">
        <v>2340</v>
      </c>
      <c r="AI6" s="9">
        <v>0.97693803703243087</v>
      </c>
      <c r="AJ6" s="9">
        <v>0.97722088477828284</v>
      </c>
      <c r="AK6" s="9">
        <v>0.97707488387823105</v>
      </c>
      <c r="AL6" s="21">
        <v>1</v>
      </c>
    </row>
    <row r="7" spans="2:38" x14ac:dyDescent="0.3">
      <c r="B7" s="12" t="s">
        <v>1182</v>
      </c>
      <c r="C7" s="3">
        <v>43</v>
      </c>
      <c r="D7" s="3">
        <v>27</v>
      </c>
      <c r="E7" s="3">
        <v>14</v>
      </c>
      <c r="F7" s="3">
        <v>6</v>
      </c>
      <c r="O7" s="12" t="s">
        <v>1182</v>
      </c>
      <c r="P7" s="8">
        <v>16212</v>
      </c>
      <c r="Q7" s="9">
        <v>2.5399999999999999E-2</v>
      </c>
      <c r="S7" s="13" t="s">
        <v>1182</v>
      </c>
      <c r="T7" s="9">
        <v>0.99743474655681186</v>
      </c>
      <c r="U7" s="9">
        <v>0.99709899822870895</v>
      </c>
      <c r="V7" s="9">
        <v>0.99677523109647959</v>
      </c>
      <c r="W7" s="12">
        <v>0.98199999999999998</v>
      </c>
      <c r="X7" s="12">
        <v>0.97799999999999998</v>
      </c>
      <c r="Y7" s="12">
        <v>0.97399999999999998</v>
      </c>
      <c r="Z7" s="12">
        <v>0.99199999999999999</v>
      </c>
      <c r="AB7" s="15" t="s">
        <v>1182</v>
      </c>
      <c r="AC7" s="8">
        <v>16212</v>
      </c>
      <c r="AD7" s="9">
        <v>2.5399999999999999E-2</v>
      </c>
      <c r="AE7" s="8">
        <v>15480</v>
      </c>
      <c r="AF7" s="9">
        <v>4.3999999999999997E-2</v>
      </c>
      <c r="AG7" s="15">
        <v>49</v>
      </c>
      <c r="AH7" s="5" t="s">
        <v>2341</v>
      </c>
      <c r="AI7" s="9">
        <v>0.97707310386679391</v>
      </c>
      <c r="AJ7" s="9">
        <v>0.97747543183240027</v>
      </c>
      <c r="AK7" s="9">
        <v>0.97727257826111535</v>
      </c>
      <c r="AL7" s="21">
        <v>1</v>
      </c>
    </row>
    <row r="8" spans="2:38" x14ac:dyDescent="0.3">
      <c r="B8" s="12" t="s">
        <v>1183</v>
      </c>
      <c r="C8" s="3">
        <v>38</v>
      </c>
      <c r="D8" s="3">
        <v>30</v>
      </c>
      <c r="E8" s="3">
        <v>17</v>
      </c>
      <c r="F8" s="3">
        <v>5</v>
      </c>
      <c r="I8" s="11" t="s">
        <v>1145</v>
      </c>
      <c r="J8" s="11" t="s">
        <v>1151</v>
      </c>
      <c r="L8" s="7"/>
      <c r="O8" s="12" t="s">
        <v>1183</v>
      </c>
      <c r="P8" s="8">
        <v>12030</v>
      </c>
      <c r="Q8" s="9">
        <v>4.1500000000000002E-2</v>
      </c>
      <c r="S8" s="13" t="s">
        <v>1183</v>
      </c>
      <c r="T8" s="9">
        <v>0.99692602488729687</v>
      </c>
      <c r="U8" s="9">
        <v>0.9968295693397522</v>
      </c>
      <c r="V8" s="9">
        <v>0.99674810568491623</v>
      </c>
      <c r="W8" s="12">
        <v>0.97799999999999998</v>
      </c>
      <c r="X8" s="12">
        <v>0.97899999999999998</v>
      </c>
      <c r="Y8" s="12">
        <v>0.97499999999999998</v>
      </c>
      <c r="Z8" s="12">
        <v>0.99199999999999999</v>
      </c>
      <c r="AB8" s="15" t="s">
        <v>1183</v>
      </c>
      <c r="AC8" s="8">
        <v>12030</v>
      </c>
      <c r="AD8" s="9">
        <v>4.1500000000000002E-2</v>
      </c>
      <c r="AE8" s="8">
        <v>11935</v>
      </c>
      <c r="AF8" s="9">
        <v>6.0999999999999999E-2</v>
      </c>
      <c r="AG8" s="15">
        <v>41</v>
      </c>
      <c r="AH8" s="5" t="s">
        <v>2342</v>
      </c>
      <c r="AI8" s="9">
        <v>0.97632084719159384</v>
      </c>
      <c r="AJ8" s="9">
        <v>0.97711000252853741</v>
      </c>
      <c r="AK8" s="9">
        <v>0.9767130728472363</v>
      </c>
      <c r="AL8" s="21">
        <v>1</v>
      </c>
    </row>
    <row r="9" spans="2:38" x14ac:dyDescent="0.3">
      <c r="B9" s="12" t="s">
        <v>1184</v>
      </c>
      <c r="C9" s="3">
        <v>33</v>
      </c>
      <c r="D9" s="3">
        <v>46</v>
      </c>
      <c r="E9" s="3">
        <v>5</v>
      </c>
      <c r="F9" s="3">
        <v>6</v>
      </c>
      <c r="I9" s="11" t="s">
        <v>1180</v>
      </c>
      <c r="J9" s="5" t="s">
        <v>1169</v>
      </c>
      <c r="L9" s="17"/>
      <c r="O9" s="12" t="s">
        <v>1184</v>
      </c>
      <c r="P9" s="8">
        <v>10466</v>
      </c>
      <c r="Q9" s="9">
        <v>0.135238738270366</v>
      </c>
      <c r="S9" s="13" t="s">
        <v>1184</v>
      </c>
      <c r="T9" s="9">
        <v>0.96877436108059356</v>
      </c>
      <c r="U9" s="9">
        <v>0.915704884131749</v>
      </c>
      <c r="V9" s="9">
        <v>0.88750714626577165</v>
      </c>
      <c r="W9" s="12">
        <v>0.78300000000000003</v>
      </c>
      <c r="X9" s="12">
        <v>0.85699999999999998</v>
      </c>
      <c r="Y9" s="12">
        <v>0.81899999999999995</v>
      </c>
      <c r="Z9" s="12">
        <v>0.83499999999999996</v>
      </c>
      <c r="AB9" s="15" t="s">
        <v>1184</v>
      </c>
      <c r="AC9" s="8">
        <v>10466</v>
      </c>
      <c r="AD9" s="9">
        <v>0.135238738270366</v>
      </c>
      <c r="AE9" s="8">
        <v>11756</v>
      </c>
      <c r="AF9" s="9">
        <v>6.8000000000000005E-2</v>
      </c>
      <c r="AG9" s="15">
        <v>58</v>
      </c>
      <c r="AH9" s="5" t="s">
        <v>2339</v>
      </c>
      <c r="AI9" s="9">
        <v>0.98034146969968627</v>
      </c>
      <c r="AJ9" s="9">
        <v>0.98118849030949851</v>
      </c>
      <c r="AK9" s="9">
        <v>0.98076294227079908</v>
      </c>
      <c r="AL9" s="21">
        <v>0.97727272727272729</v>
      </c>
    </row>
    <row r="10" spans="2:38" x14ac:dyDescent="0.3">
      <c r="B10" s="4" t="s">
        <v>1166</v>
      </c>
      <c r="C10" s="4"/>
      <c r="D10" s="4"/>
      <c r="E10" s="4"/>
      <c r="F10" s="4"/>
      <c r="I10" s="11" t="s">
        <v>1181</v>
      </c>
      <c r="J10" s="5" t="s">
        <v>1170</v>
      </c>
      <c r="L10" s="17"/>
      <c r="O10" s="36" t="s">
        <v>1164</v>
      </c>
      <c r="P10" s="37"/>
      <c r="Q10" s="4"/>
      <c r="S10" s="10" t="s">
        <v>1165</v>
      </c>
      <c r="T10" s="12" t="s">
        <v>1161</v>
      </c>
      <c r="U10" s="12"/>
      <c r="V10" s="12"/>
      <c r="W10" s="12"/>
      <c r="X10" s="12"/>
      <c r="Y10" s="12"/>
      <c r="Z10" s="12"/>
      <c r="AB10" s="22" t="s">
        <v>2352</v>
      </c>
    </row>
    <row r="11" spans="2:38" x14ac:dyDescent="0.3">
      <c r="I11" s="11" t="s">
        <v>1182</v>
      </c>
      <c r="J11" s="5" t="s">
        <v>1171</v>
      </c>
      <c r="L11" s="17"/>
      <c r="S11" s="16" t="s">
        <v>2325</v>
      </c>
    </row>
    <row r="12" spans="2:38" x14ac:dyDescent="0.3">
      <c r="I12" s="11" t="s">
        <v>1183</v>
      </c>
      <c r="J12" s="5" t="s">
        <v>1172</v>
      </c>
      <c r="L12" s="17"/>
    </row>
    <row r="13" spans="2:38" x14ac:dyDescent="0.3">
      <c r="I13" s="11" t="s">
        <v>1184</v>
      </c>
      <c r="J13" s="5" t="s">
        <v>1173</v>
      </c>
      <c r="L13" s="17"/>
      <c r="R13" s="7"/>
    </row>
    <row r="14" spans="2:38" x14ac:dyDescent="0.3">
      <c r="L14" s="7"/>
      <c r="R14" s="14"/>
    </row>
    <row r="15" spans="2:38" x14ac:dyDescent="0.3">
      <c r="L15" s="7"/>
      <c r="R15" s="14"/>
    </row>
    <row r="16" spans="2:38" x14ac:dyDescent="0.3">
      <c r="O16" s="31" t="s">
        <v>1944</v>
      </c>
      <c r="P16" s="31"/>
      <c r="Q16" s="31"/>
      <c r="R16" s="14"/>
      <c r="S16" s="31" t="s">
        <v>1145</v>
      </c>
      <c r="T16" s="31" t="s">
        <v>1157</v>
      </c>
      <c r="U16" s="31"/>
      <c r="V16" s="31"/>
      <c r="W16" s="13" t="s">
        <v>1175</v>
      </c>
      <c r="X16" s="31" t="s">
        <v>1176</v>
      </c>
      <c r="Y16" s="31"/>
      <c r="Z16" s="31"/>
    </row>
    <row r="17" spans="2:34" x14ac:dyDescent="0.3">
      <c r="O17" s="12" t="s">
        <v>1145</v>
      </c>
      <c r="P17" s="12" t="s">
        <v>1159</v>
      </c>
      <c r="Q17" s="12" t="s">
        <v>1160</v>
      </c>
      <c r="R17" s="14"/>
      <c r="S17" s="31"/>
      <c r="T17" s="13" t="s">
        <v>1152</v>
      </c>
      <c r="U17" s="13" t="s">
        <v>1154</v>
      </c>
      <c r="V17" s="13" t="s">
        <v>1153</v>
      </c>
      <c r="W17" s="13" t="s">
        <v>1174</v>
      </c>
      <c r="X17" s="13" t="s">
        <v>1177</v>
      </c>
      <c r="Y17" s="13" t="s">
        <v>1178</v>
      </c>
      <c r="Z17" s="13" t="s">
        <v>1179</v>
      </c>
    </row>
    <row r="18" spans="2:34" x14ac:dyDescent="0.3">
      <c r="O18" s="12" t="s">
        <v>1180</v>
      </c>
      <c r="P18" s="8">
        <v>23011</v>
      </c>
      <c r="Q18" s="9">
        <v>4.3999999999999997E-2</v>
      </c>
      <c r="R18" s="14"/>
      <c r="S18" s="13" t="s">
        <v>1180</v>
      </c>
      <c r="T18" s="9">
        <v>0.97835212471810251</v>
      </c>
      <c r="U18" s="9">
        <v>0.97884384204040875</v>
      </c>
      <c r="V18" s="9">
        <v>0.97859493236650119</v>
      </c>
      <c r="W18" s="13">
        <v>0.94499999999999995</v>
      </c>
      <c r="X18" s="13">
        <v>0.94499999999999995</v>
      </c>
      <c r="Y18" s="13">
        <v>0.90500000000000003</v>
      </c>
      <c r="Z18" s="13">
        <v>0.96599999999999997</v>
      </c>
      <c r="AB18" s="31" t="s">
        <v>1145</v>
      </c>
      <c r="AC18" s="31"/>
      <c r="AD18" s="15" t="s">
        <v>1180</v>
      </c>
      <c r="AE18" s="15" t="s">
        <v>1181</v>
      </c>
      <c r="AF18" s="15" t="s">
        <v>1182</v>
      </c>
      <c r="AG18" s="15" t="s">
        <v>1183</v>
      </c>
      <c r="AH18" s="15" t="s">
        <v>1184</v>
      </c>
    </row>
    <row r="19" spans="2:34" x14ac:dyDescent="0.3">
      <c r="O19" s="12" t="s">
        <v>1181</v>
      </c>
      <c r="P19" s="8">
        <v>11857</v>
      </c>
      <c r="Q19" s="9">
        <v>0.06</v>
      </c>
      <c r="R19" s="14"/>
      <c r="S19" s="13" t="s">
        <v>1181</v>
      </c>
      <c r="T19" s="9">
        <v>0.97693803703243087</v>
      </c>
      <c r="U19" s="9">
        <v>0.97722088477828284</v>
      </c>
      <c r="V19" s="9">
        <v>0.97707488387823105</v>
      </c>
      <c r="W19" s="13">
        <v>0.94099999999999995</v>
      </c>
      <c r="X19" s="13">
        <v>0.94299999999999995</v>
      </c>
      <c r="Y19" s="13">
        <v>0.90300000000000002</v>
      </c>
      <c r="Z19" s="13">
        <v>0.96299999999999997</v>
      </c>
      <c r="AB19" s="32" t="s">
        <v>2325</v>
      </c>
      <c r="AC19" s="10" t="s">
        <v>2353</v>
      </c>
      <c r="AD19" s="8">
        <v>18041</v>
      </c>
      <c r="AE19" s="8">
        <v>11554</v>
      </c>
      <c r="AF19" s="8">
        <v>16212</v>
      </c>
      <c r="AG19" s="8">
        <v>12030</v>
      </c>
      <c r="AH19" s="8">
        <v>10466</v>
      </c>
    </row>
    <row r="20" spans="2:34" x14ac:dyDescent="0.3">
      <c r="O20" s="12" t="s">
        <v>1182</v>
      </c>
      <c r="P20" s="8">
        <v>15480</v>
      </c>
      <c r="Q20" s="9">
        <v>4.3999999999999997E-2</v>
      </c>
      <c r="S20" s="13" t="s">
        <v>1182</v>
      </c>
      <c r="T20" s="9">
        <v>0.97707310386679391</v>
      </c>
      <c r="U20" s="9">
        <v>0.97747543183240027</v>
      </c>
      <c r="V20" s="9">
        <v>0.97727257826111535</v>
      </c>
      <c r="W20" s="13">
        <v>0.95</v>
      </c>
      <c r="X20" s="13">
        <v>0.95199999999999996</v>
      </c>
      <c r="Y20" s="13">
        <v>0.91200000000000003</v>
      </c>
      <c r="Z20" s="13">
        <v>0.97</v>
      </c>
      <c r="AB20" s="32"/>
      <c r="AC20" s="10" t="s">
        <v>1160</v>
      </c>
      <c r="AD20" s="9">
        <v>0.08</v>
      </c>
      <c r="AE20" s="9">
        <v>3.8399999999999997E-2</v>
      </c>
      <c r="AF20" s="9">
        <v>2.5399999999999999E-2</v>
      </c>
      <c r="AG20" s="9">
        <v>4.1500000000000002E-2</v>
      </c>
      <c r="AH20" s="9">
        <v>0.135238738270366</v>
      </c>
    </row>
    <row r="21" spans="2:34" x14ac:dyDescent="0.3">
      <c r="O21" s="12" t="s">
        <v>1183</v>
      </c>
      <c r="P21" s="8">
        <v>11935</v>
      </c>
      <c r="Q21" s="9">
        <v>6.0999999999999999E-2</v>
      </c>
      <c r="S21" s="13" t="s">
        <v>1183</v>
      </c>
      <c r="T21" s="9">
        <v>0.97632084719159384</v>
      </c>
      <c r="U21" s="9">
        <v>0.97711000252853741</v>
      </c>
      <c r="V21" s="9">
        <v>0.9767130728472363</v>
      </c>
      <c r="W21" s="9">
        <v>0.9474999999999999</v>
      </c>
      <c r="X21" s="9">
        <v>0.94983333333333331</v>
      </c>
      <c r="Y21" s="9">
        <v>0.90808333333333324</v>
      </c>
      <c r="Z21" s="9">
        <v>0.9674166666666667</v>
      </c>
      <c r="AB21" s="32" t="s">
        <v>2326</v>
      </c>
      <c r="AC21" s="10" t="s">
        <v>2353</v>
      </c>
      <c r="AD21" s="8">
        <v>23011</v>
      </c>
      <c r="AE21" s="8">
        <v>11857</v>
      </c>
      <c r="AF21" s="8">
        <v>15480</v>
      </c>
      <c r="AG21" s="8">
        <v>11935</v>
      </c>
      <c r="AH21" s="8">
        <v>11756</v>
      </c>
    </row>
    <row r="22" spans="2:34" x14ac:dyDescent="0.3">
      <c r="O22" s="12" t="s">
        <v>1184</v>
      </c>
      <c r="P22" s="8">
        <v>11756</v>
      </c>
      <c r="Q22" s="9">
        <v>6.8000000000000005E-2</v>
      </c>
      <c r="S22" s="13" t="s">
        <v>1184</v>
      </c>
      <c r="T22" s="9">
        <v>0.98034146969968627</v>
      </c>
      <c r="U22" s="9">
        <v>0.98118849030949851</v>
      </c>
      <c r="V22" s="9">
        <v>0.98076294227079908</v>
      </c>
      <c r="W22" s="13">
        <v>0.94399999999999995</v>
      </c>
      <c r="X22" s="13">
        <v>0.94699999999999995</v>
      </c>
      <c r="Y22" s="13">
        <v>0.90900000000000003</v>
      </c>
      <c r="Z22" s="13">
        <v>0.96599999999999997</v>
      </c>
      <c r="AB22" s="32"/>
      <c r="AC22" s="10" t="s">
        <v>1160</v>
      </c>
      <c r="AD22" s="9">
        <v>4.3999999999999997E-2</v>
      </c>
      <c r="AE22" s="9">
        <v>0.06</v>
      </c>
      <c r="AF22" s="9">
        <v>4.3999999999999997E-2</v>
      </c>
      <c r="AG22" s="9">
        <v>6.0999999999999999E-2</v>
      </c>
      <c r="AH22" s="9">
        <v>6.8000000000000005E-2</v>
      </c>
    </row>
    <row r="23" spans="2:34" x14ac:dyDescent="0.3">
      <c r="O23" s="36" t="s">
        <v>1945</v>
      </c>
      <c r="P23" s="37"/>
      <c r="Q23" s="4"/>
      <c r="S23" s="10" t="s">
        <v>2324</v>
      </c>
      <c r="T23" s="13" t="s">
        <v>1161</v>
      </c>
      <c r="U23" s="13"/>
      <c r="V23" s="13"/>
      <c r="W23" s="13"/>
      <c r="X23" s="13"/>
      <c r="Y23" s="13"/>
      <c r="Z23" s="13"/>
      <c r="AB23" s="32"/>
      <c r="AC23" s="15" t="s">
        <v>2330</v>
      </c>
      <c r="AD23" s="15">
        <v>60</v>
      </c>
      <c r="AE23" s="15">
        <v>51</v>
      </c>
      <c r="AF23" s="15">
        <v>49</v>
      </c>
      <c r="AG23" s="15">
        <v>41</v>
      </c>
      <c r="AH23" s="15">
        <v>58</v>
      </c>
    </row>
    <row r="24" spans="2:34" x14ac:dyDescent="0.3">
      <c r="S24" s="16" t="s">
        <v>2326</v>
      </c>
      <c r="AB24" s="32"/>
      <c r="AC24" s="15" t="s">
        <v>1151</v>
      </c>
      <c r="AD24" s="5" t="s">
        <v>1169</v>
      </c>
      <c r="AE24" s="5" t="s">
        <v>1170</v>
      </c>
      <c r="AF24" s="5" t="s">
        <v>1171</v>
      </c>
      <c r="AG24" s="5" t="s">
        <v>1172</v>
      </c>
      <c r="AH24" s="5" t="s">
        <v>1173</v>
      </c>
    </row>
    <row r="25" spans="2:34" x14ac:dyDescent="0.3">
      <c r="AB25" s="31" t="s">
        <v>1157</v>
      </c>
      <c r="AC25" s="15" t="s">
        <v>1152</v>
      </c>
      <c r="AD25" s="9">
        <v>0.97835212471810251</v>
      </c>
      <c r="AE25" s="9">
        <v>0.97693803703243087</v>
      </c>
      <c r="AF25" s="9">
        <v>0.97707310386679391</v>
      </c>
      <c r="AG25" s="9">
        <v>0.97632084719159384</v>
      </c>
      <c r="AH25" s="9">
        <v>0.98034146969968627</v>
      </c>
    </row>
    <row r="26" spans="2:34" x14ac:dyDescent="0.3">
      <c r="V26" s="4"/>
      <c r="W26" s="13" t="s">
        <v>1174</v>
      </c>
      <c r="X26" s="13" t="s">
        <v>1177</v>
      </c>
      <c r="Y26" s="13" t="s">
        <v>1178</v>
      </c>
      <c r="Z26" s="13" t="s">
        <v>1179</v>
      </c>
      <c r="AB26" s="31"/>
      <c r="AC26" s="15" t="s">
        <v>1154</v>
      </c>
      <c r="AD26" s="9">
        <v>0.97884384204040875</v>
      </c>
      <c r="AE26" s="9">
        <v>0.97722088477828284</v>
      </c>
      <c r="AF26" s="9">
        <v>0.97747543183240027</v>
      </c>
      <c r="AG26" s="9">
        <v>0.97711000252853741</v>
      </c>
      <c r="AH26" s="9">
        <v>0.98118849030949851</v>
      </c>
    </row>
    <row r="27" spans="2:34" x14ac:dyDescent="0.3">
      <c r="V27" s="4">
        <v>0</v>
      </c>
      <c r="W27" s="4">
        <v>0.93700000000000006</v>
      </c>
      <c r="X27" s="4">
        <v>0.93899999999999995</v>
      </c>
      <c r="Y27" s="4">
        <v>0.89100000000000001</v>
      </c>
      <c r="Z27" s="4">
        <v>0.96199999999999997</v>
      </c>
      <c r="AB27" s="31"/>
      <c r="AC27" s="15" t="s">
        <v>1153</v>
      </c>
      <c r="AD27" s="9">
        <v>0.97859493236650119</v>
      </c>
      <c r="AE27" s="9">
        <v>0.97707488387823105</v>
      </c>
      <c r="AF27" s="9">
        <v>0.97727257826111535</v>
      </c>
      <c r="AG27" s="9">
        <v>0.9767130728472363</v>
      </c>
      <c r="AH27" s="9">
        <v>0.98076294227079908</v>
      </c>
    </row>
    <row r="28" spans="2:34" x14ac:dyDescent="0.3">
      <c r="V28" s="4">
        <v>1</v>
      </c>
      <c r="W28" s="4">
        <v>0.94</v>
      </c>
      <c r="X28" s="4">
        <v>0.93799999999999994</v>
      </c>
      <c r="Y28" s="4">
        <v>0.89</v>
      </c>
      <c r="Z28" s="4">
        <v>0.96399999999999997</v>
      </c>
      <c r="AB28" s="33" t="s">
        <v>2351</v>
      </c>
      <c r="AC28" s="35"/>
      <c r="AD28" s="21">
        <v>0.97727272727272696</v>
      </c>
      <c r="AE28" s="21">
        <v>1</v>
      </c>
      <c r="AF28" s="21">
        <v>1</v>
      </c>
      <c r="AG28" s="21">
        <v>1</v>
      </c>
      <c r="AH28" s="21">
        <v>0.97727272727272729</v>
      </c>
    </row>
    <row r="29" spans="2:34" x14ac:dyDescent="0.3">
      <c r="V29" s="4">
        <v>2</v>
      </c>
      <c r="W29" s="4">
        <v>0.94199999999999995</v>
      </c>
      <c r="X29" s="4">
        <v>0.94099999999999995</v>
      </c>
      <c r="Y29" s="4">
        <v>0.89500000000000002</v>
      </c>
      <c r="Z29" s="4">
        <v>0.96599999999999997</v>
      </c>
    </row>
    <row r="30" spans="2:34" x14ac:dyDescent="0.3">
      <c r="V30" s="4">
        <v>3</v>
      </c>
      <c r="W30" s="4">
        <v>0.93899999999999995</v>
      </c>
      <c r="X30" s="4">
        <v>0.94499999999999995</v>
      </c>
      <c r="Y30" s="4">
        <v>0.89900000000000002</v>
      </c>
      <c r="Z30" s="4">
        <v>0.96499999999999997</v>
      </c>
    </row>
    <row r="31" spans="2:34" x14ac:dyDescent="0.3">
      <c r="B31" s="13" t="s">
        <v>1145</v>
      </c>
      <c r="C31" s="13" t="s">
        <v>2330</v>
      </c>
      <c r="D31" s="13" t="s">
        <v>2331</v>
      </c>
      <c r="E31" s="13" t="s">
        <v>2332</v>
      </c>
      <c r="F31" s="13" t="s">
        <v>2333</v>
      </c>
      <c r="V31" s="4">
        <v>4</v>
      </c>
      <c r="W31" s="4">
        <v>0.94599999999999995</v>
      </c>
      <c r="X31" s="4">
        <v>0.95499999999999996</v>
      </c>
      <c r="Y31" s="4">
        <v>0.91300000000000003</v>
      </c>
      <c r="Z31" s="4">
        <v>0.96799999999999997</v>
      </c>
    </row>
    <row r="32" spans="2:34" x14ac:dyDescent="0.3">
      <c r="B32" s="13" t="s">
        <v>1180</v>
      </c>
      <c r="C32" s="13">
        <v>60</v>
      </c>
      <c r="D32" s="13">
        <v>12</v>
      </c>
      <c r="E32" s="13">
        <v>6</v>
      </c>
      <c r="F32" s="13">
        <v>10</v>
      </c>
      <c r="V32" s="4">
        <v>5</v>
      </c>
      <c r="W32" s="4">
        <v>0.94499999999999995</v>
      </c>
      <c r="X32" s="4">
        <v>0.95299999999999996</v>
      </c>
      <c r="Y32" s="4">
        <v>0.91200000000000003</v>
      </c>
      <c r="Z32" s="4">
        <v>0.96799999999999997</v>
      </c>
    </row>
    <row r="33" spans="2:26" x14ac:dyDescent="0.3">
      <c r="B33" s="13" t="s">
        <v>1181</v>
      </c>
      <c r="C33" s="13">
        <v>51</v>
      </c>
      <c r="D33" s="13">
        <v>16</v>
      </c>
      <c r="E33" s="13">
        <v>7</v>
      </c>
      <c r="F33" s="13">
        <v>14</v>
      </c>
      <c r="I33" s="31" t="s">
        <v>1151</v>
      </c>
      <c r="J33" s="31"/>
      <c r="K33" s="31"/>
      <c r="L33" s="31"/>
      <c r="M33" s="31"/>
      <c r="V33" s="4">
        <v>6</v>
      </c>
      <c r="W33" s="4">
        <v>0.94699999999999995</v>
      </c>
      <c r="X33" s="4">
        <v>0.95699999999999996</v>
      </c>
      <c r="Y33" s="4">
        <v>0.91700000000000004</v>
      </c>
      <c r="Z33" s="4">
        <v>0.96899999999999997</v>
      </c>
    </row>
    <row r="34" spans="2:26" x14ac:dyDescent="0.3">
      <c r="B34" s="13" t="s">
        <v>1182</v>
      </c>
      <c r="C34" s="13">
        <v>49</v>
      </c>
      <c r="D34" s="13">
        <v>16</v>
      </c>
      <c r="E34" s="13">
        <v>12</v>
      </c>
      <c r="F34" s="13">
        <v>11</v>
      </c>
      <c r="I34" s="13" t="s">
        <v>1144</v>
      </c>
      <c r="J34" s="13" t="s">
        <v>1146</v>
      </c>
      <c r="K34" s="13" t="s">
        <v>1148</v>
      </c>
      <c r="L34" s="13" t="s">
        <v>1149</v>
      </c>
      <c r="M34" s="13" t="s">
        <v>1150</v>
      </c>
      <c r="V34" s="4">
        <v>7</v>
      </c>
      <c r="W34" s="4">
        <v>0.95299999999999996</v>
      </c>
      <c r="X34" s="4">
        <v>0.95099999999999996</v>
      </c>
      <c r="Y34" s="4">
        <v>0.90800000000000003</v>
      </c>
      <c r="Z34" s="4">
        <v>0.96699999999999997</v>
      </c>
    </row>
    <row r="35" spans="2:26" x14ac:dyDescent="0.3">
      <c r="B35" s="13" t="s">
        <v>1183</v>
      </c>
      <c r="C35" s="13">
        <v>41</v>
      </c>
      <c r="D35" s="13">
        <v>20</v>
      </c>
      <c r="E35" s="13">
        <v>13</v>
      </c>
      <c r="F35" s="13">
        <v>14</v>
      </c>
      <c r="I35" s="5" t="s">
        <v>2339</v>
      </c>
      <c r="J35" s="5" t="s">
        <v>2340</v>
      </c>
      <c r="K35" s="5" t="s">
        <v>2341</v>
      </c>
      <c r="L35" s="5" t="s">
        <v>2342</v>
      </c>
      <c r="M35" s="5" t="s">
        <v>2339</v>
      </c>
      <c r="V35" s="4">
        <v>8</v>
      </c>
      <c r="W35" s="4">
        <v>0.96099999999999997</v>
      </c>
      <c r="X35" s="4">
        <v>0.95899999999999996</v>
      </c>
      <c r="Y35" s="4">
        <v>0.92900000000000005</v>
      </c>
      <c r="Z35" s="4">
        <v>0.97199999999999998</v>
      </c>
    </row>
    <row r="36" spans="2:26" x14ac:dyDescent="0.3">
      <c r="B36" s="13" t="s">
        <v>1184</v>
      </c>
      <c r="C36" s="13">
        <v>58</v>
      </c>
      <c r="D36" s="13">
        <v>11</v>
      </c>
      <c r="E36" s="13">
        <v>3</v>
      </c>
      <c r="F36" s="13">
        <v>16</v>
      </c>
      <c r="I36" s="4" t="s">
        <v>1161</v>
      </c>
      <c r="J36" s="4" t="s">
        <v>2336</v>
      </c>
      <c r="K36" s="4" t="s">
        <v>2337</v>
      </c>
      <c r="L36" s="4"/>
      <c r="M36" s="4"/>
      <c r="V36" s="4">
        <v>9</v>
      </c>
      <c r="W36" s="4">
        <v>0.95899999999999996</v>
      </c>
      <c r="X36" s="4">
        <v>0.95799999999999996</v>
      </c>
      <c r="Y36" s="4">
        <v>0.92700000000000005</v>
      </c>
      <c r="Z36" s="4">
        <v>0.97299999999999998</v>
      </c>
    </row>
    <row r="37" spans="2:26" x14ac:dyDescent="0.3">
      <c r="B37" s="4" t="s">
        <v>1166</v>
      </c>
      <c r="C37" s="4" t="s">
        <v>2326</v>
      </c>
      <c r="D37" s="4"/>
      <c r="E37" s="4"/>
      <c r="F37" s="4"/>
      <c r="V37" s="4">
        <v>10</v>
      </c>
      <c r="W37" s="4">
        <v>0.95399999999999996</v>
      </c>
      <c r="X37" s="4">
        <v>0.95399999999999996</v>
      </c>
      <c r="Y37" s="4">
        <v>0.91400000000000003</v>
      </c>
      <c r="Z37" s="4">
        <v>0.97</v>
      </c>
    </row>
    <row r="38" spans="2:26" x14ac:dyDescent="0.3">
      <c r="I38" t="s">
        <v>2346</v>
      </c>
      <c r="V38" s="4">
        <v>11</v>
      </c>
      <c r="W38" s="4">
        <v>0.94699999999999995</v>
      </c>
      <c r="X38" s="4">
        <v>0.94799999999999995</v>
      </c>
      <c r="Y38" s="4">
        <v>0.90200000000000002</v>
      </c>
      <c r="Z38" s="4">
        <v>0.96499999999999997</v>
      </c>
    </row>
    <row r="39" spans="2:26" x14ac:dyDescent="0.3">
      <c r="I39" s="15" t="s">
        <v>1145</v>
      </c>
      <c r="J39" s="15" t="s">
        <v>2346</v>
      </c>
      <c r="K39" s="4" t="s">
        <v>2349</v>
      </c>
      <c r="V39" s="4"/>
      <c r="W39" s="4">
        <f>AVERAGE(W27:W38)</f>
        <v>0.9474999999999999</v>
      </c>
      <c r="X39" s="4">
        <f t="shared" ref="X39:Z39" si="0">AVERAGE(X27:X38)</f>
        <v>0.94983333333333331</v>
      </c>
      <c r="Y39" s="4">
        <f t="shared" si="0"/>
        <v>0.90808333333333324</v>
      </c>
      <c r="Z39" s="4">
        <f t="shared" si="0"/>
        <v>0.9674166666666667</v>
      </c>
    </row>
    <row r="40" spans="2:26" x14ac:dyDescent="0.3">
      <c r="I40" s="15" t="s">
        <v>1180</v>
      </c>
      <c r="J40" s="19">
        <f>K40/L40</f>
        <v>0.97727272727272729</v>
      </c>
      <c r="K40" s="4">
        <v>86</v>
      </c>
      <c r="L40">
        <v>88</v>
      </c>
      <c r="V40" s="4"/>
      <c r="W40" s="4" t="s">
        <v>2327</v>
      </c>
      <c r="X40" s="4"/>
      <c r="Y40" s="4"/>
      <c r="Z40" s="4"/>
    </row>
    <row r="41" spans="2:26" x14ac:dyDescent="0.3">
      <c r="I41" s="15" t="s">
        <v>1181</v>
      </c>
      <c r="J41" s="19">
        <f t="shared" ref="J41:J44" si="1">K41/L41</f>
        <v>1</v>
      </c>
      <c r="K41" s="4">
        <v>88</v>
      </c>
      <c r="L41">
        <v>88</v>
      </c>
    </row>
    <row r="42" spans="2:26" x14ac:dyDescent="0.3">
      <c r="I42" s="15" t="s">
        <v>1182</v>
      </c>
      <c r="J42" s="19">
        <f t="shared" si="1"/>
        <v>1</v>
      </c>
      <c r="K42" s="4">
        <v>88</v>
      </c>
      <c r="L42">
        <v>88</v>
      </c>
    </row>
    <row r="43" spans="2:26" x14ac:dyDescent="0.3">
      <c r="I43" s="15" t="s">
        <v>1183</v>
      </c>
      <c r="J43" s="19">
        <f t="shared" si="1"/>
        <v>1</v>
      </c>
      <c r="K43" s="4">
        <v>88</v>
      </c>
      <c r="L43">
        <v>88</v>
      </c>
    </row>
    <row r="44" spans="2:26" x14ac:dyDescent="0.3">
      <c r="I44" s="15" t="s">
        <v>1184</v>
      </c>
      <c r="J44" s="19">
        <f t="shared" si="1"/>
        <v>0.97727272727272729</v>
      </c>
      <c r="K44" s="4">
        <v>86</v>
      </c>
      <c r="L44">
        <v>88</v>
      </c>
    </row>
    <row r="46" spans="2:26" x14ac:dyDescent="0.3">
      <c r="I46" s="13" t="s">
        <v>1145</v>
      </c>
      <c r="J46" s="13" t="s">
        <v>1151</v>
      </c>
      <c r="O46" s="4" t="s">
        <v>2350</v>
      </c>
      <c r="P46" s="4" t="s">
        <v>2348</v>
      </c>
      <c r="Q46" s="4" t="s">
        <v>2351</v>
      </c>
    </row>
    <row r="47" spans="2:26" x14ac:dyDescent="0.3">
      <c r="I47" s="13" t="s">
        <v>1144</v>
      </c>
      <c r="J47" s="5" t="s">
        <v>2339</v>
      </c>
      <c r="L47">
        <v>0.97727272727272729</v>
      </c>
      <c r="O47" s="4" t="s">
        <v>1180</v>
      </c>
      <c r="P47" s="4">
        <v>86</v>
      </c>
      <c r="Q47" s="21">
        <v>0.97727272727272696</v>
      </c>
    </row>
    <row r="48" spans="2:26" x14ac:dyDescent="0.3">
      <c r="I48" s="13" t="s">
        <v>1146</v>
      </c>
      <c r="J48" s="5" t="s">
        <v>2340</v>
      </c>
      <c r="L48">
        <v>1</v>
      </c>
      <c r="O48" s="4" t="s">
        <v>1181</v>
      </c>
      <c r="P48" s="4">
        <v>88</v>
      </c>
      <c r="Q48" s="21">
        <v>1</v>
      </c>
    </row>
    <row r="49" spans="9:29" x14ac:dyDescent="0.3">
      <c r="I49" s="13" t="s">
        <v>1148</v>
      </c>
      <c r="J49" s="5" t="s">
        <v>2341</v>
      </c>
      <c r="L49">
        <v>1</v>
      </c>
      <c r="O49" s="4" t="s">
        <v>1182</v>
      </c>
      <c r="P49" s="4">
        <v>88</v>
      </c>
      <c r="Q49" s="21">
        <v>1</v>
      </c>
    </row>
    <row r="50" spans="9:29" x14ac:dyDescent="0.3">
      <c r="I50" s="13" t="s">
        <v>1149</v>
      </c>
      <c r="J50" s="5" t="s">
        <v>2342</v>
      </c>
      <c r="L50">
        <v>1</v>
      </c>
      <c r="O50" s="4" t="s">
        <v>1183</v>
      </c>
      <c r="P50" s="4">
        <v>88</v>
      </c>
      <c r="Q50" s="21">
        <v>1</v>
      </c>
    </row>
    <row r="51" spans="9:29" x14ac:dyDescent="0.3">
      <c r="I51" s="13" t="s">
        <v>1150</v>
      </c>
      <c r="J51" s="5" t="s">
        <v>2339</v>
      </c>
      <c r="L51">
        <v>0.97727272727272729</v>
      </c>
      <c r="O51" s="4" t="s">
        <v>1184</v>
      </c>
      <c r="P51" s="4">
        <v>86</v>
      </c>
      <c r="Q51" s="21">
        <v>0.97727272727272729</v>
      </c>
    </row>
    <row r="53" spans="9:29" x14ac:dyDescent="0.3">
      <c r="X53" s="23" t="s">
        <v>1145</v>
      </c>
      <c r="Y53" s="24" t="s">
        <v>1180</v>
      </c>
      <c r="Z53" s="24" t="s">
        <v>1181</v>
      </c>
      <c r="AA53" s="24" t="s">
        <v>1182</v>
      </c>
      <c r="AB53" s="24" t="s">
        <v>1183</v>
      </c>
      <c r="AC53" s="24" t="s">
        <v>1184</v>
      </c>
    </row>
    <row r="54" spans="9:29" x14ac:dyDescent="0.3">
      <c r="X54" s="24" t="s">
        <v>1152</v>
      </c>
      <c r="Y54" s="9">
        <v>0.97835212471810251</v>
      </c>
      <c r="Z54" s="9">
        <v>0.97693803703243087</v>
      </c>
      <c r="AA54" s="9">
        <v>0.97707310386679391</v>
      </c>
      <c r="AB54" s="9">
        <v>0.97632084719159384</v>
      </c>
      <c r="AC54" s="9">
        <v>0.98034146969968627</v>
      </c>
    </row>
    <row r="55" spans="9:29" x14ac:dyDescent="0.3">
      <c r="X55" s="24" t="s">
        <v>1154</v>
      </c>
      <c r="Y55" s="9">
        <v>0.97884384204040875</v>
      </c>
      <c r="Z55" s="9">
        <v>0.97722088477828284</v>
      </c>
      <c r="AA55" s="9">
        <v>0.97747543183240027</v>
      </c>
      <c r="AB55" s="9">
        <v>0.97711000252853741</v>
      </c>
      <c r="AC55" s="9">
        <v>0.98118849030949851</v>
      </c>
    </row>
    <row r="56" spans="9:29" x14ac:dyDescent="0.3">
      <c r="X56" s="24" t="s">
        <v>1153</v>
      </c>
      <c r="Y56" s="9">
        <v>0.97859493236650119</v>
      </c>
      <c r="Z56" s="9">
        <v>0.97707488387823105</v>
      </c>
      <c r="AA56" s="9">
        <v>0.97727257826111535</v>
      </c>
      <c r="AB56" s="9">
        <v>0.9767130728472363</v>
      </c>
      <c r="AC56" s="9">
        <v>0.98076294227079908</v>
      </c>
    </row>
    <row r="57" spans="9:29" x14ac:dyDescent="0.3">
      <c r="X57" s="24" t="s">
        <v>1174</v>
      </c>
      <c r="Y57" s="24">
        <v>0.94499999999999995</v>
      </c>
      <c r="Z57" s="24">
        <v>0.94099999999999995</v>
      </c>
      <c r="AA57" s="24">
        <v>0.95</v>
      </c>
      <c r="AB57" s="9">
        <v>0.9474999999999999</v>
      </c>
      <c r="AC57" s="24">
        <v>0.94399999999999995</v>
      </c>
    </row>
    <row r="58" spans="9:29" x14ac:dyDescent="0.3">
      <c r="X58" s="24" t="s">
        <v>1179</v>
      </c>
      <c r="Y58" s="24">
        <v>0.96599999999999997</v>
      </c>
      <c r="Z58" s="24">
        <v>0.96299999999999997</v>
      </c>
      <c r="AA58" s="24">
        <v>0.97</v>
      </c>
      <c r="AB58" s="9">
        <v>0.9674166666666667</v>
      </c>
      <c r="AC58" s="24">
        <v>0.96599999999999997</v>
      </c>
    </row>
    <row r="59" spans="9:29" x14ac:dyDescent="0.3">
      <c r="X59" t="s">
        <v>2359</v>
      </c>
      <c r="Y59" s="5" t="s">
        <v>1169</v>
      </c>
      <c r="Z59" s="5" t="s">
        <v>1170</v>
      </c>
      <c r="AA59" s="5" t="s">
        <v>1171</v>
      </c>
      <c r="AB59" s="5" t="s">
        <v>1172</v>
      </c>
      <c r="AC59" s="5" t="s">
        <v>1173</v>
      </c>
    </row>
    <row r="60" spans="9:29" x14ac:dyDescent="0.3">
      <c r="X60" s="24" t="s">
        <v>2360</v>
      </c>
      <c r="Y60" s="9">
        <v>4.3999999999999997E-2</v>
      </c>
      <c r="Z60" s="9">
        <v>0.06</v>
      </c>
      <c r="AA60" s="9">
        <v>4.3999999999999997E-2</v>
      </c>
      <c r="AB60" s="9">
        <v>6.0999999999999999E-2</v>
      </c>
      <c r="AC60" s="9">
        <v>6.8000000000000005E-2</v>
      </c>
    </row>
    <row r="61" spans="9:29" x14ac:dyDescent="0.3">
      <c r="X61" s="25" t="s">
        <v>2361</v>
      </c>
      <c r="Y61" s="8">
        <v>23011</v>
      </c>
      <c r="Z61" s="8">
        <v>11857</v>
      </c>
      <c r="AA61" s="8">
        <v>15480</v>
      </c>
      <c r="AB61" s="8">
        <v>11935</v>
      </c>
      <c r="AC61" s="8">
        <v>11756</v>
      </c>
    </row>
    <row r="64" spans="9:29" x14ac:dyDescent="0.3">
      <c r="I64" s="23"/>
      <c r="J64" s="23" t="s">
        <v>1145</v>
      </c>
      <c r="K64" s="20" t="s">
        <v>1180</v>
      </c>
      <c r="L64" s="20" t="s">
        <v>1181</v>
      </c>
      <c r="M64" s="20" t="s">
        <v>1182</v>
      </c>
      <c r="N64" s="20" t="s">
        <v>1183</v>
      </c>
      <c r="O64" s="20" t="s">
        <v>1184</v>
      </c>
    </row>
    <row r="65" spans="9:15" x14ac:dyDescent="0.3">
      <c r="I65" s="31"/>
      <c r="J65" s="20" t="s">
        <v>1152</v>
      </c>
      <c r="K65" s="9">
        <v>0.99596283170912003</v>
      </c>
      <c r="L65" s="9">
        <v>0.99727540347311228</v>
      </c>
      <c r="M65" s="9">
        <v>0.99743474655681186</v>
      </c>
      <c r="N65" s="9">
        <v>0.99692602488729687</v>
      </c>
      <c r="O65" s="9">
        <v>0.96877436108059356</v>
      </c>
    </row>
    <row r="66" spans="9:15" x14ac:dyDescent="0.3">
      <c r="I66" s="31"/>
      <c r="J66" s="20" t="s">
        <v>1154</v>
      </c>
      <c r="K66" s="9">
        <v>0.99606838226318362</v>
      </c>
      <c r="L66" s="9">
        <v>0.99701445036464265</v>
      </c>
      <c r="M66" s="9">
        <v>0.99709899822870895</v>
      </c>
      <c r="N66" s="9">
        <v>0.9968295693397522</v>
      </c>
      <c r="O66" s="9">
        <v>0.915704884131749</v>
      </c>
    </row>
    <row r="67" spans="9:15" x14ac:dyDescent="0.3">
      <c r="I67" s="31"/>
      <c r="J67" s="20" t="s">
        <v>1153</v>
      </c>
      <c r="K67" s="9">
        <v>0.99619594083891971</v>
      </c>
      <c r="L67" s="9">
        <v>0.99676674670643273</v>
      </c>
      <c r="M67" s="9">
        <v>0.99677523109647959</v>
      </c>
      <c r="N67" s="9">
        <v>0.99674810568491623</v>
      </c>
      <c r="O67" s="9">
        <v>0.88750714626577165</v>
      </c>
    </row>
    <row r="68" spans="9:15" x14ac:dyDescent="0.3">
      <c r="I68" s="20"/>
      <c r="J68" s="20" t="s">
        <v>1174</v>
      </c>
      <c r="K68" s="20">
        <v>0.97699999999999998</v>
      </c>
      <c r="L68" s="20">
        <v>0.97799999999999998</v>
      </c>
      <c r="M68" s="20">
        <v>0.98199999999999998</v>
      </c>
      <c r="N68" s="20">
        <v>0.97799999999999998</v>
      </c>
      <c r="O68" s="20">
        <v>0.78300000000000003</v>
      </c>
    </row>
    <row r="69" spans="9:15" x14ac:dyDescent="0.3">
      <c r="I69" s="31"/>
      <c r="J69" s="20" t="s">
        <v>1179</v>
      </c>
      <c r="K69" s="20">
        <v>0.99199999999999999</v>
      </c>
      <c r="L69" s="20">
        <v>0.99199999999999999</v>
      </c>
      <c r="M69" s="20">
        <v>0.99199999999999999</v>
      </c>
      <c r="N69" s="20">
        <v>0.99199999999999999</v>
      </c>
      <c r="O69" s="20">
        <v>0.83499999999999996</v>
      </c>
    </row>
    <row r="70" spans="9:15" x14ac:dyDescent="0.3">
      <c r="I70" s="31"/>
      <c r="J70" t="s">
        <v>2359</v>
      </c>
      <c r="K70" t="s">
        <v>2354</v>
      </c>
      <c r="L70" t="s">
        <v>2355</v>
      </c>
      <c r="M70" t="s">
        <v>2356</v>
      </c>
      <c r="N70" t="s">
        <v>2357</v>
      </c>
      <c r="O70" t="s">
        <v>2358</v>
      </c>
    </row>
    <row r="71" spans="9:15" x14ac:dyDescent="0.3">
      <c r="I71" s="31"/>
      <c r="J71" s="20" t="s">
        <v>2360</v>
      </c>
      <c r="K71" s="9">
        <v>0.08</v>
      </c>
      <c r="L71" s="9">
        <v>3.8399999999999997E-2</v>
      </c>
      <c r="M71" s="9">
        <v>2.5399999999999999E-2</v>
      </c>
      <c r="N71" s="9">
        <v>4.1500000000000002E-2</v>
      </c>
      <c r="O71" s="9">
        <v>0.135238738270366</v>
      </c>
    </row>
    <row r="72" spans="9:15" x14ac:dyDescent="0.3">
      <c r="J72" s="25" t="s">
        <v>2361</v>
      </c>
      <c r="K72" s="8">
        <v>18041</v>
      </c>
      <c r="L72" s="8">
        <v>11554</v>
      </c>
      <c r="M72" s="8">
        <v>16212</v>
      </c>
      <c r="N72" s="8">
        <v>12030</v>
      </c>
      <c r="O72" s="8">
        <v>10466</v>
      </c>
    </row>
    <row r="77" spans="9:15" x14ac:dyDescent="0.3">
      <c r="I77" s="26" t="s">
        <v>1145</v>
      </c>
      <c r="J77" s="4" t="s">
        <v>2376</v>
      </c>
      <c r="K77" s="4" t="s">
        <v>2377</v>
      </c>
      <c r="L77" s="4" t="s">
        <v>2378</v>
      </c>
    </row>
    <row r="78" spans="9:15" x14ac:dyDescent="0.3">
      <c r="I78" s="26" t="s">
        <v>1144</v>
      </c>
      <c r="J78" s="4">
        <v>53.3675</v>
      </c>
      <c r="K78" s="4">
        <v>52.199800000000003</v>
      </c>
      <c r="L78" s="4">
        <v>50.937899999999999</v>
      </c>
      <c r="M78">
        <f>_xlfn.STDEV.P(K78,J78,L78)</f>
        <v>0.99212852326030188</v>
      </c>
      <c r="N78">
        <f>AVERAGE(J78:L78)</f>
        <v>52.168399999999998</v>
      </c>
    </row>
    <row r="79" spans="9:15" x14ac:dyDescent="0.3">
      <c r="I79" s="26" t="s">
        <v>1146</v>
      </c>
      <c r="J79" s="4">
        <v>26.059100000000001</v>
      </c>
      <c r="K79" s="4">
        <v>25.406199999999998</v>
      </c>
      <c r="L79" s="4">
        <v>25.747499999999999</v>
      </c>
      <c r="M79">
        <f t="shared" ref="M79:M82" si="2">_xlfn.STDEV.P(K79,J79,L79)</f>
        <v>0.26663721920742273</v>
      </c>
      <c r="N79">
        <f t="shared" ref="N79:N82" si="3">AVERAGE(J79:L79)</f>
        <v>25.7376</v>
      </c>
    </row>
    <row r="80" spans="9:15" x14ac:dyDescent="0.3">
      <c r="I80" s="26" t="s">
        <v>1148</v>
      </c>
      <c r="J80" s="4">
        <v>34.227400000000003</v>
      </c>
      <c r="K80" s="4">
        <v>34.587699999999998</v>
      </c>
      <c r="L80" s="4">
        <v>34.686399999999999</v>
      </c>
      <c r="M80">
        <f t="shared" si="2"/>
        <v>0.19726991661173082</v>
      </c>
      <c r="N80">
        <f t="shared" si="3"/>
        <v>34.500499999999995</v>
      </c>
    </row>
    <row r="81" spans="9:16" x14ac:dyDescent="0.3">
      <c r="I81" s="26" t="s">
        <v>1149</v>
      </c>
      <c r="J81" s="4">
        <v>27.2195</v>
      </c>
      <c r="K81" s="4">
        <v>27.32</v>
      </c>
      <c r="L81" s="4">
        <v>26.664400000000001</v>
      </c>
      <c r="M81">
        <f t="shared" si="2"/>
        <v>0.28829915404354228</v>
      </c>
      <c r="N81">
        <f t="shared" si="3"/>
        <v>27.067966666666667</v>
      </c>
    </row>
    <row r="82" spans="9:16" x14ac:dyDescent="0.3">
      <c r="I82" s="26" t="s">
        <v>1150</v>
      </c>
      <c r="J82" s="4">
        <v>25.6997</v>
      </c>
      <c r="K82" s="4">
        <v>25.411899999999999</v>
      </c>
      <c r="L82" s="4">
        <v>25.1341</v>
      </c>
      <c r="M82">
        <f t="shared" si="2"/>
        <v>0.23091726272026999</v>
      </c>
      <c r="N82">
        <f t="shared" si="3"/>
        <v>25.415233333333333</v>
      </c>
    </row>
    <row r="85" spans="9:16" x14ac:dyDescent="0.3">
      <c r="I85" s="31" t="s">
        <v>1145</v>
      </c>
      <c r="J85" s="32" t="s">
        <v>2381</v>
      </c>
      <c r="K85" s="32"/>
      <c r="L85" s="32" t="s">
        <v>2382</v>
      </c>
      <c r="M85" s="32"/>
    </row>
    <row r="86" spans="9:16" x14ac:dyDescent="0.3">
      <c r="I86" s="31"/>
      <c r="J86" s="4" t="s">
        <v>2379</v>
      </c>
      <c r="K86" s="4" t="s">
        <v>2380</v>
      </c>
      <c r="L86" s="4" t="s">
        <v>2379</v>
      </c>
      <c r="M86" s="4" t="s">
        <v>2380</v>
      </c>
      <c r="O86" s="4" t="s">
        <v>2379</v>
      </c>
      <c r="P86" s="4" t="s">
        <v>2380</v>
      </c>
    </row>
    <row r="87" spans="9:16" x14ac:dyDescent="0.3">
      <c r="I87" s="27" t="s">
        <v>1180</v>
      </c>
      <c r="J87" s="4">
        <v>1023.9</v>
      </c>
      <c r="K87" s="4">
        <v>487.6</v>
      </c>
      <c r="L87">
        <v>28.426666666666666</v>
      </c>
      <c r="M87" s="4">
        <v>16.185227272727271</v>
      </c>
      <c r="O87">
        <v>852.8</v>
      </c>
      <c r="P87">
        <v>1424.3</v>
      </c>
    </row>
    <row r="88" spans="9:16" x14ac:dyDescent="0.3">
      <c r="I88" s="27" t="s">
        <v>1181</v>
      </c>
      <c r="J88" s="4">
        <v>986.7</v>
      </c>
      <c r="K88" s="4">
        <v>486.1</v>
      </c>
      <c r="L88">
        <v>18.733333333333334</v>
      </c>
      <c r="M88" s="4">
        <v>9.713636363636363</v>
      </c>
      <c r="O88">
        <v>562</v>
      </c>
      <c r="P88">
        <v>854.8</v>
      </c>
    </row>
    <row r="89" spans="9:16" x14ac:dyDescent="0.3">
      <c r="I89" s="27" t="s">
        <v>1182</v>
      </c>
      <c r="J89" s="4">
        <v>893.3</v>
      </c>
      <c r="K89" s="4">
        <v>436.7</v>
      </c>
      <c r="L89">
        <v>32.733333333333334</v>
      </c>
      <c r="M89" s="4">
        <v>13.619318181818182</v>
      </c>
      <c r="O89" s="4">
        <v>982</v>
      </c>
      <c r="P89">
        <v>1198.5</v>
      </c>
    </row>
    <row r="90" spans="9:16" x14ac:dyDescent="0.3">
      <c r="I90" s="27" t="s">
        <v>1183</v>
      </c>
      <c r="J90" s="4">
        <v>1023.7</v>
      </c>
      <c r="K90" s="4">
        <v>478.4</v>
      </c>
      <c r="L90" s="4">
        <v>194.65</v>
      </c>
      <c r="M90" s="4">
        <v>163.75</v>
      </c>
    </row>
    <row r="91" spans="9:16" x14ac:dyDescent="0.3">
      <c r="I91" s="27" t="s">
        <v>1184</v>
      </c>
      <c r="J91" s="4">
        <v>991.3</v>
      </c>
      <c r="K91" s="4">
        <v>494.3</v>
      </c>
      <c r="L91" s="4">
        <v>20.026666666666664</v>
      </c>
      <c r="M91" s="4">
        <v>10.853409090909091</v>
      </c>
    </row>
  </sheetData>
  <mergeCells count="26">
    <mergeCell ref="AB21:AB24"/>
    <mergeCell ref="AB25:AB27"/>
    <mergeCell ref="AB28:AC28"/>
    <mergeCell ref="AI3:AK3"/>
    <mergeCell ref="AC3:AD3"/>
    <mergeCell ref="AE3:AH3"/>
    <mergeCell ref="AB18:AC18"/>
    <mergeCell ref="AB19:AB20"/>
    <mergeCell ref="AB3:AB4"/>
    <mergeCell ref="X3:Z3"/>
    <mergeCell ref="O16:Q16"/>
    <mergeCell ref="O23:P23"/>
    <mergeCell ref="O3:Q3"/>
    <mergeCell ref="O10:P10"/>
    <mergeCell ref="X16:Z16"/>
    <mergeCell ref="I33:M33"/>
    <mergeCell ref="I3:M3"/>
    <mergeCell ref="T3:V3"/>
    <mergeCell ref="S3:S4"/>
    <mergeCell ref="S16:S17"/>
    <mergeCell ref="T16:V16"/>
    <mergeCell ref="I85:I86"/>
    <mergeCell ref="J85:K85"/>
    <mergeCell ref="L85:M85"/>
    <mergeCell ref="I65:I67"/>
    <mergeCell ref="I69:I71"/>
  </mergeCells>
  <phoneticPr fontId="1"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11</vt:i4>
      </vt:variant>
    </vt:vector>
  </HeadingPairs>
  <TitlesOfParts>
    <vt:vector size="11" baseType="lpstr">
      <vt:lpstr>real_qwen2.5_Omni</vt:lpstr>
      <vt:lpstr>real_qwen2.5_math</vt:lpstr>
      <vt:lpstr>real_llama3.2</vt:lpstr>
      <vt:lpstr>real_gemma3</vt:lpstr>
      <vt:lpstr>real_deepseek_r1</vt:lpstr>
      <vt:lpstr>qwen2.5_Omni</vt:lpstr>
      <vt:lpstr>qwen2.5_math</vt:lpstr>
      <vt:lpstr>llama3.2</vt:lpstr>
      <vt:lpstr>gemma3</vt:lpstr>
      <vt:lpstr>deepseek_r1</vt:lpstr>
      <vt:lpstr>数据处理</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dc:creator>
  <cp:lastModifiedBy>奔 张</cp:lastModifiedBy>
  <dcterms:created xsi:type="dcterms:W3CDTF">2015-06-05T18:19:34Z</dcterms:created>
  <dcterms:modified xsi:type="dcterms:W3CDTF">2025-11-25T02:50:25Z</dcterms:modified>
</cp:coreProperties>
</file>