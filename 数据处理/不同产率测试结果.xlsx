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
    </mc:Choice>
  </mc:AlternateContent>
  <xr:revisionPtr revIDLastSave="0" documentId="13_ncr:1_{783DB6E7-20F1-481C-9A5C-A79A1221AA78}" xr6:coauthVersionLast="47" xr6:coauthVersionMax="47" xr10:uidLastSave="{00000000-0000-0000-0000-000000000000}"/>
  <bookViews>
    <workbookView xWindow="-110" yWindow="-110" windowWidth="38620" windowHeight="21220" activeTab="4" xr2:uid="{00000000-000D-0000-FFFF-FFFF00000000}"/>
  </bookViews>
  <sheets>
    <sheet name="production_eval_deepseek-r1" sheetId="1" r:id="rId1"/>
    <sheet name="production_eval_gemma3" sheetId="2" r:id="rId2"/>
    <sheet name="production_eval_llama3.2" sheetId="3" r:id="rId3"/>
    <sheet name="production_eval_qwen2.5_math" sheetId="4" r:id="rId4"/>
    <sheet name="production_eval_qwen2.5_omn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<sst xmlns="http://schemas.openxmlformats.org/spreadsheetml/2006/main" count="185" uniqueCount="140">
  <si>
    <t>prompt</t>
  </si>
  <si>
    <t>predict</t>
  </si>
  <si>
    <t>label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</si>
  <si>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</si>
  <si>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200/62=3.23kmol/h. Hourly required chloroethanol: 3.23*80.5/(0.95*0.5)=527.96kg/h. Hourly required sodium bicarbonate: 3.23*84*1.0/(0.95*0.5)=541.76kg/h. Raw material volumetric flow rate: Q_{0}=(527.96+541.76)/1.02=1057.24L/h. Initial concentration of chloroethanol: c_{A0}=3.23*1000/(0.95*1057.24)=3.09mol/L. Initial concentration of sodium bicarbonate: c_{B0}=3.23*1000*1.0/(0.95*1057.24)=3.09mol/L. The concentration of chloroethanol: c_{A}=c_{A0}*(1-x). The concentration of sodium bicarbonate: c_{B}=c_{B0}-c_{A0}*x. Reaction time obtained through integral calculation: t=\frac{c_{A0}*x_{f}}{r_{A}}=\frac{c_{A0}*x_{f}}{k*c_{A}*c_{B}}=\frac{x_{f}}{k*(1-x_{A})*(c_{B0}-c_{A0}*x_{A})}=5.61 h. Theoretical volume is v=5.61*1057.24=5926.86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</si>
  <si>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</si>
  <si>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</si>
  <si>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300/62=4.84kmol/h. Hourly required chloroethanol: 4.84*80.5/(0.95*0.5)=770.53kg/h. Hourly required sodium bicarbonate: 4.84*84*1.0/(0.95*0.5)=845.29kg/h. Raw material volumetric flow rate: Q_{0}=(770.53+845.29)/1.02=1590.39L/h. Initial concentration of chloroethanol: c_{A0}=4.84*1000/(0.95*1590.39)=3.13mol/L. Initial concentration of sodium bicarbonate: c_{B0}=4.84*1000*1.0/(0.95*1590.39)=3.13mol/L. The concentration of chloroethanol: c_{A}=c_{A0}*(1-x). The concentration of sodium bicarbonate: c_{B}=c_{B0}-c_{A0}*x. Reaction time obtained through integral calculation: t=\frac{c_{A0}*x_{f}}{r_{A}}=\frac{c_{A0}*x_{f}}{k*c_{A}*c_{B}}=\frac{x_{f}}{k*(1-x_{A})*(c_{B0}-c_{A0}*x_{A})}=5.61 h. Theoretical volume is v=5.61*1590.39=8953.56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</si>
  <si>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</si>
  <si>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</si>
  <si>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400/62=6.45kmol/h. Hourly required chloroethanol: 6.45*80.5/(0.95*0.5)=1057.99kg/h. Hourly required sodium bicarbonate: 6.45*84*1.05/(0.95*0.5)=1146.57kg/h. Raw material volumetric flow rate: Q_{0}=(1057.99+1146.57)/1.02=2179.64L/h. Initial concentration of chloroethanol: c_{A0}=6.45*1000/(0.95*2179.64)=3.09mol/L. Initial concentration of sodium bicarbonate: c_{B0}=6.45*1000*1.05/(0.95*2179.64)=3.24mol/L. The concentration of chloroethanol: c_{A}=c_{A0}*(1-x). The concentration of sodium bicarbonate: c_{B}=c_{B0}-c_{A0}*x. Reaction time obtained through integral calculation: t=\frac{c_{A0}*x_{f}}{r_{A}}=\frac{c_{A0}*x_{f}}{k*c_{A}*c_{B}}=\frac{x_{f}}{k*(1-x_{A})*(c_{B0}-c_{A0}*x_{A})}=5.71 h. Theoretical volume is v=5.71*2179.64=12430.71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</si>
  <si>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</si>
  <si>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</si>
  <si>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500/62=8.06kmol/h. Hourly required chloroethanol: 8.06*84=679.85kmol/h. Hourly required sodium bicarbonate: 8.06*84*1=679.85kmol/h. Raw material volumetric flow rate: Q_{0}=(0.5+0.5)/1.02=0.98L/h. Initial concentration of chloroethanol: c_{A0}=8.06*84*0.98/(0.98*0.98)=71.25mol/L. Initial concentration of sodium bicarbonate: c_{B0}=8.06*84*0.98/(0.98*679.85)=1.0mol/L. The concentration of chloroethanol: c_{A}=c_{A0}*(1-x). The concentration of sodium bicarbonate: c_{B}=c_{B0}-c_{A0}*x. Reaction time obtained through integral calculation: t=\frac{c_{A0}*x_{f}}{r_{A}}=\frac{c_{A0}*x_{f}}{k*c_{A}*c_{B}}=\frac{x_{f}}{k*(1-x_{A})*(c_{B0}-c_{A0}*x_{A})}=5.63 h. Theoretical volume is v=5.63*0.98=5.52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</si>
  <si>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</si>
  <si>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</si>
  <si>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600/62=9.68kmol/h. Hourly required chloroethanol: 9.68*80.5/(0.95*0.5)=1606.62kg/h. Hourly required sodium bicarbonate: 9.68*84*1.05/(0.95*0.5)=3150.04kg/h. Raw material volumetric flow rate: Q_{0}=(1606.62+3150.04)/1.02=4685.28L/h. Initial concentration of chloroethanol: c_{A0}=9.68*1000/(0.95*4685.28)=2.14mol/L. Initial concentration of sodium bicarbonate: c_{B0}=9.68*1000*1.05/(0.95*4685.28)=2.28mol/L. The concentration of chloroethanol: c_{A}=c_{A0}*(1-x). The concentration of sodium bicarbonate: c_{B}=c_{B0}-c_{A0}*x. Reaction time obtained through integral calculation: t=\frac{c_{A0}*x_{f}}{r_{A}}=\frac{c_{A0}*x_{f}}{k*c_{A}*c_{B}}=\frac{x_{f}}{k*(1-x_{A})*(c_{B0}-c_{A0}*x_{A})}=5.61 h. Theoretical volume is v=5.61*4685.28=26339.33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</si>
  <si>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</si>
  <si>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</si>
  <si>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700/62=11.29kmol/h. Hourly required chloroethanol: 11.29*80.5/(0.95*0.5)=1865.73kg/h. Hourly required sodium bicarbonate: 11.29*84*1.05/(0.95*0.5)=1983.65kg/h. Raw material volumetric flow rate: Q_{0}=(1865.73+1983.65)/1.02=3759.14L/h. Initial concentration of chloroethanol: c_{A0}=11.29*1000/(0.95*3759.14)=3.13mol/L. Initial concentration of sodium bicarbonate: c_{B0}=11.29*1000*1.05/(0.95*3759.14)=3.29mol/L. The concentration of chloroethanol: c_{A}=c_{A0}*(1-x). The concentration of sodium bicarbonate: c_{B}=c_{B0}-c_{A0}*x. Reaction time obtained through integral calculation: t=\frac{c_{A0}*x_{f}}{r_{A}}=\frac{c_{A0}*x_{f}}{k*c_{A}*c_{B}}=\frac{x_{f}}{k*(1-x_{A})*(c_{B0}-c_{A0}*x_{A})}=44.91 h. Theoretical volume is v=44.91*3759.14=169068.16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</si>
  <si>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</si>
  <si>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</si>
  <si>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800/62=12.90kmol/h. Hourly required chloroethanol: 12.90*84/0.5=2131.20kg/h. Hourly required sodium bicarbonate: 12.90*84*1.0/0.5=2265.60kg/h. Raw material volumetric flow rate: Q_{0}=(2131.20+2265.60)/1.02=4302.51L/h. Initial concentration of chloroethanol: c_{A0}=12.90*1000/(0.5*4302.51)=5.96mol/L. Initial concentration of sodium bicarbonate: c_{B0}=12.90*1000*1.0/0.5*4302.51=6.36mol/L. The concentration of chloroethanol: c_{A}=c_{A0}*(1-x). The concentration of sodium bicarbonate: c_{B}=c_{B0}-c_{A0}*x. Reaction time obtained through integral calculation: t=\frac{c_{A0}*x_{f}}{r_{A}}=\frac{c_{A0}*x_{f}}{k*c_{A}*c_{B}}=\frac{x_{f}}{k*(1-x_{A})*(c_{B0}-c_{A0}*x_{A})}=3.39 h. Theoretical volume is v=3.39*4302.51=14636.23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</si>
  <si>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</si>
  <si>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</si>
  <si>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900/62=14.52kmol/h. Hourly required chloroethanol: 14.52*80.5/(0.95*0.5)=2471.07kg/h. Hourly required sodium bicarbonate: 14.52*84*1.0/(0.95*0.5)=2562.09kg/h. Raw material volumetric flow rate: Q_{0}=(2471.07+2562.09)/1.02=4954.04L/h. Initial concentration of chloroethanol: c_{A0}=14.52*1000/(0.95*4954.04)=3.02mol/L. Initial concentration of sodium bicarbonate: c_{B0}=14.52*1000*1.0/(0.95*4954.04)=3.02mol/L. The concentration of chloroethanol: c_{A}=c_{A0}*(1-x). The concentration of sodium bicarbonate: c_{B}=c_{B0}-c_{A0}*x. Reaction time obtained through integral calculation: t=\frac{c_{A0}*x_{f}}{r_{A}}=\frac{c_{A0}*x_{f}}{k*c_{A}*c_{B}}=\frac{x_{f}}{k*(1-x_{A})*(c_{B0}-c_{A0}*x_{A})}=5.61 h. Theoretical volume is v=5.61*4954.04=27763.01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</si>
  <si>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</si>
  <si>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</si>
  <si>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1000/62=16.13kmol/h. Hourly required chloroethanol: 16.13*80.5/(0.95*0.5)=2651.95kg/h. Hourly required sodium bicarbonate: 16.13*84*1/(0.95*0.5)=2691.66kg/h. Raw material volumetric flow rate: Q_{0}=(2651.95+2691.66)/1.02=5228.95L/h. Initial concentration of chloroethanol: c_{A0}=16.13*1000/(0.95*5228.95)=3.33mol/L. Initial concentration of sodium bicarbonate: c_{B0}=16.13*1000*1/(0.95*5228.95)=3.33mol/L. The concentration of chloroethanol: c_{A}=c_{A0}*(1-x). The concentration of sodium bicarbonate: c_{B}=c_{B0}-c_{A0}*x. Reaction time obtained through integral calculation: t=\frac{c_{A0}*x_{f}}{r_{A}}=\frac{c_{A0}*x_{f}}{k*c_{A}*c_{B}}=\frac{x_{f}}{k*(1-x_{A})*(c_{B0}-c_{A0}*x_{A})}=5.56 h. Theoretical volume is v=5.56*5228.95=29261.15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</si>
  <si>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</si>
  <si>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</si>
  <si>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&lt;think&gt;
&lt;/think&gt;
The relative molecular weight of NaHCO_{3} is 84 kg/kmol, CH_{2}ClCH_{2}OH is 80.5 kg/kmol, CH_{2}OHCH_{2}OH is 62 kg/kmol. Hourly production of ethylene glycol: 100/62=1.61kmol/h. Hourly required chloroethanol: h_{required}=1.61*80.5/(0.95*0.5)=264.13kg/h. Hourly required sodium bicarbonate: h_{required}=1.61*84*2/(0.95*0.5)=562.26kg/h. Raw material volumetric flow rate: Q_{0}=(264.13+562.26)/1.02=807.84L/h. Initial concentration of chloroethanol: c_{A0}=1.61*1000/(0.95*807.84)=2.06mol/L. Initial concentration of sodium bicarbonate: c_{B0}=1.61*1000*2/(0.95*807.84)=4.12mol/L. The concentration of chloroethanol: c_{A}=c_{A0}*(1-x). The concentration of sodium bicarbonate: c_{B}=c_{B0}-c_{A0}*x. Reaction time obtained through integral calculation: t=\frac{c_{A0}*x_{f}}{r_{A}}=\frac{c_{A0}*x_{f}}{k*c_{A}*c_{B}}=\frac{x_{f}}{k*(1-x_{A})*(c_{B0}-c_{A0}*x_{A})}=0.94 h. Theoretical volume is v=0.94*807.84=761.48 l.After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</si>
  <si>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phoneticPr fontId="2" type="noConversion"/>
  </si>
  <si>
    <t>预测体积</t>
    <phoneticPr fontId="2" type="noConversion"/>
  </si>
  <si>
    <t>计算体积</t>
    <phoneticPr fontId="2" type="noConversion"/>
  </si>
  <si>
    <t>进料体积流率</t>
    <phoneticPr fontId="2" type="noConversion"/>
  </si>
  <si>
    <t>预测的进料体积流率</t>
    <phoneticPr fontId="2" type="noConversion"/>
  </si>
  <si>
    <t>预测停留时间</t>
    <phoneticPr fontId="2" type="noConversion"/>
  </si>
  <si>
    <t>实际停留时间</t>
    <phoneticPr fontId="2" type="noConversion"/>
  </si>
  <si>
    <t xml:space="preserve">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</si>
  <si>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1000/62=16.0 miles per hour. Hourly required chloroethanol: 16.0*80.5/(0.95*0.5)=3329.88kg. Hourly required sodium bicarbonate: 16.0*84*1/(0.95*0.5)=3523.36kg. Raw material volumetric flow rate: Q_{0}=(3329.88+3523.36)/1.02=6485.06L. Initial concentration of chloroethanol: c_{A0}=16.0*1000/(0.95*6485.06)=2.53mol. Initial concentration of sodium bicarbonate: c_{B0}=16.0*1000*1/(0.95*6485.06)=2.53mol. The concentration of chloroethanol: c_{A}=c_{A0}*(1-x). The concentration of sodium bicarbonate: c_{B}=c_{B0}-c_{A0}*x. Reaction time obtained through integral calculation: t=\frac{c_{A0}*x_{f}}{r_{A}}=\frac{c_{A0}*x_{f}}{k*c_{A}*c_{B}}=\frac{x_{f}}{k*(1-x_{A})*(c_{B0}-c_{A0}*x_{A})}=1.25 h. Theoretical volume is v=1.25*6485.06=7970.55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</si>
  <si>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</si>
  <si>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</si>
  <si>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900/62=14.52kmol/h. Hourly required chloroethanol: 14.52*80.5/(0.95*0.5)=2836.39kg/h. Hourly required sodium bicarbonate: 14.52*84*1/(0.95*0.5)=3664.9kg/h. Raw material volumetric flow rate: Q_{0}=(2836.39+3664.9)/1.02=6529.99L/h. Initial concentration of chloroethanol: c_{A0}=14.52*1000/(0.95*6529.99)=2.22mol/L. Initial concentration of sodium bicarbonate: c_{B0}=14.52*1000*1/(0.95*6529.99)=2.22mol/L. The concentration of chloroethanol: c_{A}=c_{A0}*(1-x). The concentration of sodium bicarbonate: c_{B}=c_{B0}-c_{A0}*x. Reaction time obtained through integral calculation: t=\frac{c_{A0}*x_{f}}{r_{A}}=\frac{c_{A0}*x_{f}}{k*c_{A}*c_{B}}=\frac{x_{f}}{k*(1-x_{A})*(c_{B0}-c_{A0}*x_{A})}=0.5*x_{f}
Theoretical volume is v=0.5*0.5=1.0e-22.Deviation from operation requires final concentration: x=1.0e-22* (1-t)/t=1.0e-22*(1-1.0*0.5)/1.0*0.5=2.0e-8
After comprehensively considering various factors in the reaction process, the operating temperatures remain moderate with no presence</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</si>
  <si>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</si>
  <si>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</si>
  <si>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800/62=12.71kmol/h. Hourly required chloroethanol: 12.71*80.5/(0.95*0.5)=2087.64kg/h. Hourly required sodium bicarbonate: 12.71*84*1/(0.95*0.5)=2391.73kg/h. Raw material volumetric flow rate: Q_{0}=(2087.64+2391.73)/1.02=4173.74L/h. Initial concentration of chloroethanol: c_{A0}=12.71*1000/(0.95*4173.74)=0.5mol/L. Initial concentration of sodium bicarbonate: c_{B0}=12.71*1000*1/(0.95*4173.74)=0.5mol/L. The concentration of chloroethanol: c_{A}=c_{A0}*(1-x). The concentration of sodium bicarbonate: c_{B}=c_{B0}-c_{A0}*x. Reaction time obtained through integral calculation: t=\frac{c_{A0}*x_{f}}{r_{A}}=\frac{c_{A0}*x_{f}}{k*c_{A}*c_{B}}=\frac{x_{f}}{k*(1-x_{A})*(c_{B0}-c_{A0}*x_{A})}=0.79 h. Theoretical volume is v=0.79*4173.74=3247.5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</si>
  <si>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</si>
  <si>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</si>
  <si>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700/62=11.1kmol/h. Hourly required chloroethanol: 11.1*80.5/(0.95*0.5)=2200.98kg/h. Hourly required sodium bicarbonate: 11.1*84*1/(0.95*0.5)=2162. sugar: 11.1*84*10/(0.95*0.5)=2215.66kg/h. Raw material volumetric flow rate: Q_{0}=(2200.98+2162.21)/1.02=4148.85L/h. Initial concentration of chloroethanol: c_{A0}=11.1*1000/(0.95*4148.85)=2.98mol/L. Initial concentration of sodium bicarbonate: c_{B0}=11.1*1000*1/(0.95*4148.85)=2.98mol/L. The concentration of chloroethanol: c_{A}=c_{A0}*(1-x). The concentration of sodium bicarbonate: c_{B}=c_{B0}-c_{A0}*x. Reaction time obtained through integral calculation: t=\frac{c_{A0}*x_{f}}{r_{A}}=\frac{c_{A0}*x_{f}}{k*c_{A}*c_{B}}=\frac{x_{f}}{k*(1-x_{A})*(c_{B0}-c_{A0}*x_{A})}=0.79 h. Theoretical volume is v=0.79*4148.85=3220.19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</si>
  <si>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</si>
  <si>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</si>
  <si>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600/62=9.62kmol/h. Hourly required chloroethanol: 9.62*80.5/(0.95*0.5)=1729.64kg/h. Hourly required sodium bicarbonate: 9.62*84*1/(0.95*0.5)=1695.2kg/h. Raw material volumetric flow rate: Q_{0}=(1729.64+1695.2)/1.02=3304.59L/h. Initial concentration of chloroethanol: c_{A0}=9.62*1000/(0.95*3304.59)=2.96mol/L. Initial concentration of sodium bicarbonate: c_{B0}=9.62*1000*1/(0.95*3304.59)=2.96mol/L. The concentration of chloroethanol: c_{A}=c_{A0}*(1-x). The concentration of sodium bicarbonate: c_{B}=c_{B0}-c_{A0}*x. Reaction time obtained through integral calculation: t=\frac{c_{A0}*x_{f}}{r_{A}}=\frac{c_{A0}*x_{f}}{k*c_{A}*c_{B}}=\frac{x_{f}}{k*(1-x_{A})*(c_{B0}-c_{A0}*x_{A})}=1.13 h. Theoretical volume is v=1.13*3304.59=3712.11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</si>
  <si>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</si>
  <si>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</si>
  <si>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500/62=8.13kmol/h. Hourly required chloroethanol: 8.13*80.5/(0.95*0.5)=1534.86kg/h. Hourly required sodium bicarbonate: 8.13*84*1/(0.95*0.5)=1534.86kg/h. Raw material volumetric flow rate: Q_{0}=(1534.86+1534.86)/1.02=3074.24L/h. Initial concentration of chloroethanol: c_{A0}=8.13*1000/(0.95*3074.24)=2.51mol/L. Initial concentration of sodium bicarbonate: c_{B0}=8.13*1000*1/(0.95*3074.24)=2.51mol/L. The concentration of chloroethanol: c_{A}=c_{A0}*(1-x). The concentration of sodium bicarbonate: c_{B}=c_{B0}-c_{A0}*x. Reaction time obtained through integral calculation: t=\frac{c_{A0}*x_{f}}{r_{A}}=\frac{c_{A0}*x_{f}}{k*c_{A}*c_{B}}=\frac{x_{f}}{k*(1-x_{A})*(c_{B0}-c_{A0}*x_{A})}=1.25 h. Theoretical volume is v=1.25*3074.24=3834.84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</si>
  <si>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</si>
  <si>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</si>
  <si>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400/62=6.45kmol/h. Hourly required chloroethanol: 6.45*80.5/(0.95*0.5)=1267.29kg/h. Hourly required sodium bicarbonate: 6.45*84*1/(0.95*0.5)=1534.98kg/h. Raw material volumetric flow rate: Q_{0}=(1267.29+1534.98)/1.02=2642.99L/h. Initial concentration of chloroethanol: c_{A0}=6.45*1000/(0.95*2642.99)=2.89mol/L. Initial concentration of sodium bicarbonate: c_{B0}=6.45*1000*1/(0.95*2642.99)=2.89mol/L. The concentration of chloroethanol: c_{A}=c_{A0}*(1-x). The concentration of sodium bicarbonate: c_{B}=c_{B0}-c_{A0}*x. Reaction time obtained through integral calculation: t=\frac{c_{A0}*x_{f}}{r_{A}}=\frac{c_{A0}*x_{f}}{k*c_{A}*c_{B}}=\frac{x_{f}}{k*(1-x_{A})*(c_{B0}-c_{A0}*x_{A})}=0.79 h. Theoretical volume is v=0.79*2642.99=2080.88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</si>
  <si>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</si>
  <si>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</si>
  <si>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</si>
  <si>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</si>
  <si>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200/62=3.29kmol/h. Hourly required chloroethanol: 3.29*80.5/(0.95*0.5)=533.7obinary product: NaCl (6*84*533.7+533.7*0.5*0.95)=37444.1kg. Hourly required sodium bicarbonate: 3.29*84*1/(0.95*0.5)=724.4kg. Raw material volumetric flow rate: Q_{0}=(37444.1+724.4)/1.02=37758.0L. Initial concentration of chloroethanol: c_{A0}=3.29*1000/(0.95*37758.0)=0.76mol
Initial concentration of sodium bicarbonate: c_{B0}=3.29*1000*1/(0.95*37758.0)=0.76mol. Reaction time obtained through integral calculation: t=\frac{c_{A0}*x_{A0}}{r_{A}}=\frac{c_{A0}*x_{A0}*{(k*c_{A}*c_{B})}}{r_{A}}=\frac{x_{A0}*(k*c_{A}*c_{B})}{r_{A}}=\frac{x_{A0}*(0.5*0.76*0.76)}{0.95}=11.03hRaw material out time: t_{out}=\tout=t_{A}-t_{B}=11.03-12.03=0.0g Theoretical volume is 12.03, which is not possible. Reaction time obtained through integral calculation: t=\frac{c_{A0}*x_{A0}*{(k*c_{A}*c_{B})}}{r_{A}}=\frac{</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</si>
  <si>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</si>
  <si>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 xml:space="preserve">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
</t>
  </si>
  <si>
    <t>The relative molecular weight of NaHCO_{3} is 84 kg/kmol, CH_{2}ClCH_{2}OH is 80.5 kg/kmol, CH_{2}OHCH_{2}OH is 62 kg/kmol. Hourly production of ethylene glycol: 100/62=16.01kmol/h. Hourly required chloroethanol: 16.01*80.5/(0.95*0.5)=3141.28kg/h. Hourly required sodium bicarbonate: 16.01*84*1/(0.95*0.5)=3543.78kg/h. Raw material volumetric flow rate: Q_{0}=(3141.28+3543.78)/1.02=6118.09L/h. Initial concentration of chloroethanol: c_{A0}=16.01*1000/(0.95*6118.09)=2.73mol/L. Initial concentration of sodium bicarbonate: c_{B0}=16.01*1000*1/(0.95*6118.09)=2.73mol/L. The concentration of chloroethanol: c_{A}=c_{A0}*(1-x). The concentration of sodium bicarbonate: c_{B}=c_{B0}-c_{A0}*x. Reaction time obtained through integral calculation: t=\frac{c_{A0}*x_{f}}{r_{A}}=\frac{c_{A0}*x_{f}}{k*c_{A}*c_{B}}=\frac{x_{f}}{k*(1-x_{A})*(c_{B0}-c_{A0}*x_{A})}=1.14 h. Theoretical volume is v=1.14*6118.09=6910.94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</si>
  <si>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</si>
  <si>
    <t>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</si>
  <si>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1000/62=16.13kmol/h. Hourly required chloroethanol: 16.13*80.5/(0.95*0.5)=3009.31kg/h. Hourly required sodium bicarbonate: 16.13*84*1/(0.95*0.5)=2975.62kg/h. Raw material volumetric flow rate: Q_{0}=(3009.31+2975.62)/1.02=6016.85L/h. Initial concentration of chloroethanol: c_{A0}=16.13*1000/(0.95*6016.85)=2.72mol/L. Initial concentration of sodium bicarbonate: c_{B0}=16.13*1000*1/(0.95*6016.85)=2.72mol/L. The concentration of chloroethanol: c_{A}=c_{A0}*(1-x). The concentration of sodium bicarbonate: c_{B}=c_{B0}-c_{A0}*x. Reaction time obtained through integral calculation: t=\frac{c_{A0}*x_{f}}{r_{A}}=\frac{c_{A0}*x_{f}}{k*c_{A}*c_{B}}=\frac{x_{f}}{k*(1-x_{A})*(c_{B0}-c_{A0}*x_{A})}=5.32 h. Theoretical volume is v=5.32*6016.85=31936.09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</si>
  <si>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</si>
  <si>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</si>
  <si>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900/62=14.52kmol/h. Hourly required chloroethanol: 14.52*80.5/(0.95*0.5)=2350.6kg/h. Hourly required sodium bicarbonate: 14.52*84*1/(0.95*0.5)=2214.57kg/h. Raw material volumetric flow rate: Q_{0}=(2350.6+2214.57)/1.02=2932.79L/h. Initial concentration of chloroethanol: c_{A0}=14.52*1000/(0.95*2932.79)=5.12mol/L. Initial concentration of sodium bicarbonate: c_{B0}=14.52*1000*1/(0.95*2932.79)=5.12mol/L. The concentration of chloroethanol: c_{A}=c_{A0}*(1-x). The concentration of sodium bicarbonate: c_{B}=c_{B0}-c_{A0}*x. Reaction time obtained through integral calculation: t=\frac{c_{A0}*x_{f}}{r_{A}}=\frac{c_{A0}*x_{f}}{k*c_{A}*c_{B}}=\frac{x_{f}}{k*(1-x_{A})*(c_{B0}-c_{A0}*x_{A})}=13.36 h. Theoretical volume is v=13.36*2932.79=39212.29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</si>
  <si>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</si>
  <si>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</si>
  <si>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800/62=12.9kmol/h. Hourly required chloroethanol: 12.9*80.5/(0.95*0.5)=2407.04kg/h. Hourly required sodium bicarbonate: 12.9*84*1/(0.95*0.5)=2407.04kg/h. Raw material volumetric flow rate: 2407.04*1002/102=23457.74L/h. Initial concentration of chloroethanol: 12.9*1000/(0.95*23457.74)=0.57mol/L. Initial concentration of sodium bicarbonate: 12.9*1000/(0.95*23457.74)=0.57mol/L. The concentration of CH_{2}OHCH_{2}OH: 12.9*1000*0.95/(0.95*23457.74)=1.27mol/L. Reaction time obtained through integral calculation: t=\frac{c_{A0}+c_{B0}}{r_{A}}=\frac{0.57+0.57}{5.21}=1.3 h. Theoretical volume is v=1.3*23457.74=3024.98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</si>
  <si>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</si>
  <si>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</si>
  <si>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700/62=11.29kmol/h. Hourly required chloroethanol: 11.29*80.5/(0.95*0.5)=2095.55kg/h. Hourly required sodium bicarbonate: 11.29*84*1/(0.95*0.5)=2127.05kg/h. Raw material volumetric flow rate: Q_{0}=(2095.55+2127.05)/1.02=1668.64L/h. Initial concentration of chloroethanol: c_{A0}=11.29*1000/(0.95*1668.64)=0.86mol/L. Initial concentration of sodium bicarbonate: c_{B0}=11.29*1000*1/(0.95*1668.64)=0.86mol/L. The concentration of chloroethanol: c_{A}=c_{A0}*(1-x). The concentration of sodium bicarbonate: c_{B}=c_{B0}-c_{A0}*x. Reaction time obtained through integral calculation: t=\frac{c_{A0}*x_{f}}{r_{A}}=\frac{c_{A0}*x_{f}}{k*c_{A}*c_{B}}=\frac{x_{f}}{k*(1-x_{A})*(c_{B0}-c_{A0}*x_{A})}=5.62 h. Theoretical volume is v=5.62*1668.64=9392.73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</si>
  <si>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</si>
  <si>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</si>
  <si>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600/62=9.68kmol/h. Hourly required chloroethanol: 9.68*80.5/(0.95*0.5)=1887.4kg/h. Hourly required sodium bicarbonate: 9.68*84*1/(0.95*0.5)=1637.07kg/h. Raw material volumetric flow rate: Q_{0}=(1887.4+1637.07)/1.02=5758.07L/h. Initial concentration of chloroethanol: c_{A0}=9.68*1000/(0.95*5758.07)=1.7mol/L. Initial concentration of sodium bicarbonate: c_{B0}=9.68*1000*1/(0.95*5758.07)=1.7mol/L. The concentration of chloroethanol: c_{A}=c_{A0}*(1-x). The concentration of sodium bicarbonate: c_{B}=c_{B0}-c_{A0}*x. Reaction time obtained through integral calculation: t=\frac{c_{A0}*x_{f}}{r_{A}}=\frac{c_{A0}*x_{f}}{k*c_{A}*c_{B}}=\frac{x_{f}}{k*(1-x_{A})*(c_{B0}-c_{A0}*x_{A})}=5.71 h. Theoretical volume is v=5.71*5758.07=32796.01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</si>
  <si>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</si>
  <si>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</si>
  <si>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500/62=8.1kmol/h. Hourly required chloroethanol: 8.1*80.5/(0.95*0.5)=1413.04kg/h. Hourly required sodium bicarbonate: 8.1*84*1/(0.95*0.5)=1417.69kg/h. Raw material volumetric flow rate: Q_{0}=(1413.04+1417.69)/1.02=2322.94L/h. Initial concentration of chloroethanol: c_{A0}=8.1*1000/(0.95*2322.94)=3.58mol/L. Initial concentration of sodium bicarbonate: c_{B0}=8.1*1000*1/(0.95*2322.94)=3.58mol/L. The concentration of chloroethanol: c_{A}=c_{A0}*(1-x). The concentration of sodium bicarbonate: c_{B}=c_{B0}-c_{A0}*x. Reaction time obtained through integral calculation: t=\frac{c_{A0}*x_{f}}{r_{A}}=\frac{c_{A0}*x_{f}}{k*c_{A}*c_{B}}=\frac{x_{f}}{k*(1-x_{A})*(c_{B0}-c_{A0}*x_{A})}=1.78 h. Theoretical volume is v=1.78*2322.94=4125.51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</si>
  <si>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</si>
  <si>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</si>
  <si>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400/62=6.45kmol/h. Hourly required chloroethanol: 6.45*80.5/(0.95*0.5)=1188.04kg/h. Hourly required sodium bicarbonate: 6.45*84*1/(0.95*0.5)=1139.43kg/h. Raw material volumetric flow rate: 1188.04+1139.43=23227.47L/h. Initial concentration of chloroethanol: 6.45*1000/(0.95*23227.47)=285.97mol/L. Initial concentration of sodium bicarbonate: 6.45*1000*1/(0.95*23227.47)=285.97mol/L. The concentration of CH_{2}OHCH_{2}OH: 6.45*1000*0.95/(0.95*23227.47)=285.97mol/L. Reaction time obtained through integral calculation: t=\frac{c_{0A}+c_{0B}}{r_{A}}=\frac{285.97+285.97}{5.21*285.97*285.97}=0.54 h. Theoretical volume is v=0.54*23227.47=12572.89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</si>
  <si>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</si>
  <si>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</si>
  <si>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300/62=4.84kmol/h. Hourly required chloroethanol: 4.84*80.5/(0.95*0.5)=940.2kg/h. Hourly required sodium bicarbonate: 4.84*84*1/(0.95*0.5)=924.4kg/h. Raw material volumetric flow rate: Q_{0}=(940.2+924.4)/1.02=1885.6L/h. Initial concentration of chloroethanol: c_{A0}=4.84*1000/(0.95*1885.6)=2.45mol/L. Initial concentration of sodium bicarbonate: c_{B0}=4.84*1000*1/(0.95*1885.6)=2.45mol/L. The concentration of chloroethanol: c_{A}=c_{A0}*(1-x). The concentration of sodium bicarbonate: c_{B}=c_{B0}-c_{A0}*x. Reaction time obtained through integral calculation: t=\frac{c_{A0}*x_{f}}{r_{A}}=\frac{c_{A0}*x_{f}}{k*c_{A}*c_{B}}=\frac{x_{f}}{k*(1-x_{A})*(c_{B0}-c_{A0}*x_{A})}=5.21*(1-2.45*(1-0.95))=129.93 h. Theoretical volume is v=129.93*1885.6=244531.08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</si>
  <si>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</si>
  <si>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</si>
  <si>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200/62=3.23kmol/h. Hourly required chloroethanol: 3.23*80.5/(0.95*0.5)=663.05kg/h. Hourly required sodium bicarbonate: 3.23*84*1/(0.95*0.5)=664.19kg/h. Raw material volumetric flow rate: Q_{0}=(663.05+664.19)/1.02=983.78L/h. Initial concentration of chloroethanol: c_{A0}=3.23*1000/(0.95*983.78)=3.44mol/L. Initial concentration of sodium bicarbonate: c_{B0}=3.23*1000*1/(0.95*983.78)=3.44mol/L. The concentration of chloroethanol: c_{A}=c_{A0}*(1-x). The concentration of sodium bicarbonate: c_{B}=c_{B0}-c_{A0}*x. Reaction time obtained through integral calculation: t=\frac{c_{A0}*x_{f}}{r_{A}}=\frac{c_{A0}*x_{f}}{k*c_{A}*c_{B}}=\frac{x_{f}}{k*(1-x_{A})*(c_{B0}-c_{A0}*x_{A})}=3.43 h. Theoretical volume is v=3.43*983.78=3372.07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</si>
  <si>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</si>
  <si>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</si>
  <si>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100/62=1.29kmol/h. Hourly required chloroethanol: 1.29*80.5/(0.95*0.5)=215.66kg/h. Hourly required sodium bicarbonate: 1.29*84*1.0/(0.95*0.5)=221.43kg/h. Raw material volumetric flow rate: Q_{0}=(215.66+221.43)/1.02=305.43L/h. Initial concentration of chloroethanol: c_{A0}=1.29*1000/(0.95*305.43)=43.9mol/L. Initial concentration of sodium bicarbonate: c_{B0}=1.29*1000*1.0/(0.95*305.43)=43.9mol/L. The concentration of chloroethanol: c_{A}=c_{A0}*(1-x). The concentration of sodium bicarbonate: c_{B}=c_{B0}-c_{A0}*x. Reaction time obtained through integral calculation: t=\frac{c_{A0}*x_{f}}{r_{A}}=\frac{c_{A0}*x_{f}}{k*c_{A}*c_{B}}=\frac{x_{f}}{k*(1-x_{A})*(c_{B0}-c_{A0}*x_{A})}=3.33 h. Theoretical volume is v=3.33*305.43=1015.45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</si>
  <si>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</si>
  <si>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1000/62=16.13kmol/h. Hourly required chloroethanol: 16.13*80.5/(0.95*0.5)=2802.21kg/h. Hourly required sodium bicarbonate: 16.13*84*1/(0.95*0.5)=2954.76kg/h. Raw material volumetric flow rate: Q_{0}=(2802.21+2954.76)/1.02=5606.62L/h. Initial concentration of chloroethanol: c_{A0}=16.13*1000/(0.95*5606.62)=3.01mol/L. Initial concentration of sodium bicarbonate: c_{B0}=16.13*1000*1/(0.95*5606.62)=3.01mol/L. The concentration of chloroethanol: c_{A}=c_{A0}*(1-x). The concentration of sodium bicarbonate: c_{B}=c_{B0}-c_{A0}*x. Reaction time obtained through integral calculation: t=\frac{c_{A0}*x_{f}}{r_{A}}=\frac{c_{A0}*x_{f}}{k*c_{A}*c_{B}}=\frac{x_{f}}{k*(1-x_{A})*(c_{B0}-c_{A0}*x_{A})}=2.81 h. Theoretical volume is v=2.81*5606.62=15744.97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</si>
  <si>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</si>
  <si>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900/62=14.52kmol/h. Hourly required chloroethanol: 14.52*80.5/(0.95*0.5)=2356.79kg/h. Hourly required sodium bicarbonate: 14.52*84*1/(0.95*0.5)=2478.88kg/h. Raw material volumetric flow rate: Q_{0}=(2356.79+2478.88)/1.02=4679.16L/h. Initial concentration of chloroethanol: c_{A0}=14.52*1000/(0.95*4679.16)=3.24mol/L. Initial concentration of sodium bicarbonate: c_{B0}=14.52*1000*1/(0.95*4679.16)=3.24mol/L. The concentration of chloroethanol: c_{A}=c_{A0}*(1-x). The concentration of sodium bicarbonate: c_{B}=c_{B0}-c_{A0}*x. Reaction time obtained through integral calculation: t=\frac{c_{A0}*x_{f}}{r_{A}}=\frac{c_{A0}*x_{f}}{k*c_{A}*c_{B}}=\frac{x_{f}}{k*(1-x_{A})*(c_{B0}-c_{A0}*x_{A})}=2.5 h. Theoretical volume is v=2.5*4679.16=11698.13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</si>
  <si>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</si>
  <si>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800/62=12.90kmol/h. Hourly required chloroethanol: 12.90*80.5/(0.95*0.5)=2193.79kg/h. Hourly required sodium bicarbonate: 12.90*84*1/(0.95*0.5)=2203.83kg/h. Raw material volumetric flow rate: Q_{0}=(2193.79+2203.83)/1.02=4309.62L/h. Initial concentration of chloroethanol: c_{A0}=12.90*1000/(0.95*4309.62)=3.15mol/L. Initial concentration of sodium bicarbonate: c_{B0}=12.90*1000*84/(0.95*4309.62)=25.12mol/L. The concentration of chloroethanol: c_{A}=c_{A0}*(1-x). The concentration of sodium bicarbonate: c_{B}=c_{B0}-c_{A0}*x. Reaction time obtained through integral calculation: t=\frac{c_{A0}*x_{f}}{r_{A}}=\frac{c_{A0}*x_{f}}{k*c_{A}*c_{B}}=\frac{x_{f}}{k*(1-x_{A})*(c_{B0}-c_{A0}*x_{A})}=0.47 h. Theoretical volume is v=0.47*4309.62=2040.88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</si>
  <si>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</si>
  <si>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700/62=11.32kmol/h. Hourly required chloroethanol: 11.32*80.5/(0.95*0.5)=1957.44kg/h. Hourly required sodium bicarbonate: 11.32*84*1/(0.95*0.5)=1978.32kg/h. Raw material volumetric flow rate: Q_{0}=(1957.44+1978.32)/1.02=3837.12L/h. Initial concentration of chloroethanol: c_{A0}=11.32*1000/(0.95*3837.12)=3.01mol/L. Initial concentration of sodium bicarbonate: c_{B0}=11.32*1000*1/(0.95*3837.12)=3.01mol/L. The concentration of chloroethanol: c_{A}=c_{A0}*(1-x). The concentration of sodium bicarbonate: c_{B}=c_{B0}-c_{A0}*x. Reaction time obtained through integral calculation: t=\frac{c_{A0}*x_{f}}{r_{A}}=\frac{c_{A0}*x_{f}}{k*c_{A}*c_{B}}=\frac{x_{f}}{k*(1-x_{A})*(c_{B0}-c_{A0}*x_{A})}=3.32 h. Theoretical volume is v=3.32*3837.12=12736.94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</si>
  <si>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</si>
  <si>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600/62=9.68kmol/h. Hourly required chloroethanol: 9.68*80.5/(0.95*0.5)=1667.65kg/h. Hourly required sodium bicarbonate: 9.68*84*1/(0.95*0.5)=1648.74kg/h. Raw material volumetric flow rate: Q_{0}=(1667.65+1648.74)/1.02=3232.63L/h. Initial concentration of chloroethanol: c_{A0}=9.68*1000/(0.95*3232.63)=3.08mol/L. Initial concentration of sodium bicarbonate: c_{B0}=9.68*1000*1/(0.95*3.08)=318.28mol/L. The concentration of chloroethanol: c_{A}=c_{A0}*(1-x). The concentration of sodium bicarbonate: c_{B}=c_{B0}-c_{A0}*x. Reaction time obtained through integral calculation: t=\frac{c_{A0}*x_{f}}{r_{A}}=\frac{c_{A0}*x_{f}}{k*c_{A}*c_{B}}=\frac{x_{f}}{k*(1-x_{A})*(c_{B0}-c_{A0}*x_{A})}=0.98 h. Theoretical volume is v=0.98*3232.63=3184.39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</si>
  <si>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</si>
  <si>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500/62=8.09kmol/h. Hourly required chloroethanol: 8.09*80.5/(0.95*0.5)=1416.3kg/h. Hourly required sodium bicarbonate: 8.09*84*1/(0.95*0.5)=1462.78kg/h. Raw material volumetric flow rate: Q_{0}=(1416.3+1462.78)/1.02=2810.69L/h. Initial concentration of chloroethanol: c_{A0}=8.09*1000/(0.95*2810.69)=3.08mol/L. Initial concentration of sodium bicarbonate: c_{B0}=8.09*1000*1/(0.95*2810.69)=3.08mol/L. The concentration of chloroethanol: c_{A}=c_{A0}*(1-x). The concentration of sodium bicarbonate: c_{B}=c_{B0}-c_{A0}*x. Reaction time obtained through integral calculation: t=\frac{c_{A0}*x_{f}}{r_{A}}=\frac{c_{A0}*x_{f}}{k*c_{A}*c_{B}}=\frac{x_{f}}{k*(1-x_{A})*(c_{B0}-c_{A0}*x_{A})}=2.9 h. Theoretical volume is v=2.9*2810.69=8152.16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</si>
  <si>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</si>
  <si>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400/62=6.45kmol/h. Hourly required chloroethanol: 6.45*80.5/(0.95*0.5)=1108.88kg/h. Hourly required sodium bicarbonate: 6.45*84*1/(0.95*0.5)=1123.97kg/h. Raw material volumetric flow rate: Q_{0}=(1108.88+1123.97)/1.02=2184.53L/h. Initial concentration of chloroethanol: c_{A0}=6.45*1000/(0.95*2184.53)=3.09mol/L. Initial concentration of sodium bicarbonate: c_{B0}=6.45*1000*1/(0.95*2184.53)=3.09mol/L. The concentration of chloroethanol: c_{A}=c_{A0}*(1-x). The concentration of sodium bicarbonate: c_{B}=c_{B0}-c_{A0}*x. Reaction time obtained through integral calculation: t=\frac{c_{A0}*x_{f}}{r_{A}}=\frac{c_{A0}*x_{f}}{k*c_{A}*c_{B}}=\frac{x_{f}}{k*(1-x_{A})*(c_{B0}-c_{A0}*x_{A})}=3.32 h. Theoretical volume is v=3.32*2184.53=7370.7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</si>
  <si>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</si>
  <si>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300/62=4.84kmol/h. Hourly required chloroethanol: 4.84*80.5/(0.95*0.5)=818.15kg/h. Hourly required sodium bicarbonate: 4.84*84*1/(0.95*0.5)=843.83kg/h. Raw material volumetric flow rate: Q_{0}=(818.15+843.83)/1.02=1630.75L/h. Initial concentration of chloroethanol: c_{A0}=4.84*1000/(0.95*1630.75)=3.15mol/L. Initial concentration of sodium bicarbonate: c_{B0}=4.84*1000*1/(0.95*1630.75)=3.15mol/L. The concentration of chloroethanol: c_{A}=c_{A0}*(1-x). The concentration of sodium bicarbonate: c_{B}=c_{B0}-c_{A0}*x. Reaction time obtained through integral calculation: t=\frac{c_{A0}*x_{f}}{r_{A}}=\frac{c_{A0}*x_{f}}{k*c_{A}*c_{B}}=\frac{x_{f}}{k*(1-x_{A})*(c_{B0}-c_{A0}*x_{A})}=3.46 h. Theoretical volume is v=3.46*1630.75=5623.97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</si>
  <si>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</si>
  <si>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200/62=3.26kmol/h. Hourly required chloroethanol: 3.26*80.5/(0.95*0.5)=544.36kg/h. Hourly required sodium bicarbonate: 3.26*84*1/(0.95*0.5)=547.74kg/h. Raw material volumetric flow rate: Q_{0}=(544.36+547.74)/1.02=1066.05L/h. Initial concentration of chloroethanol: c_{A0}=3.26*1000/(0.95*1066.05)=3.14mol/L. Initial concentration of sodium bicarbonate: c_{B0}=3.26*1000*1/(0.95*1066.05)=3.14mol/L. The concentration of chloroethanol: c_{A}=c_{A0}*(1-x). The concentration of sodium bicarbonate: c_{B}=c_{B0}-c_{A0}*x. Reaction time obtained through integral calculation: t=\frac{c_{A0}*x_{f}}{r_{A}}=\frac{c_{A0}*x_{f}}{k*c_{A}*c_{B}}=\frac{x_{f}}{k*(1-x_{A})*(c_{B0}-c_{A0}*x_{A})}=1.59 h. Theoretical volume is v=1.59*1066.05=1688.45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</si>
  <si>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</si>
  <si>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100/62=1.61kmol/h. Hourly required chloroethanol: 1.61*80.5/(0.95*0.5)=297.65kg/h. Hourly required sodium bicarbonate: 1.61*84*1/(0.95*0.5)=290.50kg/h. Raw material volumetric flow rate: Q_{0}=(297.65+290.50)/1.02=577.35L/h. Initial concentration of chloroethanol: c_{A0}=1.61*1000/(0.95*577.35)=2.99mol/L. Initial concentration of sodium bicarbonate: c_{B0}=1.61*1000*1/(0.95*577.35)=3.00mol/L. The concentration of chloroethanol: c_{A}=c_{A0}*(1-x). The concentration of sodium bicarbonate: c_{B}=c_{B0}-c_{A0}*x. Reaction time obtained through integral calculation: t=\frac{c_{A0}*x_{f}}{r_{A}}=\frac{c_{A0}*x_{f}}{k*c_{A}*c_{B}}=\frac{x_{f}}{k*(1-x_{A})*(c_{B0}-c_{A0}*x_{A})}=1.44 h. Theoretical volume is v=1.44*577.35=824.47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</si>
  <si>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</si>
  <si>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1000/62=16.19kmol/h. Hourly required chloroethanol: 16.19*80.5/(0.95*0.5)=2716.66kg/h. Hourly required sodium bicarbonate: 16.19*84*1/(0.95*0.5)=3090.19kg/h. Raw material volumetric flow rate: Q_{0}=(2716.66+3090.19)/1.02=5448.76L/h. Initial concentration of chloroethanol: c_{A0}=16.19*1000/(0.95*5448.76)=3.11mol/L. Initial concentration of sodium bicarbonate: c_{B0}=16.19*1000*0.5/(0.95*5448.76)=15.58mol/L. The concentration of chloroethanol: c_{A}=c_{A0}*(1-x). The concentration of sodium bicarbonate: c_{B}=c_{B0}-c_{A0}*x. Reaction time obtained through integral calculation: t=\frac{c_{A0}*x_{f}}{r_{A}}=\frac{c_{A0}*x_{f}}{k*c_{A}*c_{B}}=\frac{x_{f}}{k*(1-x_{A})*(c_{B0}-c_{A0}*x_{A})}=3.73 h. Theoretical volume is v=3.73*5448.76=20582.62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</si>
  <si>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</si>
  <si>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900/62=14.52kmol/h. Hourly required chloroethanol: 14.52*80.5/(0.95*0.5)=2376.05kg/h. Hourly required sodium bicarbonate: 14.52*84*0.95/(0.95*0.5)=2571.78kg/h. Raw material volumetric flow rate: Q_{0}=(2376.05+2571.78)/1.02=4791.45L/h. Initial concentration of chloroethanol: c_{A0}=14.52*1000/(0.95*4791.45)=3.15mol/L. Initial concentration of sodium bicarbonate: c_{B0}=14.52*1000*0.95/(0.95*4791.45)=3.15mol/L. The concentration of chloroethanol: c_{A}=c_{A0}*(1-x). The concentration of sodium bicarbonate: c_{B}=c_{B0}-c_{A0}*x. Reaction time obtained through integral calculation: t=\frac{c_{A0}*x_{f}}{r_{A}}=\frac{c_{A0}*x_{f}}{k*c_{A}*c_{B}}=\frac{x_{f}}{k*(1-x_{A})*(c_{B0}-c_{A0}*x_{A})}=3.45 h. Theoretical volume is v=3.45*4791.45=16626.23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</si>
  <si>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</si>
  <si>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800/62=12.94kmol/h. Hourly required chloroethanol: 12.94*80.5/(0.95*0.5)=2037.64kg/h. Hourly required sodium bicarbonate: 12.94*84*0.5/(0.95*0.5)=1148.02kg/h. Raw material volumetric flow rate: Q_{0}=(2037.64+1148.02)/1.02=3166.67L/h. Initial concentration of chloroethanol: c_{A0}=12.94*1000/(0.95*3166.67)=4.32mol/L. Initial concentration of sodium bicarbonate: c_{B0}=12.94*1000*0.5/(0.95*3166.67)=2.15mol/L. The concentration of chloroethanol: c_{A}=c_{A0}*(1-x). The concentration of sodium bicarbonate: c_{B}=c_{B0}-c_{A0}*x. Reaction time obtained through integral calculation: t=\frac{c_{A0}*x_{f}}{r_{A}}=\frac{c_{A0}*x_{f}}{k*c_{A}*c_{B}}=\frac{x_{f}}{k*(1-x_{A})*(c_{B0}-c_{A0}*x_{A})}=3. H_{2}O relative molecular weight is 18.88 kg/kmol. Raw material relative molecular weight: 84+80.5+62=226.5kg/kmol. Original mixture mass: m_{0}=3166.67*1.02=3230.45kg. Final mixture mass: m=3230.45*0.9</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</si>
  <si>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</si>
  <si>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700/62=11.34kmol/h. Hourly required chloroethanol: 11.34*80.5/(0.95*0.5)=1902.56kg/h. Hourly required sodium bicarbonate: 11.34*84*0.5/(0.95*0.5)=1016.8kg/h. Raw material volumetric flow rate: Q_{0}=(1902.56+1016.8)/1.02=2843.02L/h. Initial concentration of chloroethanol: c_{A0}=11.34*1000/(0.95*2843.02)=4.04mol/L. Initial concentration of sodium bicarbonate: c_{B0}=11.34*1000*0.5/(0.95*2843.02)=2.23mol/L. The concentration of chloroethanol: c_{A}=c_{A0}*(1-x). The concentration of sodium bicarbonate: c_{B}=c_{B0}-c_{A0}*x. Reaction time obtained through integral calculation: t=\frac{c_{A0}*x_{f}}{r_{A}}=\frac{c_{A0}*x_{f}}{k*c_{A}*c_{B}}=\frac{x_{f}}{k*(1-x_{A})*(c_{B0}-c_{A0}*x_{A})}=3.88 h. Theoretical volume is v=3.88*2843.02=11136.6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</si>
  <si>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</si>
  <si>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600/62=9.68kmol/h. Hourly required chloroethanol: 9.68*80.5/(0.95*0.5)=1618.98kg/h. Hourly required sodium bicarbonate: 9.68*84*1/(0.95*0.5)=1618.98kg/h. Raw material volumetric flow rate: Q_{0}=(1618.98+1618.98)/1.02=3175.26L/h. Initial concentration of chloroethanol: c_{A0}=9.68*1000/(0.95*3175.26)=3.0mol/L. Initial concentration of sodium bicarbonate: c_{B0}=9.68*1000*0.5/(0.95*3175.26)=15.25/mol*L. The concentration of chloroethanol: c_{A}=c_{A0}*(1-x). The concentration of sodium bicarbonate: c_{B}=c_{B0}-c_{A0}*x. Reaction time obtained through integral calculation: t=\frac{c_{A0}*x_{f}}{r_{A}}=\frac{c_{A0}*x_{f}}{k*c_{A}*c_{B}}=\frac{x_{f}}{k*(1-x_{A})*(c_{B0}-c_{A0}*x_{A})}=3.43 h. Theoretical volume is v=3.43*3175.26=11085.2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</si>
  <si>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</si>
  <si>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500/62=8.06kmol/h. Hourly required chloroethanol: 8.06*80.5/(0.95*0.5)=1362.15kg/h. Hourly required sodium bicarbonate: 8.06*84*0.5/(0.95*0.5)=785.1kg/h. Raw material volumetric flow rate: Q_{0}=(1362.15+785.1)*1.02=2123.12L/h. Initial concentration of chloroethanol: c_{A0}=8.06*1000/(0.95*2123.12)=4.11mol/L. Initial concentration of sodium bicarbonate: c_{B0}=8.06*1000*0.5/(0.95*2123.12)=1.9mol/L. The concentration of chloroethanol: c_{A}=c_{A0}*(1-x). The concentration of sodium bicarbonate: c_{B}=c_{B0}-c_{A0}*x. Reaction time obtained through integral calculation: t=\frac{c_{A0}*x_{f}}{r_{A}}=\frac{c_{A0}*x_{f}}{k*c_{A}*c_{B}}=\frac{x_{f}}{k*(1-x_{A})*(c_{B0}-c_{A0}*x_{A})}=4.32 h. Theoretical volume is v=4.32*2123.12=9159.59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</si>
  <si>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</si>
  <si>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400/62=6.45kmol/h. Hourly required chloroethanol: 6.45*80.5/(0.95*0.5)=1068.11kg/h. Hourly required sodium bicarbonate: 6.45*84*1.02/(0.95*0.5)=1182.83kg/h. Raw material volumetric flow rate: Q_{0}=(1068.11+1182.83)/1.02=2199.25L/h. Initial concentration of chloroethanol: c_{A0}=6.45*1000/(0.95*2199.25)=3.1stadt chloroethanol initial concentration of sodium bicarbonate: c_{B0}=6.45*1000*0.5/(0.95*2199.25)=1.65stad.After introducing all the raw materials, the concentration of chloroethanol: c_{A}=1.65/(1-0.95)=3.3stad. The concentration of sodium bicarbonate: c_{B}=1.65mol/L. Reaction time obtained through integral calculation: t=\frac{c_{A0} \cdot c_{B0}}{r_{A}}=\frac{1.65*1.65*2199.25}{5.21*6.45}=30.31 h.Theoretical volume is v=30.31*2199.25=66649.28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</si>
  <si>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</si>
  <si>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300/62=4.84kmol/h. Hourly required chloroethanol: 4.84*80.5/(0.95*0.5)=816.36kg/h. Hourly required sodium bicarbonate: 4.84*84*1.02/(0.95*0.5)=895.23kg/h. Raw material volumetric flow rate: Q_{0}=(816.36+895.23)/1.02=1652.46L/h. Initial concentration of chloroethanol: c_{A0}=4.84*1000/(0.95*1652.46)=2.92mol/L. Initial concentration of sodium bicarbonate: c_{B0}=4.84*1000*0.5/(0.95*1652.46)=1.5mol/L. The concentration of chloroethanol: c_{A}=c_{A0}*(1-x). The concentration of sodium bicarbonate: c_{B}=c_{B0}-c_{A0}*x. Reaction time obtained through integral calculation: t=\frac{c_{A0}*x_{f}}{r_{A}}=\frac{c_{A0}*x_{f}}{k*c_{A}*c_{B}}=\frac{x_{f}}{k*(1-x_{A})*(c_{B0}-c_{A0}*x_{A})}=4.66 h. Theoretical volume is v=4.66*1652.46=7899.82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</si>
  <si>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</si>
  <si>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200/62=3.22kmol/h. Hourly required chloroethanol: 3.22*80.5/(0.95*0.5)=529.79kg/h. Hourly required sodium bicarbonate: 3.22*84*1.02/(0.95*0.5)=629.74kg/h. Raw material volumetric flow rate: Q_{0}=(529.79+629.74)/1.02=1108.76L/h. Initial concentration of chloroethanol: c_{A0}=3.22*1000/(0.95*1108.76)=3.11mol/L. Initial concentration of sodium bicarbonate: c_{B0}=3.22*1000*0.5/(0.95*1108.76)=1.45mol/L. The concentration of chloroethanol: c_{A}=c_{A0}*(1-x). The concentration of sodium bicarbonate: c_{B}=c_{B0}-c_{A0}*x. Reaction time obtained through integral calculation: t=\frac{c_{A0}*x_{f}}{r_{A}}=\frac{c_{A0}*x_{f}}{k*c_{A}*c_{B}}=\frac{x_{f}}{k*(1-x_{A})*(c_{B0}-c_{A0}*x_{A})}=3.53 h. Theoretical volume is v=3.53*1108.76=3984.99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</si>
  <si>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</si>
  <si>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</si>
  <si>
    <t>The relative molecular weight of NaHCO_{3} is 84 kg/kmol, CH_{2}ClCH_{2}OH is 80.5 kg/kmol, CH_{2}OHCH_{2}OH is 62 kg/kmol. Hourly production of ethylene glycol: 300/62=4.88kmol/h. Hourly required chloroethanol: 4.88*80.5/(0.95*0.5)=1253.11kg/h. Hourly required sodium bicarbonate: 4.88*84*1/(0.95*0.5)+4.88*84*1=1239.62kg/h. Raw material volumetric flow rate: Q_{0}=(1253.11+1239.62)/1.02=2331.81L/h. Initial concentration of chloroethanol: c_{A0}=4.88*1000/(0.95*2331.81)=2.4mol/L. Initial concentration of sodium bicarbonate: c_{B0}=4.88*1000*1/(0.95*2331.81)=2.4mol/L. The concentration of chloroethanol: c_{A}=c_{A0}*(1-x). The concentration of sodium bicarbonate: c_{B}=c_{B0}-c_{A0}*x. Reaction time obtained through integral calculation: t=\frac{c_{A0}*x_{f}}{r_{A}}=\frac{c_{A0}*x_{f}}{k*c_{A}*c_{B}}=\frac{x_{f}}{k*(1-x_{A})*(c_{B0}-c_{A0}*x_{A})}=0.78 h. Theoretical volume is v=0.78*2331.81=1838.48 l.After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</si>
  <si>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The relative molecular weight of NaHCO_{3} is 84 kg/kmol, CH_{2}ClCH_{2}OH is 80.5 kg/kmol, CH_{2}OHCH_{2}OH is 62 kg/kmol. Hourly production of ethylene glycol: 100/62=1.61kmol/h. Hourly required chloroethanol: 1.61*80.5/(0.95*0.5)=292.08kg/h. Hourly required sodium bicarbonate: 1.61*84*1/(0.95*0.5)=323.53kg/h. Raw material volumetric flow rate: Q_{0}=(292.08+323.53)/1.02=599.07L/h. Initial concentration of chloroethanol: c_{A0}=1.61*1000/(0.95*599.07)=2.94mol/L. Initial concentration of sodium bicarbonate: c_{B0}=1.61*1000*0.5/(0.95*599.07)=1.5moll/L. The concentration of chloroethanol: c_{A}=c_{A0}*(1-x). The concentration of sodium bicarbonate: c_{B}=c_{B0}-c_{A0}*x. Reaction time obtained through integral calculation: t=\frac{c_{A0)*(1-x)}{r_{A}}=\frac{c_{A0)*(1-x)}{k*c_{A}*c_{B}}=\frac{1.5*1.61*1.61*(1-x)}{5.21*2.94*1.59508}=0.34 h. Theoretical volume is v=0.34*599.07=203.43 l.After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</si>
  <si>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 xml:space="preserve">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</si>
</sst>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'production_eval_deepseek-r1'!$I$2:$I$11</c:f>
              <c:numCache>
                <c:formatCode>General</c:formatCode>
                <c:ptCount val="10"/>
                <c:pt idx="0">
                  <c:v>761.48</c:v>
                </c:pt>
                <c:pt idx="1">
                  <c:v>5926.86</c:v>
                </c:pt>
                <c:pt idx="2">
                  <c:v>8953.56</c:v>
                </c:pt>
                <c:pt idx="3">
                  <c:v>12430.71</c:v>
                </c:pt>
                <c:pt idx="5">
                  <c:v>26339.33</c:v>
                </c:pt>
                <c:pt idx="7">
                  <c:v>14636.23</c:v>
                </c:pt>
                <c:pt idx="8">
                  <c:v>27763.01</c:v>
                </c:pt>
                <c:pt idx="9">
                  <c:v>29261.15</c:v>
                </c:pt>
              </c:numCache>
            </c:numRef>
          </c:yVal>
          <c:smooth val="0"/>
          <c:extLst>
            <c:ext xmlns:c16="http://schemas.microsoft.com/office/drawing/2014/chart" uri="{C3380CC4-5D6E-409C-BE32-E72D297353CC}">
              <c16:uniqueId val="{00000000-7CF9-43F9-8712-9A99C16E5421}"/>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'production_eval_deepseek-r1'!$J$2:$J$11</c:f>
              <c:numCache>
                <c:formatCode>General</c:formatCode>
                <c:ptCount val="10"/>
                <c:pt idx="0">
                  <c:v>12883.15</c:v>
                </c:pt>
                <c:pt idx="1">
                  <c:v>25766.3</c:v>
                </c:pt>
                <c:pt idx="2">
                  <c:v>38649.449999999997</c:v>
                </c:pt>
                <c:pt idx="3">
                  <c:v>51532.6</c:v>
                </c:pt>
                <c:pt idx="4">
                  <c:v>64415.75</c:v>
                </c:pt>
                <c:pt idx="5">
                  <c:v>77298.899999999994</c:v>
                </c:pt>
                <c:pt idx="6">
                  <c:v>90182.05</c:v>
                </c:pt>
                <c:pt idx="7">
                  <c:v>103065.2</c:v>
                </c:pt>
                <c:pt idx="8">
                  <c:v>115948.35</c:v>
                </c:pt>
                <c:pt idx="9">
                  <c:v>128831.5</c:v>
                </c:pt>
              </c:numCache>
            </c:numRef>
          </c:yVal>
          <c:smooth val="0"/>
          <c:extLst>
            <c:ext xmlns:c16="http://schemas.microsoft.com/office/drawing/2014/chart" uri="{C3380CC4-5D6E-409C-BE32-E72D297353CC}">
              <c16:uniqueId val="{00000001-7CF9-43F9-8712-9A99C16E5421}"/>
            </c:ext>
          </c:extLst>
        </c:ser>
        <c:dLbls>
          <c:showLegendKey val="0"/>
          <c:showVal val="0"/>
          <c:showCatName val="0"/>
          <c:showSerName val="0"/>
          <c:showPercent val="0"/>
          <c:showBubbleSize val="0"/>
        </c:dLbls>
        <c:axId val="2141628416"/>
        <c:axId val="819873856"/>
      </c:scatterChart>
      <c:valAx>
        <c:axId val="214162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9873856"/>
        <c:crosses val="autoZero"/>
        <c:crossBetween val="midCat"/>
      </c:valAx>
      <c:valAx>
        <c:axId val="81987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416284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'production_eval_deepseek-r1'!$I$2:$I$11</c:f>
              <c:numCache>
                <c:formatCode>General</c:formatCode>
                <c:ptCount val="10"/>
                <c:pt idx="0">
                  <c:v>761.48</c:v>
                </c:pt>
                <c:pt idx="1">
                  <c:v>5926.86</c:v>
                </c:pt>
                <c:pt idx="2">
                  <c:v>8953.56</c:v>
                </c:pt>
                <c:pt idx="3">
                  <c:v>12430.71</c:v>
                </c:pt>
                <c:pt idx="5">
                  <c:v>26339.33</c:v>
                </c:pt>
                <c:pt idx="7">
                  <c:v>14636.23</c:v>
                </c:pt>
                <c:pt idx="8">
                  <c:v>27763.01</c:v>
                </c:pt>
                <c:pt idx="9">
                  <c:v>29261.15</c:v>
                </c:pt>
              </c:numCache>
            </c:numRef>
          </c:yVal>
          <c:smooth val="0"/>
          <c:extLst>
            <c:ext xmlns:c16="http://schemas.microsoft.com/office/drawing/2014/chart" uri="{C3380CC4-5D6E-409C-BE32-E72D297353CC}">
              <c16:uniqueId val="{00000000-6711-487C-BBDE-E4A251B18C9C}"/>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'production_eval_deepseek-r1'!$J$2:$J$11</c:f>
              <c:numCache>
                <c:formatCode>General</c:formatCode>
                <c:ptCount val="10"/>
                <c:pt idx="0">
                  <c:v>12883.15</c:v>
                </c:pt>
                <c:pt idx="1">
                  <c:v>25766.3</c:v>
                </c:pt>
                <c:pt idx="2">
                  <c:v>38649.449999999997</c:v>
                </c:pt>
                <c:pt idx="3">
                  <c:v>51532.6</c:v>
                </c:pt>
                <c:pt idx="4">
                  <c:v>64415.75</c:v>
                </c:pt>
                <c:pt idx="5">
                  <c:v>77298.899999999994</c:v>
                </c:pt>
                <c:pt idx="6">
                  <c:v>90182.05</c:v>
                </c:pt>
                <c:pt idx="7">
                  <c:v>103065.2</c:v>
                </c:pt>
                <c:pt idx="8">
                  <c:v>115948.35</c:v>
                </c:pt>
                <c:pt idx="9">
                  <c:v>128831.5</c:v>
                </c:pt>
              </c:numCache>
            </c:numRef>
          </c:yVal>
          <c:smooth val="0"/>
          <c:extLst>
            <c:ext xmlns:c16="http://schemas.microsoft.com/office/drawing/2014/chart" uri="{C3380CC4-5D6E-409C-BE32-E72D297353CC}">
              <c16:uniqueId val="{00000001-6711-487C-BBDE-E4A251B18C9C}"/>
            </c:ext>
          </c:extLst>
        </c:ser>
        <c:dLbls>
          <c:showLegendKey val="0"/>
          <c:showVal val="0"/>
          <c:showCatName val="0"/>
          <c:showSerName val="0"/>
          <c:showPercent val="0"/>
          <c:showBubbleSize val="0"/>
        </c:dLbls>
        <c:axId val="244983952"/>
        <c:axId val="244983120"/>
      </c:scatterChart>
      <c:valAx>
        <c:axId val="24498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44983120"/>
        <c:crosses val="autoZero"/>
        <c:crossBetween val="midCat"/>
      </c:valAx>
      <c:valAx>
        <c:axId val="24498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44983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'production_eval_deepseek-r1'!$K$2:$K$11</c:f>
              <c:numCache>
                <c:formatCode>General</c:formatCode>
                <c:ptCount val="10"/>
                <c:pt idx="0">
                  <c:v>807.84</c:v>
                </c:pt>
                <c:pt idx="1">
                  <c:v>1057.24</c:v>
                </c:pt>
                <c:pt idx="2">
                  <c:v>1590.39</c:v>
                </c:pt>
                <c:pt idx="3">
                  <c:v>2179.64</c:v>
                </c:pt>
                <c:pt idx="4">
                  <c:v>0.98</c:v>
                </c:pt>
                <c:pt idx="5">
                  <c:v>4685.28</c:v>
                </c:pt>
                <c:pt idx="6">
                  <c:v>3759.14</c:v>
                </c:pt>
                <c:pt idx="7">
                  <c:v>4302.51</c:v>
                </c:pt>
                <c:pt idx="8">
                  <c:v>4954.04</c:v>
                </c:pt>
                <c:pt idx="9">
                  <c:v>5228.95</c:v>
                </c:pt>
              </c:numCache>
            </c:numRef>
          </c:yVal>
          <c:smooth val="0"/>
          <c:extLst>
            <c:ext xmlns:c16="http://schemas.microsoft.com/office/drawing/2014/chart" uri="{C3380CC4-5D6E-409C-BE32-E72D297353CC}">
              <c16:uniqueId val="{00000000-1C9F-42FF-968F-F0F5C983D354}"/>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'production_eval_deepseek-r1'!$L$2:$L$11</c:f>
              <c:numCache>
                <c:formatCode>General</c:formatCode>
                <c:ptCount val="10"/>
                <c:pt idx="0">
                  <c:v>547.62</c:v>
                </c:pt>
                <c:pt idx="1">
                  <c:v>1095.24</c:v>
                </c:pt>
                <c:pt idx="2">
                  <c:v>1642.86</c:v>
                </c:pt>
                <c:pt idx="3">
                  <c:v>2190.48</c:v>
                </c:pt>
                <c:pt idx="4">
                  <c:v>2738.1</c:v>
                </c:pt>
                <c:pt idx="5">
                  <c:v>3285.72</c:v>
                </c:pt>
                <c:pt idx="6">
                  <c:v>3833.34</c:v>
                </c:pt>
                <c:pt idx="7">
                  <c:v>4380.96</c:v>
                </c:pt>
                <c:pt idx="8">
                  <c:v>4928.58</c:v>
                </c:pt>
                <c:pt idx="9">
                  <c:v>5476.2</c:v>
                </c:pt>
              </c:numCache>
            </c:numRef>
          </c:yVal>
          <c:smooth val="0"/>
          <c:extLst>
            <c:ext xmlns:c16="http://schemas.microsoft.com/office/drawing/2014/chart" uri="{C3380CC4-5D6E-409C-BE32-E72D297353CC}">
              <c16:uniqueId val="{00000001-1C9F-42FF-968F-F0F5C983D354}"/>
            </c:ext>
          </c:extLst>
        </c:ser>
        <c:dLbls>
          <c:showLegendKey val="0"/>
          <c:showVal val="0"/>
          <c:showCatName val="0"/>
          <c:showSerName val="0"/>
          <c:showPercent val="0"/>
          <c:showBubbleSize val="0"/>
        </c:dLbls>
        <c:axId val="775049824"/>
        <c:axId val="775049408"/>
      </c:scatterChart>
      <c:valAx>
        <c:axId val="77504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75049408"/>
        <c:crosses val="autoZero"/>
        <c:crossBetween val="midCat"/>
      </c:valAx>
      <c:valAx>
        <c:axId val="77504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75049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'production_eval_deepseek-r1'!$M$2:$M$11</c:f>
              <c:numCache>
                <c:formatCode>General</c:formatCode>
                <c:ptCount val="10"/>
                <c:pt idx="0">
                  <c:v>0.94</c:v>
                </c:pt>
                <c:pt idx="1">
                  <c:v>5.61</c:v>
                </c:pt>
                <c:pt idx="2">
                  <c:v>5.61</c:v>
                </c:pt>
                <c:pt idx="3">
                  <c:v>5.71</c:v>
                </c:pt>
                <c:pt idx="4">
                  <c:v>5.63</c:v>
                </c:pt>
                <c:pt idx="5">
                  <c:v>5.61</c:v>
                </c:pt>
                <c:pt idx="6">
                  <c:v>44.91</c:v>
                </c:pt>
                <c:pt idx="7">
                  <c:v>3.39</c:v>
                </c:pt>
                <c:pt idx="8">
                  <c:v>5.61</c:v>
                </c:pt>
                <c:pt idx="9">
                  <c:v>5.56</c:v>
                </c:pt>
              </c:numCache>
            </c:numRef>
          </c:yVal>
          <c:smooth val="0"/>
          <c:extLst>
            <c:ext xmlns:c16="http://schemas.microsoft.com/office/drawing/2014/chart" uri="{C3380CC4-5D6E-409C-BE32-E72D297353CC}">
              <c16:uniqueId val="{00000000-B5DA-48B0-9108-C6A1F7898D84}"/>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'production_eval_deepseek-r1'!$H$2:$H$11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'production_eval_deepseek-r1'!$N$2:$N$11</c:f>
              <c:numCache>
                <c:formatCode>General</c:formatCode>
                <c:ptCount val="10"/>
                <c:pt idx="0">
                  <c:v>23.53</c:v>
                </c:pt>
                <c:pt idx="1">
                  <c:v>23.53</c:v>
                </c:pt>
                <c:pt idx="2">
                  <c:v>23.53</c:v>
                </c:pt>
                <c:pt idx="3">
                  <c:v>23.53</c:v>
                </c:pt>
                <c:pt idx="4">
                  <c:v>23.53</c:v>
                </c:pt>
                <c:pt idx="5">
                  <c:v>23.53</c:v>
                </c:pt>
                <c:pt idx="6">
                  <c:v>23.53</c:v>
                </c:pt>
                <c:pt idx="7">
                  <c:v>23.53</c:v>
                </c:pt>
                <c:pt idx="8">
                  <c:v>23.53</c:v>
                </c:pt>
                <c:pt idx="9">
                  <c:v>23.53</c:v>
                </c:pt>
              </c:numCache>
            </c:numRef>
          </c:yVal>
          <c:smooth val="0"/>
          <c:extLst>
            <c:ext xmlns:c16="http://schemas.microsoft.com/office/drawing/2014/chart" uri="{C3380CC4-5D6E-409C-BE32-E72D297353CC}">
              <c16:uniqueId val="{00000001-B5DA-48B0-9108-C6A1F7898D84}"/>
            </c:ext>
          </c:extLst>
        </c:ser>
        <c:dLbls>
          <c:showLegendKey val="0"/>
          <c:showVal val="0"/>
          <c:showCatName val="0"/>
          <c:showSerName val="0"/>
          <c:showPercent val="0"/>
          <c:showBubbleSize val="0"/>
        </c:dLbls>
        <c:axId val="589261296"/>
        <c:axId val="589266704"/>
      </c:scatterChart>
      <c:valAx>
        <c:axId val="58926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9266704"/>
        <c:crosses val="autoZero"/>
        <c:crossBetween val="midCat"/>
      </c:valAx>
      <c:valAx>
        <c:axId val="5892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9261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403225</xdr:colOff>
      <xdr:row>1</xdr:row>
      <xdr:rowOff>2212975</xdr:rowOff>
    </xdr:from>
    <xdr:to>
      <xdr:col>22</xdr:col>
      <xdr:colOff>98425</xdr:colOff>
      <xdr:row>1</xdr:row>
      <xdr:rowOff>4956175</xdr:rowOff>
    </xdr:to>
    <xdr:graphicFrame macro="">
      <xdr:nvGraphicFramePr>
        <xdr:cNvPr id="4" name="图表 3">
          <a:extLst>
            <a:ext uri="{FF2B5EF4-FFF2-40B4-BE49-F238E27FC236}">
              <a16:creationId xmlns:a16="http://schemas.microsoft.com/office/drawing/2014/main" id="{F491134A-2659-4072-8940-704E24463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xdr:colOff>
      <xdr:row>13</xdr:row>
      <xdr:rowOff>149225</xdr:rowOff>
    </xdr:from>
    <xdr:to>
      <xdr:col>15</xdr:col>
      <xdr:colOff>307975</xdr:colOff>
      <xdr:row>29</xdr:row>
      <xdr:rowOff>47625</xdr:rowOff>
    </xdr:to>
    <xdr:graphicFrame macro="">
      <xdr:nvGraphicFramePr>
        <xdr:cNvPr id="5" name="图表 4">
          <a:extLst>
            <a:ext uri="{FF2B5EF4-FFF2-40B4-BE49-F238E27FC236}">
              <a16:creationId xmlns:a16="http://schemas.microsoft.com/office/drawing/2014/main" id="{35416430-5DA3-430A-949A-02B714C32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85725</xdr:colOff>
      <xdr:row>2</xdr:row>
      <xdr:rowOff>155575</xdr:rowOff>
    </xdr:from>
    <xdr:to>
      <xdr:col>23</xdr:col>
      <xdr:colOff>390525</xdr:colOff>
      <xdr:row>18</xdr:row>
      <xdr:rowOff>53975</xdr:rowOff>
    </xdr:to>
    <xdr:graphicFrame macro="">
      <xdr:nvGraphicFramePr>
        <xdr:cNvPr id="6" name="图表 5">
          <a:extLst>
            <a:ext uri="{FF2B5EF4-FFF2-40B4-BE49-F238E27FC236}">
              <a16:creationId xmlns:a16="http://schemas.microsoft.com/office/drawing/2014/main" id="{A6F80762-63D7-435F-8A00-375070B85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117475</xdr:colOff>
      <xdr:row>18</xdr:row>
      <xdr:rowOff>98425</xdr:rowOff>
    </xdr:from>
    <xdr:to>
      <xdr:col>23</xdr:col>
      <xdr:colOff>422275</xdr:colOff>
      <xdr:row>33</xdr:row>
      <xdr:rowOff>174625</xdr:rowOff>
    </xdr:to>
    <xdr:graphicFrame macro="">
      <xdr:nvGraphicFramePr>
        <xdr:cNvPr id="7" name="图表 6">
          <a:extLst>
            <a:ext uri="{FF2B5EF4-FFF2-40B4-BE49-F238E27FC236}">
              <a16:creationId xmlns:a16="http://schemas.microsoft.com/office/drawing/2014/main" id="{217EC13F-3E4B-4393-9715-C88EB10A6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workbookViewId="0">
      <selection activeCell="H1" sqref="H1:N11"/>
    </sheetView>
  </sheetViews>
  <sheetFormatPr defaultRowHeight="14" x14ac:dyDescent="0.25"/>
  <cols>
    <col min="11" max="11" width="14.90625" customWidth="1"/>
  </cols>
  <sheetData>
    <row r="1" spans="1:14" x14ac:dyDescent="0.25">
      <c r="A1" s="1" t="s">
        <v>0</v>
      </c>
      <c r="B1" s="1" t="s">
        <v>1</v>
      </c>
      <c r="C1" s="1" t="s">
        <v>2</v>
      </c>
      <c r="D1" s="2" t="s">
        <v>33</v>
      </c>
      <c r="E1" s="2" t="s">
        <v>34</v>
      </c>
      <c r="I1" s="2" t="s">
        <v>33</v>
      </c>
      <c r="J1" s="2" t="s">
        <v>34</v>
      </c>
      <c r="K1" t="s">
        <v>36</v>
      </c>
      <c r="L1" t="s">
        <v>35</v>
      </c>
      <c r="M1" t="s">
        <v>37</v>
      </c>
      <c r="N1" t="s">
        <v>38</v>
      </c>
    </row>
    <row r="2" spans="1:14" x14ac:dyDescent="0.25">
      <c r="A2" s="3" t="s">
        <v>32</v>
      </c>
      <c r="B2" s="3" t="s">
        <v>31</v>
      </c>
      <c r="C2" s="3" t="s">
        <v>30</v>
      </c>
      <c r="D2">
        <v>761.48</v>
      </c>
      <c r="E2">
        <v>12883.15</v>
      </c>
      <c r="H2">
        <v>1</v>
      </c>
      <c r="I2">
        <v>761.48</v>
      </c>
      <c r="J2">
        <v>12883.15</v>
      </c>
      <c r="K2">
        <v>807.84</v>
      </c>
      <c r="L2">
        <v>547.62</v>
      </c>
      <c r="M2">
        <v>0.94</v>
      </c>
      <c r="N2">
        <v>23.53</v>
      </c>
    </row>
    <row r="3" spans="1:14" x14ac:dyDescent="0.25">
      <c r="A3" t="s">
        <v>3</v>
      </c>
      <c r="B3" t="s">
        <v>4</v>
      </c>
      <c r="C3" t="s">
        <v>5</v>
      </c>
      <c r="D3">
        <v>5926.86</v>
      </c>
      <c r="E3">
        <v>25766.3</v>
      </c>
      <c r="H3">
        <v>2</v>
      </c>
      <c r="I3">
        <v>5926.86</v>
      </c>
      <c r="J3">
        <v>25766.3</v>
      </c>
      <c r="K3">
        <v>1057.24</v>
      </c>
      <c r="L3">
        <v>1095.24</v>
      </c>
      <c r="M3">
        <v>5.61</v>
      </c>
      <c r="N3">
        <v>23.53</v>
      </c>
    </row>
    <row r="4" spans="1:14" x14ac:dyDescent="0.25">
      <c r="A4" t="s">
        <v>6</v>
      </c>
      <c r="B4" t="s">
        <v>7</v>
      </c>
      <c r="C4" t="s">
        <v>8</v>
      </c>
      <c r="D4">
        <v>8953.56</v>
      </c>
      <c r="E4">
        <v>38649.449999999997</v>
      </c>
      <c r="H4">
        <v>3</v>
      </c>
      <c r="I4">
        <v>8953.56</v>
      </c>
      <c r="J4">
        <v>38649.449999999997</v>
      </c>
      <c r="K4">
        <v>1590.39</v>
      </c>
      <c r="L4">
        <v>1642.86</v>
      </c>
      <c r="M4">
        <v>5.61</v>
      </c>
      <c r="N4">
        <v>23.53</v>
      </c>
    </row>
    <row r="5" spans="1:14" x14ac:dyDescent="0.25">
      <c r="A5" t="s">
        <v>9</v>
      </c>
      <c r="B5" t="s">
        <v>10</v>
      </c>
      <c r="C5" t="s">
        <v>11</v>
      </c>
      <c r="D5">
        <v>12430.71</v>
      </c>
      <c r="E5">
        <v>51532.6</v>
      </c>
      <c r="H5">
        <v>4</v>
      </c>
      <c r="I5">
        <v>12430.71</v>
      </c>
      <c r="J5">
        <v>51532.6</v>
      </c>
      <c r="K5">
        <v>2179.64</v>
      </c>
      <c r="L5">
        <v>2190.48</v>
      </c>
      <c r="M5">
        <v>5.71</v>
      </c>
      <c r="N5">
        <v>23.53</v>
      </c>
    </row>
    <row r="6" spans="1:14" x14ac:dyDescent="0.25">
      <c r="A6" t="s">
        <v>12</v>
      </c>
      <c r="B6" t="s">
        <v>13</v>
      </c>
      <c r="C6" t="s">
        <v>14</v>
      </c>
      <c r="D6">
        <v>5.52</v>
      </c>
      <c r="E6">
        <v>64415.75</v>
      </c>
      <c r="H6">
        <v>5</v>
      </c>
      <c r="J6">
        <v>64415.75</v>
      </c>
      <c r="K6">
        <v>0.98</v>
      </c>
      <c r="L6">
        <v>2738.1</v>
      </c>
      <c r="M6">
        <v>5.63</v>
      </c>
      <c r="N6">
        <v>23.53</v>
      </c>
    </row>
    <row r="7" spans="1:14" x14ac:dyDescent="0.25">
      <c r="A7" t="s">
        <v>15</v>
      </c>
      <c r="B7" t="s">
        <v>16</v>
      </c>
      <c r="C7" t="s">
        <v>17</v>
      </c>
      <c r="D7">
        <v>26339.33</v>
      </c>
      <c r="E7">
        <v>77298.899999999994</v>
      </c>
      <c r="H7">
        <v>6</v>
      </c>
      <c r="I7">
        <v>26339.33</v>
      </c>
      <c r="J7">
        <v>77298.899999999994</v>
      </c>
      <c r="K7">
        <v>4685.28</v>
      </c>
      <c r="L7">
        <v>3285.72</v>
      </c>
      <c r="M7">
        <v>5.61</v>
      </c>
      <c r="N7">
        <v>23.53</v>
      </c>
    </row>
    <row r="8" spans="1:14" x14ac:dyDescent="0.25">
      <c r="A8" t="s">
        <v>18</v>
      </c>
      <c r="B8" t="s">
        <v>19</v>
      </c>
      <c r="C8" t="s">
        <v>20</v>
      </c>
      <c r="D8">
        <v>169068.16</v>
      </c>
      <c r="E8">
        <v>90182.05</v>
      </c>
      <c r="H8">
        <v>7</v>
      </c>
      <c r="J8">
        <v>90182.05</v>
      </c>
      <c r="K8">
        <v>3759.14</v>
      </c>
      <c r="L8">
        <v>3833.34</v>
      </c>
      <c r="M8">
        <v>44.91</v>
      </c>
      <c r="N8">
        <v>23.53</v>
      </c>
    </row>
    <row r="9" spans="1:14" x14ac:dyDescent="0.25">
      <c r="A9" t="s">
        <v>21</v>
      </c>
      <c r="B9" t="s">
        <v>22</v>
      </c>
      <c r="C9" t="s">
        <v>23</v>
      </c>
      <c r="D9">
        <v>14636.23</v>
      </c>
      <c r="E9">
        <v>103065.2</v>
      </c>
      <c r="H9">
        <v>8</v>
      </c>
      <c r="I9">
        <v>14636.23</v>
      </c>
      <c r="J9">
        <v>103065.2</v>
      </c>
      <c r="K9">
        <v>4302.51</v>
      </c>
      <c r="L9">
        <v>4380.96</v>
      </c>
      <c r="M9">
        <v>3.39</v>
      </c>
      <c r="N9">
        <v>23.53</v>
      </c>
    </row>
    <row r="10" spans="1:14" x14ac:dyDescent="0.25">
      <c r="A10" t="s">
        <v>24</v>
      </c>
      <c r="B10" t="s">
        <v>25</v>
      </c>
      <c r="C10" t="s">
        <v>26</v>
      </c>
      <c r="D10">
        <v>27763.01</v>
      </c>
      <c r="E10">
        <v>115948.35</v>
      </c>
      <c r="H10">
        <v>9</v>
      </c>
      <c r="I10">
        <v>27763.01</v>
      </c>
      <c r="J10">
        <v>115948.35</v>
      </c>
      <c r="K10">
        <v>4954.04</v>
      </c>
      <c r="L10">
        <v>4928.58</v>
      </c>
      <c r="M10">
        <v>5.61</v>
      </c>
      <c r="N10">
        <v>23.53</v>
      </c>
    </row>
    <row r="11" spans="1:14" x14ac:dyDescent="0.25">
      <c r="A11" t="s">
        <v>27</v>
      </c>
      <c r="B11" t="s">
        <v>28</v>
      </c>
      <c r="C11" t="s">
        <v>29</v>
      </c>
      <c r="D11">
        <v>29261.15</v>
      </c>
      <c r="E11">
        <v>128831.5</v>
      </c>
      <c r="H11">
        <v>10</v>
      </c>
      <c r="I11">
        <v>29261.15</v>
      </c>
      <c r="J11">
        <v>128831.5</v>
      </c>
      <c r="K11">
        <v>5228.95</v>
      </c>
      <c r="L11">
        <v>5476.2</v>
      </c>
      <c r="M11">
        <v>5.56</v>
      </c>
      <c r="N11">
        <v>23.53</v>
      </c>
    </row>
  </sheetData>
  <phoneticPr fontId="2"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D67D-676B-4337-8884-733E6D196E90}">
  <dimension ref="A1:M11"/>
  <sheetViews>
    <sheetView workbookViewId="0">
      <selection activeCell="G1" sqref="G1:M11"/>
    </sheetView>
  </sheetViews>
  <sheetFormatPr defaultRowHeight="14" x14ac:dyDescent="0.25"/>
  <sheetData>
    <row r="1" spans="1:13" x14ac:dyDescent="0.25">
      <c r="A1" s="1" t="s">
        <v>0</v>
      </c>
      <c r="B1" s="1" t="s">
        <v>1</v>
      </c>
      <c r="C1" s="1" t="s">
        <v>2</v>
      </c>
      <c r="H1" s="2" t="s">
        <v>33</v>
      </c>
      <c r="I1" s="2" t="s">
        <v>34</v>
      </c>
      <c r="J1" t="s">
        <v>36</v>
      </c>
      <c r="K1" t="s">
        <v>35</v>
      </c>
      <c r="L1" t="s">
        <v>37</v>
      </c>
      <c r="M1" t="s">
        <v>38</v>
      </c>
    </row>
    <row r="2" spans="1:13" x14ac:dyDescent="0.25">
      <c r="A2" t="s">
        <v>67</v>
      </c>
      <c r="B2" t="s">
        <v>66</v>
      </c>
      <c r="C2" t="s">
        <v>65</v>
      </c>
      <c r="G2">
        <v>1</v>
      </c>
      <c r="H2">
        <v>6910.94</v>
      </c>
      <c r="I2">
        <v>12883.15</v>
      </c>
      <c r="J2">
        <v>6118.09</v>
      </c>
      <c r="K2">
        <v>547.62</v>
      </c>
      <c r="L2">
        <v>1.1399999999999999</v>
      </c>
      <c r="M2">
        <v>23.53</v>
      </c>
    </row>
    <row r="3" spans="1:13" x14ac:dyDescent="0.25">
      <c r="A3" t="s">
        <v>64</v>
      </c>
      <c r="B3" t="s">
        <v>63</v>
      </c>
      <c r="C3" t="s">
        <v>62</v>
      </c>
      <c r="G3">
        <v>2</v>
      </c>
      <c r="I3">
        <v>25766.3</v>
      </c>
      <c r="K3">
        <v>1095.24</v>
      </c>
      <c r="L3">
        <v>11.03</v>
      </c>
      <c r="M3">
        <v>23.53</v>
      </c>
    </row>
    <row r="4" spans="1:13" x14ac:dyDescent="0.25">
      <c r="A4" t="s">
        <v>61</v>
      </c>
      <c r="B4" t="s">
        <v>137</v>
      </c>
      <c r="C4" t="s">
        <v>60</v>
      </c>
      <c r="G4">
        <v>3</v>
      </c>
      <c r="I4">
        <v>38649.449999999997</v>
      </c>
      <c r="K4">
        <v>1642.86</v>
      </c>
      <c r="L4">
        <v>0.78</v>
      </c>
      <c r="M4">
        <v>23.53</v>
      </c>
    </row>
    <row r="5" spans="1:13" x14ac:dyDescent="0.25">
      <c r="A5" t="s">
        <v>59</v>
      </c>
      <c r="B5" t="s">
        <v>58</v>
      </c>
      <c r="C5" t="s">
        <v>57</v>
      </c>
      <c r="G5">
        <v>4</v>
      </c>
      <c r="I5">
        <v>51532.6</v>
      </c>
      <c r="K5">
        <v>2190.48</v>
      </c>
      <c r="L5">
        <v>0.79</v>
      </c>
      <c r="M5">
        <v>23.53</v>
      </c>
    </row>
    <row r="6" spans="1:13" x14ac:dyDescent="0.25">
      <c r="A6" t="s">
        <v>56</v>
      </c>
      <c r="B6" t="s">
        <v>55</v>
      </c>
      <c r="C6" t="s">
        <v>54</v>
      </c>
      <c r="G6">
        <v>5</v>
      </c>
      <c r="I6">
        <v>64415.75</v>
      </c>
      <c r="K6">
        <v>2738.1</v>
      </c>
      <c r="L6">
        <v>1.25</v>
      </c>
      <c r="M6">
        <v>23.53</v>
      </c>
    </row>
    <row r="7" spans="1:13" x14ac:dyDescent="0.25">
      <c r="A7" t="s">
        <v>53</v>
      </c>
      <c r="B7" t="s">
        <v>52</v>
      </c>
      <c r="C7" t="s">
        <v>51</v>
      </c>
      <c r="G7">
        <v>6</v>
      </c>
      <c r="I7">
        <v>77298.899999999994</v>
      </c>
      <c r="K7">
        <v>3285.72</v>
      </c>
      <c r="L7">
        <v>1.1299999999999999</v>
      </c>
      <c r="M7">
        <v>23.53</v>
      </c>
    </row>
    <row r="8" spans="1:13" x14ac:dyDescent="0.25">
      <c r="A8" t="s">
        <v>50</v>
      </c>
      <c r="B8" t="s">
        <v>49</v>
      </c>
      <c r="C8" t="s">
        <v>48</v>
      </c>
      <c r="G8">
        <v>7</v>
      </c>
      <c r="I8">
        <v>90182.05</v>
      </c>
      <c r="K8">
        <v>3833.34</v>
      </c>
      <c r="L8">
        <v>0.79</v>
      </c>
      <c r="M8">
        <v>23.53</v>
      </c>
    </row>
    <row r="9" spans="1:13" x14ac:dyDescent="0.25">
      <c r="A9" t="s">
        <v>47</v>
      </c>
      <c r="B9" t="s">
        <v>46</v>
      </c>
      <c r="C9" t="s">
        <v>45</v>
      </c>
      <c r="G9">
        <v>8</v>
      </c>
      <c r="I9">
        <v>103065.2</v>
      </c>
      <c r="K9">
        <v>4380.96</v>
      </c>
      <c r="L9">
        <v>0.79</v>
      </c>
      <c r="M9">
        <v>23.53</v>
      </c>
    </row>
    <row r="10" spans="1:13" x14ac:dyDescent="0.25">
      <c r="A10" t="s">
        <v>44</v>
      </c>
      <c r="B10" t="s">
        <v>43</v>
      </c>
      <c r="C10" t="s">
        <v>42</v>
      </c>
      <c r="G10">
        <v>9</v>
      </c>
      <c r="I10">
        <v>115948.35</v>
      </c>
      <c r="K10">
        <v>4928.58</v>
      </c>
      <c r="M10">
        <v>23.53</v>
      </c>
    </row>
    <row r="11" spans="1:13" x14ac:dyDescent="0.25">
      <c r="A11" t="s">
        <v>41</v>
      </c>
      <c r="B11" t="s">
        <v>40</v>
      </c>
      <c r="C11" t="s">
        <v>39</v>
      </c>
      <c r="G11">
        <v>10</v>
      </c>
      <c r="I11">
        <v>128831.5</v>
      </c>
      <c r="K11">
        <v>5476.2</v>
      </c>
      <c r="L11">
        <v>1.25</v>
      </c>
      <c r="M11">
        <v>23.53</v>
      </c>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4BB0-D539-4FB7-86B7-9D1F916EB798}">
  <dimension ref="A1:L11"/>
  <sheetViews>
    <sheetView workbookViewId="0">
      <selection activeCell="B11" sqref="B11"/>
    </sheetView>
  </sheetViews>
  <sheetFormatPr defaultRowHeight="14" x14ac:dyDescent="0.25"/>
  <sheetData>
    <row r="1" spans="1:12" x14ac:dyDescent="0.25">
      <c r="A1" s="1" t="s">
        <v>0</v>
      </c>
      <c r="B1" s="1" t="s">
        <v>1</v>
      </c>
      <c r="C1" s="1" t="s">
        <v>2</v>
      </c>
      <c r="G1" s="2" t="s">
        <v>33</v>
      </c>
      <c r="H1" s="2" t="s">
        <v>34</v>
      </c>
      <c r="I1" t="s">
        <v>36</v>
      </c>
      <c r="J1" t="s">
        <v>35</v>
      </c>
      <c r="K1" t="s">
        <v>37</v>
      </c>
      <c r="L1" t="s">
        <v>38</v>
      </c>
    </row>
    <row r="2" spans="1:12" x14ac:dyDescent="0.25">
      <c r="A2" t="s">
        <v>97</v>
      </c>
      <c r="B2" t="s">
        <v>96</v>
      </c>
      <c r="C2" t="s">
        <v>95</v>
      </c>
      <c r="F2">
        <v>1</v>
      </c>
      <c r="G2">
        <v>6910.94</v>
      </c>
      <c r="H2">
        <v>12883.15</v>
      </c>
      <c r="I2">
        <v>6118.09</v>
      </c>
      <c r="J2">
        <v>547.62</v>
      </c>
      <c r="K2">
        <v>1.1399999999999999</v>
      </c>
      <c r="L2">
        <v>23.53</v>
      </c>
    </row>
    <row r="3" spans="1:12" x14ac:dyDescent="0.25">
      <c r="A3" t="s">
        <v>94</v>
      </c>
      <c r="B3" t="s">
        <v>93</v>
      </c>
      <c r="C3" t="s">
        <v>92</v>
      </c>
      <c r="F3">
        <v>2</v>
      </c>
      <c r="H3">
        <v>25766.3</v>
      </c>
      <c r="J3">
        <v>1095.24</v>
      </c>
      <c r="K3">
        <v>11.03</v>
      </c>
      <c r="L3">
        <v>23.53</v>
      </c>
    </row>
    <row r="4" spans="1:12" x14ac:dyDescent="0.25">
      <c r="A4" t="s">
        <v>91</v>
      </c>
      <c r="B4" t="s">
        <v>90</v>
      </c>
      <c r="C4" t="s">
        <v>89</v>
      </c>
      <c r="F4">
        <v>3</v>
      </c>
      <c r="H4">
        <v>38649.449999999997</v>
      </c>
      <c r="J4">
        <v>1642.86</v>
      </c>
      <c r="K4">
        <v>0.78</v>
      </c>
      <c r="L4">
        <v>23.53</v>
      </c>
    </row>
    <row r="5" spans="1:12" x14ac:dyDescent="0.25">
      <c r="A5" t="s">
        <v>88</v>
      </c>
      <c r="B5" t="s">
        <v>87</v>
      </c>
      <c r="C5" t="s">
        <v>86</v>
      </c>
      <c r="F5">
        <v>4</v>
      </c>
      <c r="H5">
        <v>51532.6</v>
      </c>
      <c r="J5">
        <v>2190.48</v>
      </c>
      <c r="K5">
        <v>0.79</v>
      </c>
      <c r="L5">
        <v>23.53</v>
      </c>
    </row>
    <row r="6" spans="1:12" x14ac:dyDescent="0.25">
      <c r="A6" t="s">
        <v>85</v>
      </c>
      <c r="B6" t="s">
        <v>84</v>
      </c>
      <c r="C6" t="s">
        <v>83</v>
      </c>
      <c r="F6">
        <v>5</v>
      </c>
      <c r="H6">
        <v>64415.75</v>
      </c>
      <c r="J6">
        <v>2738.1</v>
      </c>
      <c r="K6">
        <v>1.25</v>
      </c>
      <c r="L6">
        <v>23.53</v>
      </c>
    </row>
    <row r="7" spans="1:12" x14ac:dyDescent="0.25">
      <c r="A7" t="s">
        <v>82</v>
      </c>
      <c r="B7" t="s">
        <v>81</v>
      </c>
      <c r="C7" t="s">
        <v>80</v>
      </c>
      <c r="F7">
        <v>6</v>
      </c>
      <c r="H7">
        <v>77298.899999999994</v>
      </c>
      <c r="J7">
        <v>3285.72</v>
      </c>
      <c r="K7">
        <v>1.1299999999999999</v>
      </c>
      <c r="L7">
        <v>23.53</v>
      </c>
    </row>
    <row r="8" spans="1:12" x14ac:dyDescent="0.25">
      <c r="A8" t="s">
        <v>79</v>
      </c>
      <c r="B8" t="s">
        <v>78</v>
      </c>
      <c r="C8" t="s">
        <v>77</v>
      </c>
      <c r="F8">
        <v>7</v>
      </c>
      <c r="H8">
        <v>90182.05</v>
      </c>
      <c r="J8">
        <v>3833.34</v>
      </c>
      <c r="K8">
        <v>0.79</v>
      </c>
      <c r="L8">
        <v>23.53</v>
      </c>
    </row>
    <row r="9" spans="1:12" x14ac:dyDescent="0.25">
      <c r="A9" t="s">
        <v>76</v>
      </c>
      <c r="B9" t="s">
        <v>75</v>
      </c>
      <c r="C9" t="s">
        <v>74</v>
      </c>
      <c r="F9">
        <v>8</v>
      </c>
      <c r="H9">
        <v>103065.2</v>
      </c>
      <c r="J9">
        <v>4380.96</v>
      </c>
      <c r="K9">
        <v>0.79</v>
      </c>
      <c r="L9">
        <v>23.53</v>
      </c>
    </row>
    <row r="10" spans="1:12" x14ac:dyDescent="0.25">
      <c r="A10" t="s">
        <v>73</v>
      </c>
      <c r="B10" t="s">
        <v>72</v>
      </c>
      <c r="C10" t="s">
        <v>71</v>
      </c>
      <c r="F10">
        <v>9</v>
      </c>
      <c r="H10">
        <v>115948.35</v>
      </c>
      <c r="J10">
        <v>4928.58</v>
      </c>
      <c r="L10">
        <v>23.53</v>
      </c>
    </row>
    <row r="11" spans="1:12" x14ac:dyDescent="0.25">
      <c r="A11" t="s">
        <v>70</v>
      </c>
      <c r="B11" t="s">
        <v>69</v>
      </c>
      <c r="C11" t="s">
        <v>68</v>
      </c>
      <c r="F11">
        <v>10</v>
      </c>
      <c r="H11">
        <v>128831.5</v>
      </c>
      <c r="J11">
        <v>5476.2</v>
      </c>
      <c r="K11">
        <v>1.25</v>
      </c>
      <c r="L11">
        <v>23.53</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122A-2587-400B-A4FC-8F7A4D86D71B}">
  <dimension ref="A1:C11"/>
  <sheetViews>
    <sheetView workbookViewId="0">
      <selection activeCell="B12" sqref="B12"/>
    </sheetView>
  </sheetViews>
  <sheetFormatPr defaultRowHeight="14" x14ac:dyDescent="0.25"/>
  <sheetData>
    <row r="1" spans="1:3" x14ac:dyDescent="0.25">
      <c r="A1" s="1" t="s">
        <v>0</v>
      </c>
      <c r="B1" s="1" t="s">
        <v>1</v>
      </c>
      <c r="C1" s="1" t="s">
        <v>2</v>
      </c>
    </row>
    <row r="2" spans="1:3" x14ac:dyDescent="0.25">
      <c r="A2" t="s">
        <v>117</v>
      </c>
      <c r="B2" t="s">
        <v>116</v>
      </c>
      <c r="C2" t="s">
        <v>65</v>
      </c>
    </row>
    <row r="3" spans="1:3" x14ac:dyDescent="0.25">
      <c r="A3" t="s">
        <v>115</v>
      </c>
      <c r="B3" t="s">
        <v>114</v>
      </c>
      <c r="C3" t="s">
        <v>62</v>
      </c>
    </row>
    <row r="4" spans="1:3" x14ac:dyDescent="0.25">
      <c r="A4" t="s">
        <v>113</v>
      </c>
      <c r="B4" t="s">
        <v>112</v>
      </c>
      <c r="C4" t="s">
        <v>60</v>
      </c>
    </row>
    <row r="5" spans="1:3" x14ac:dyDescent="0.25">
      <c r="A5" t="s">
        <v>111</v>
      </c>
      <c r="B5" t="s">
        <v>110</v>
      </c>
      <c r="C5" t="s">
        <v>57</v>
      </c>
    </row>
    <row r="6" spans="1:3" x14ac:dyDescent="0.25">
      <c r="A6" t="s">
        <v>109</v>
      </c>
      <c r="B6" t="s">
        <v>108</v>
      </c>
      <c r="C6" t="s">
        <v>54</v>
      </c>
    </row>
    <row r="7" spans="1:3" x14ac:dyDescent="0.25">
      <c r="A7" t="s">
        <v>107</v>
      </c>
      <c r="B7" t="s">
        <v>106</v>
      </c>
      <c r="C7" t="s">
        <v>51</v>
      </c>
    </row>
    <row r="8" spans="1:3" x14ac:dyDescent="0.25">
      <c r="A8" t="s">
        <v>105</v>
      </c>
      <c r="B8" t="s">
        <v>104</v>
      </c>
      <c r="C8" t="s">
        <v>48</v>
      </c>
    </row>
    <row r="9" spans="1:3" x14ac:dyDescent="0.25">
      <c r="A9" t="s">
        <v>103</v>
      </c>
      <c r="B9" t="s">
        <v>102</v>
      </c>
      <c r="C9" t="s">
        <v>45</v>
      </c>
    </row>
    <row r="10" spans="1:3" x14ac:dyDescent="0.25">
      <c r="A10" t="s">
        <v>101</v>
      </c>
      <c r="B10" t="s">
        <v>100</v>
      </c>
      <c r="C10" t="s">
        <v>42</v>
      </c>
    </row>
    <row r="11" spans="1:3" x14ac:dyDescent="0.25">
      <c r="A11" t="s">
        <v>99</v>
      </c>
      <c r="B11" t="s">
        <v>98</v>
      </c>
      <c r="C11" t="s">
        <v>39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6759-A80B-447F-96B3-03F6D783CC93}">
  <dimension ref="A1:C11"/>
  <sheetViews>
    <sheetView tabSelected="1" workbookViewId="0">
      <selection activeCell="C2" sqref="C2"/>
    </sheetView>
  </sheetViews>
  <sheetFormatPr defaultRowHeight="14" x14ac:dyDescent="0.25"/>
  <sheetData>
    <row r="1" spans="1:3" x14ac:dyDescent="0.25">
      <c r="A1" s="1" t="s">
        <v>0</v>
      </c>
      <c r="B1" s="1" t="s">
        <v>1</v>
      </c>
      <c r="C1" s="1" t="s">
        <v>2</v>
      </c>
    </row>
    <row r="2" spans="1:3" ht="409.5" x14ac:dyDescent="0.25">
      <c r="A2" t="s">
        <v>136</v>
      </c>
      <c r="B2" t="s">
        <v>138</v>
      </c>
      <c r="C2" s="4" t="s">
        <v>139</v>
      </c>
    </row>
    <row r="3" spans="1:3" x14ac:dyDescent="0.25">
      <c r="A3" t="s">
        <v>135</v>
      </c>
      <c r="B3" t="s">
        <v>134</v>
      </c>
      <c r="C3" t="s">
        <v>62</v>
      </c>
    </row>
    <row r="4" spans="1:3" x14ac:dyDescent="0.25">
      <c r="A4" t="s">
        <v>133</v>
      </c>
      <c r="B4" t="s">
        <v>132</v>
      </c>
      <c r="C4" t="s">
        <v>60</v>
      </c>
    </row>
    <row r="5" spans="1:3" x14ac:dyDescent="0.25">
      <c r="A5" t="s">
        <v>131</v>
      </c>
      <c r="B5" t="s">
        <v>130</v>
      </c>
      <c r="C5" t="s">
        <v>57</v>
      </c>
    </row>
    <row r="6" spans="1:3" x14ac:dyDescent="0.25">
      <c r="A6" t="s">
        <v>129</v>
      </c>
      <c r="B6" t="s">
        <v>128</v>
      </c>
      <c r="C6" t="s">
        <v>54</v>
      </c>
    </row>
    <row r="7" spans="1:3" x14ac:dyDescent="0.25">
      <c r="A7" t="s">
        <v>127</v>
      </c>
      <c r="B7" t="s">
        <v>126</v>
      </c>
      <c r="C7" t="s">
        <v>51</v>
      </c>
    </row>
    <row r="8" spans="1:3" x14ac:dyDescent="0.25">
      <c r="A8" t="s">
        <v>125</v>
      </c>
      <c r="B8" t="s">
        <v>124</v>
      </c>
      <c r="C8" t="s">
        <v>48</v>
      </c>
    </row>
    <row r="9" spans="1:3" x14ac:dyDescent="0.25">
      <c r="A9" t="s">
        <v>123</v>
      </c>
      <c r="B9" t="s">
        <v>122</v>
      </c>
      <c r="C9" t="s">
        <v>45</v>
      </c>
    </row>
    <row r="10" spans="1:3" x14ac:dyDescent="0.25">
      <c r="A10" t="s">
        <v>121</v>
      </c>
      <c r="B10" t="s">
        <v>120</v>
      </c>
      <c r="C10" t="s">
        <v>42</v>
      </c>
    </row>
    <row r="11" spans="1:3" x14ac:dyDescent="0.25">
      <c r="A11" t="s">
        <v>119</v>
      </c>
      <c r="B11" t="s">
        <v>118</v>
      </c>
      <c r="C11" t="s">
        <v>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production_eval_deepseek-r1</vt:lpstr>
      <vt:lpstr>production_eval_gemma3</vt:lpstr>
      <vt:lpstr>production_eval_llama3.2</vt:lpstr>
      <vt:lpstr>production_eval_qwen2.5_math</vt:lpstr>
      <vt:lpstr>production_eval_qwen2.5_omni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2025-11-06T06:54:57Z</dcterms:created>
  <dcterms:modified xsi:type="dcterms:W3CDTF">2025-11-07T09:24:01Z</dcterms:modified>
</cp:coreProperties>
</file>