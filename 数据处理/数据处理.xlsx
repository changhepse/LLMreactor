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wohen\code\pythonProject\LLMreactor\"/>
    </mc:Choice>
  </mc:AlternateContent>
  <xr:revisionPtr revIDLastSave="0" documentId="13_ncr:1_{C7844C98-3098-4EE8-9A5A-C3BF165578CD}" xr6:coauthVersionLast="47" xr6:coauthVersionMax="47" xr10:uidLastSave="{00000000-0000-0000-0000-000000000000}"/>
  <bookViews>
    <workbookView xWindow="4940" yWindow="4940" windowWidth="28800" windowHeight="15460" tabRatio="766" activeTab="10" xr2:uid="{00000000-000D-0000-FFFF-FFFF00000000}"/>
  </bookViews>
  <sheets>
    <sheet name="real_qwen2.5_Omni" sheetId="12" r:id="rId1"/>
    <sheet name="real_qwen2.5_math" sheetId="13" r:id="rId2"/>
    <sheet name="real_llama3.2" sheetId="14" r:id="rId3"/>
    <sheet name="real_gemma3" sheetId="15" r:id="rId4"/>
    <sheet name="real_deepseek_r1" sheetId="16" r:id="rId5"/>
    <sheet name="qwen2.5_Omni" sheetId="2" r:id="rId6"/>
    <sheet name="qwen2.5_math" sheetId="3" r:id="rId7"/>
    <sheet name="llama3.2" sheetId="4" r:id="rId8"/>
    <sheet name="gemma3" sheetId="5" r:id="rId9"/>
    <sheet name="deepseek_r1" sheetId="6" r:id="rId10"/>
    <sheet name="数据处理" sheetId="1" r:id="rId11"/>
  </sheets>
  <definedNames>
    <definedName name="_xlnm._FilterDatabase" localSheetId="9" hidden="1">deepseek_r1!$A$1:$G$92</definedName>
    <definedName name="_xlnm._FilterDatabase" localSheetId="8" hidden="1">gemma3!$A$1:$G$92</definedName>
    <definedName name="_xlnm._FilterDatabase" localSheetId="7" hidden="1">llama3.2!$A$1:$G$92</definedName>
    <definedName name="_xlnm._FilterDatabase" localSheetId="6" hidden="1">qwen2.5_math!$A$1:$G$92</definedName>
    <definedName name="_xlnm._FilterDatabase" localSheetId="5" hidden="1">qwen2.5_Omni!$A$1:$G$93</definedName>
    <definedName name="_xlnm._FilterDatabase" localSheetId="4" hidden="1">real_deepseek_r1!$A$1:$G$90</definedName>
    <definedName name="_xlnm._FilterDatabase" localSheetId="3" hidden="1">real_gemma3!$A$1:$H$90</definedName>
    <definedName name="_xlnm._FilterDatabase" localSheetId="2" hidden="1">'real_llama3.2'!$A$1:$G$90</definedName>
    <definedName name="_xlnm._FilterDatabase" localSheetId="1" hidden="1">'real_qwen2.5_math'!$A$1:$G$90</definedName>
    <definedName name="_xlnm._FilterDatabase" localSheetId="0" hidden="1">'real_qwen2.5_Omni'!$A$1:$G$90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6" l="1"/>
  <c r="J3" i="16" s="1"/>
  <c r="K3" i="16" s="1"/>
  <c r="L3" i="16"/>
  <c r="M3" i="16" s="1"/>
  <c r="N3" i="16" s="1"/>
  <c r="I4" i="16"/>
  <c r="J4" i="16"/>
  <c r="K4" i="16" s="1"/>
  <c r="L4" i="16"/>
  <c r="M4" i="16" s="1"/>
  <c r="N4" i="16" s="1"/>
  <c r="I5" i="16"/>
  <c r="J5" i="16" s="1"/>
  <c r="K5" i="16" s="1"/>
  <c r="L5" i="16"/>
  <c r="M5" i="16" s="1"/>
  <c r="N5" i="16" s="1"/>
  <c r="I6" i="16"/>
  <c r="J6" i="16"/>
  <c r="K6" i="16" s="1"/>
  <c r="L6" i="16"/>
  <c r="M6" i="16"/>
  <c r="N6" i="16"/>
  <c r="I7" i="16"/>
  <c r="J7" i="16" s="1"/>
  <c r="K7" i="16" s="1"/>
  <c r="L7" i="16"/>
  <c r="M7" i="16" s="1"/>
  <c r="N7" i="16" s="1"/>
  <c r="I8" i="16"/>
  <c r="J8" i="16"/>
  <c r="K8" i="16" s="1"/>
  <c r="L8" i="16"/>
  <c r="M8" i="16" s="1"/>
  <c r="N8" i="16" s="1"/>
  <c r="I9" i="16"/>
  <c r="J9" i="16" s="1"/>
  <c r="K9" i="16" s="1"/>
  <c r="L9" i="16"/>
  <c r="M9" i="16" s="1"/>
  <c r="N9" i="16" s="1"/>
  <c r="I10" i="16"/>
  <c r="J10" i="16"/>
  <c r="K10" i="16" s="1"/>
  <c r="L10" i="16"/>
  <c r="M10" i="16"/>
  <c r="N10" i="16"/>
  <c r="I11" i="16"/>
  <c r="J11" i="16" s="1"/>
  <c r="K11" i="16" s="1"/>
  <c r="L11" i="16"/>
  <c r="M11" i="16" s="1"/>
  <c r="N11" i="16" s="1"/>
  <c r="I12" i="16"/>
  <c r="J12" i="16"/>
  <c r="K12" i="16" s="1"/>
  <c r="L12" i="16"/>
  <c r="M12" i="16" s="1"/>
  <c r="N12" i="16" s="1"/>
  <c r="I13" i="16"/>
  <c r="J13" i="16" s="1"/>
  <c r="K13" i="16" s="1"/>
  <c r="L13" i="16"/>
  <c r="M13" i="16" s="1"/>
  <c r="N13" i="16" s="1"/>
  <c r="I14" i="16"/>
  <c r="J14" i="16"/>
  <c r="K14" i="16" s="1"/>
  <c r="L14" i="16"/>
  <c r="M14" i="16"/>
  <c r="N14" i="16"/>
  <c r="I15" i="16"/>
  <c r="J15" i="16" s="1"/>
  <c r="K15" i="16" s="1"/>
  <c r="L15" i="16"/>
  <c r="M15" i="16" s="1"/>
  <c r="N15" i="16" s="1"/>
  <c r="I16" i="16"/>
  <c r="J16" i="16"/>
  <c r="K16" i="16" s="1"/>
  <c r="L16" i="16"/>
  <c r="M16" i="16" s="1"/>
  <c r="N16" i="16" s="1"/>
  <c r="I17" i="16"/>
  <c r="J17" i="16" s="1"/>
  <c r="K17" i="16" s="1"/>
  <c r="L17" i="16"/>
  <c r="M17" i="16" s="1"/>
  <c r="N17" i="16" s="1"/>
  <c r="I18" i="16"/>
  <c r="J18" i="16"/>
  <c r="K18" i="16" s="1"/>
  <c r="L18" i="16"/>
  <c r="M18" i="16"/>
  <c r="N18" i="16"/>
  <c r="I19" i="16"/>
  <c r="J19" i="16" s="1"/>
  <c r="K19" i="16" s="1"/>
  <c r="L19" i="16"/>
  <c r="M19" i="16" s="1"/>
  <c r="N19" i="16" s="1"/>
  <c r="I20" i="16"/>
  <c r="J20" i="16"/>
  <c r="K20" i="16" s="1"/>
  <c r="L20" i="16"/>
  <c r="M20" i="16" s="1"/>
  <c r="N20" i="16" s="1"/>
  <c r="I21" i="16"/>
  <c r="J21" i="16" s="1"/>
  <c r="K21" i="16" s="1"/>
  <c r="L21" i="16"/>
  <c r="M21" i="16" s="1"/>
  <c r="N21" i="16" s="1"/>
  <c r="I22" i="16"/>
  <c r="J22" i="16"/>
  <c r="K22" i="16" s="1"/>
  <c r="L22" i="16"/>
  <c r="M22" i="16"/>
  <c r="N22" i="16"/>
  <c r="I23" i="16"/>
  <c r="J23" i="16" s="1"/>
  <c r="K23" i="16" s="1"/>
  <c r="L23" i="16"/>
  <c r="M23" i="16" s="1"/>
  <c r="N23" i="16" s="1"/>
  <c r="I24" i="16"/>
  <c r="J24" i="16"/>
  <c r="K24" i="16" s="1"/>
  <c r="L24" i="16"/>
  <c r="M24" i="16" s="1"/>
  <c r="N24" i="16" s="1"/>
  <c r="I25" i="16"/>
  <c r="J25" i="16" s="1"/>
  <c r="K25" i="16" s="1"/>
  <c r="L25" i="16"/>
  <c r="M25" i="16" s="1"/>
  <c r="N25" i="16" s="1"/>
  <c r="I26" i="16"/>
  <c r="J26" i="16"/>
  <c r="K26" i="16" s="1"/>
  <c r="L26" i="16"/>
  <c r="M26" i="16"/>
  <c r="N26" i="16"/>
  <c r="I27" i="16"/>
  <c r="J27" i="16" s="1"/>
  <c r="K27" i="16" s="1"/>
  <c r="L27" i="16"/>
  <c r="M27" i="16" s="1"/>
  <c r="N27" i="16" s="1"/>
  <c r="I28" i="16"/>
  <c r="J28" i="16"/>
  <c r="K28" i="16" s="1"/>
  <c r="L28" i="16"/>
  <c r="M28" i="16" s="1"/>
  <c r="N28" i="16" s="1"/>
  <c r="I29" i="16"/>
  <c r="J29" i="16" s="1"/>
  <c r="K29" i="16" s="1"/>
  <c r="L29" i="16"/>
  <c r="M29" i="16" s="1"/>
  <c r="N29" i="16" s="1"/>
  <c r="I30" i="16"/>
  <c r="J30" i="16"/>
  <c r="K30" i="16" s="1"/>
  <c r="L30" i="16"/>
  <c r="M30" i="16"/>
  <c r="N30" i="16"/>
  <c r="I31" i="16"/>
  <c r="J31" i="16" s="1"/>
  <c r="K31" i="16" s="1"/>
  <c r="L31" i="16"/>
  <c r="M31" i="16" s="1"/>
  <c r="N31" i="16" s="1"/>
  <c r="I32" i="16"/>
  <c r="J32" i="16"/>
  <c r="K32" i="16" s="1"/>
  <c r="L32" i="16"/>
  <c r="M32" i="16" s="1"/>
  <c r="N32" i="16" s="1"/>
  <c r="I33" i="16"/>
  <c r="J33" i="16" s="1"/>
  <c r="K33" i="16" s="1"/>
  <c r="L33" i="16"/>
  <c r="M33" i="16" s="1"/>
  <c r="N33" i="16" s="1"/>
  <c r="I34" i="16"/>
  <c r="J34" i="16"/>
  <c r="K34" i="16" s="1"/>
  <c r="L34" i="16"/>
  <c r="M34" i="16"/>
  <c r="N34" i="16"/>
  <c r="I35" i="16"/>
  <c r="J35" i="16" s="1"/>
  <c r="K35" i="16" s="1"/>
  <c r="L35" i="16"/>
  <c r="M35" i="16" s="1"/>
  <c r="N35" i="16" s="1"/>
  <c r="I36" i="16"/>
  <c r="J36" i="16"/>
  <c r="K36" i="16" s="1"/>
  <c r="L36" i="16"/>
  <c r="M36" i="16" s="1"/>
  <c r="N36" i="16" s="1"/>
  <c r="I37" i="16"/>
  <c r="J37" i="16" s="1"/>
  <c r="K37" i="16" s="1"/>
  <c r="L37" i="16"/>
  <c r="M37" i="16" s="1"/>
  <c r="N37" i="16" s="1"/>
  <c r="I38" i="16"/>
  <c r="J38" i="16"/>
  <c r="K38" i="16" s="1"/>
  <c r="L38" i="16"/>
  <c r="M38" i="16"/>
  <c r="N38" i="16"/>
  <c r="I39" i="16"/>
  <c r="J39" i="16" s="1"/>
  <c r="K39" i="16" s="1"/>
  <c r="L39" i="16"/>
  <c r="M39" i="16" s="1"/>
  <c r="N39" i="16" s="1"/>
  <c r="I40" i="16"/>
  <c r="J40" i="16"/>
  <c r="K40" i="16" s="1"/>
  <c r="L40" i="16"/>
  <c r="M40" i="16" s="1"/>
  <c r="N40" i="16" s="1"/>
  <c r="I41" i="16"/>
  <c r="J41" i="16" s="1"/>
  <c r="K41" i="16" s="1"/>
  <c r="L41" i="16"/>
  <c r="M41" i="16" s="1"/>
  <c r="N41" i="16" s="1"/>
  <c r="I42" i="16"/>
  <c r="J42" i="16"/>
  <c r="K42" i="16" s="1"/>
  <c r="L42" i="16"/>
  <c r="M42" i="16"/>
  <c r="N42" i="16"/>
  <c r="I43" i="16"/>
  <c r="J43" i="16" s="1"/>
  <c r="K43" i="16" s="1"/>
  <c r="L43" i="16"/>
  <c r="M43" i="16" s="1"/>
  <c r="N43" i="16" s="1"/>
  <c r="I44" i="16"/>
  <c r="J44" i="16"/>
  <c r="K44" i="16" s="1"/>
  <c r="L44" i="16"/>
  <c r="M44" i="16" s="1"/>
  <c r="N44" i="16" s="1"/>
  <c r="I45" i="16"/>
  <c r="J45" i="16" s="1"/>
  <c r="K45" i="16" s="1"/>
  <c r="L45" i="16"/>
  <c r="M45" i="16" s="1"/>
  <c r="N45" i="16" s="1"/>
  <c r="I46" i="16"/>
  <c r="J46" i="16"/>
  <c r="K46" i="16" s="1"/>
  <c r="L46" i="16"/>
  <c r="M46" i="16"/>
  <c r="N46" i="16"/>
  <c r="I47" i="16"/>
  <c r="J47" i="16" s="1"/>
  <c r="K47" i="16" s="1"/>
  <c r="L47" i="16"/>
  <c r="M47" i="16" s="1"/>
  <c r="N47" i="16" s="1"/>
  <c r="I48" i="16"/>
  <c r="J48" i="16"/>
  <c r="K48" i="16" s="1"/>
  <c r="L48" i="16"/>
  <c r="M48" i="16" s="1"/>
  <c r="N48" i="16" s="1"/>
  <c r="I49" i="16"/>
  <c r="J49" i="16" s="1"/>
  <c r="K49" i="16" s="1"/>
  <c r="L49" i="16"/>
  <c r="M49" i="16" s="1"/>
  <c r="N49" i="16" s="1"/>
  <c r="I50" i="16"/>
  <c r="J50" i="16"/>
  <c r="K50" i="16" s="1"/>
  <c r="L50" i="16"/>
  <c r="M50" i="16"/>
  <c r="N50" i="16"/>
  <c r="I51" i="16"/>
  <c r="J51" i="16" s="1"/>
  <c r="K51" i="16" s="1"/>
  <c r="L51" i="16"/>
  <c r="M51" i="16" s="1"/>
  <c r="N51" i="16" s="1"/>
  <c r="I52" i="16"/>
  <c r="J52" i="16"/>
  <c r="K52" i="16" s="1"/>
  <c r="L52" i="16"/>
  <c r="M52" i="16" s="1"/>
  <c r="N52" i="16" s="1"/>
  <c r="I53" i="16"/>
  <c r="J53" i="16" s="1"/>
  <c r="K53" i="16" s="1"/>
  <c r="L53" i="16"/>
  <c r="M53" i="16" s="1"/>
  <c r="N53" i="16" s="1"/>
  <c r="I54" i="16"/>
  <c r="J54" i="16"/>
  <c r="K54" i="16" s="1"/>
  <c r="L54" i="16"/>
  <c r="M54" i="16"/>
  <c r="N54" i="16"/>
  <c r="I55" i="16"/>
  <c r="J55" i="16" s="1"/>
  <c r="K55" i="16" s="1"/>
  <c r="L55" i="16"/>
  <c r="M55" i="16" s="1"/>
  <c r="N55" i="16" s="1"/>
  <c r="I56" i="16"/>
  <c r="J56" i="16"/>
  <c r="K56" i="16" s="1"/>
  <c r="L56" i="16"/>
  <c r="M56" i="16" s="1"/>
  <c r="N56" i="16" s="1"/>
  <c r="I57" i="16"/>
  <c r="J57" i="16" s="1"/>
  <c r="K57" i="16" s="1"/>
  <c r="L57" i="16"/>
  <c r="M57" i="16" s="1"/>
  <c r="N57" i="16" s="1"/>
  <c r="I58" i="16"/>
  <c r="J58" i="16"/>
  <c r="K58" i="16" s="1"/>
  <c r="L58" i="16"/>
  <c r="M58" i="16"/>
  <c r="N58" i="16"/>
  <c r="I59" i="16"/>
  <c r="J59" i="16" s="1"/>
  <c r="K59" i="16" s="1"/>
  <c r="L59" i="16"/>
  <c r="M59" i="16" s="1"/>
  <c r="N59" i="16" s="1"/>
  <c r="I60" i="16"/>
  <c r="J60" i="16"/>
  <c r="K60" i="16" s="1"/>
  <c r="L60" i="16"/>
  <c r="M60" i="16" s="1"/>
  <c r="N60" i="16" s="1"/>
  <c r="I61" i="16"/>
  <c r="J61" i="16" s="1"/>
  <c r="K61" i="16" s="1"/>
  <c r="L61" i="16"/>
  <c r="M61" i="16" s="1"/>
  <c r="N61" i="16" s="1"/>
  <c r="I62" i="16"/>
  <c r="J62" i="16"/>
  <c r="K62" i="16" s="1"/>
  <c r="L62" i="16"/>
  <c r="M62" i="16"/>
  <c r="N62" i="16"/>
  <c r="I63" i="16"/>
  <c r="J63" i="16" s="1"/>
  <c r="K63" i="16" s="1"/>
  <c r="L63" i="16"/>
  <c r="M63" i="16" s="1"/>
  <c r="N63" i="16" s="1"/>
  <c r="I64" i="16"/>
  <c r="J64" i="16"/>
  <c r="K64" i="16" s="1"/>
  <c r="L64" i="16"/>
  <c r="M64" i="16" s="1"/>
  <c r="N64" i="16" s="1"/>
  <c r="I65" i="16"/>
  <c r="J65" i="16" s="1"/>
  <c r="K65" i="16" s="1"/>
  <c r="L65" i="16"/>
  <c r="M65" i="16" s="1"/>
  <c r="N65" i="16" s="1"/>
  <c r="I66" i="16"/>
  <c r="J66" i="16"/>
  <c r="K66" i="16" s="1"/>
  <c r="L66" i="16"/>
  <c r="M66" i="16"/>
  <c r="N66" i="16"/>
  <c r="I67" i="16"/>
  <c r="J67" i="16" s="1"/>
  <c r="K67" i="16" s="1"/>
  <c r="L67" i="16"/>
  <c r="M67" i="16" s="1"/>
  <c r="N67" i="16" s="1"/>
  <c r="I68" i="16"/>
  <c r="J68" i="16"/>
  <c r="K68" i="16" s="1"/>
  <c r="L68" i="16"/>
  <c r="M68" i="16" s="1"/>
  <c r="N68" i="16" s="1"/>
  <c r="I69" i="16"/>
  <c r="J69" i="16" s="1"/>
  <c r="K69" i="16" s="1"/>
  <c r="L69" i="16"/>
  <c r="M69" i="16" s="1"/>
  <c r="N69" i="16" s="1"/>
  <c r="I70" i="16"/>
  <c r="J70" i="16"/>
  <c r="K70" i="16" s="1"/>
  <c r="L70" i="16"/>
  <c r="M70" i="16"/>
  <c r="N70" i="16"/>
  <c r="I71" i="16"/>
  <c r="J71" i="16" s="1"/>
  <c r="K71" i="16" s="1"/>
  <c r="L71" i="16"/>
  <c r="M71" i="16" s="1"/>
  <c r="N71" i="16" s="1"/>
  <c r="I72" i="16"/>
  <c r="J72" i="16"/>
  <c r="K72" i="16" s="1"/>
  <c r="L72" i="16"/>
  <c r="M72" i="16" s="1"/>
  <c r="N72" i="16" s="1"/>
  <c r="I73" i="16"/>
  <c r="J73" i="16" s="1"/>
  <c r="L73" i="16"/>
  <c r="M73" i="16" s="1"/>
  <c r="N73" i="16" s="1"/>
  <c r="I74" i="16"/>
  <c r="J74" i="16"/>
  <c r="L74" i="16"/>
  <c r="M74" i="16"/>
  <c r="N74" i="16"/>
  <c r="I75" i="16"/>
  <c r="J75" i="16" s="1"/>
  <c r="K75" i="16" s="1"/>
  <c r="L75" i="16"/>
  <c r="M75" i="16" s="1"/>
  <c r="N75" i="16" s="1"/>
  <c r="I76" i="16"/>
  <c r="J76" i="16"/>
  <c r="K76" i="16" s="1"/>
  <c r="L76" i="16"/>
  <c r="M76" i="16" s="1"/>
  <c r="N76" i="16" s="1"/>
  <c r="I77" i="16"/>
  <c r="J77" i="16" s="1"/>
  <c r="K77" i="16" s="1"/>
  <c r="L77" i="16"/>
  <c r="M77" i="16" s="1"/>
  <c r="N77" i="16" s="1"/>
  <c r="I78" i="16"/>
  <c r="J78" i="16"/>
  <c r="K78" i="16" s="1"/>
  <c r="L78" i="16"/>
  <c r="M78" i="16"/>
  <c r="N78" i="16"/>
  <c r="I79" i="16"/>
  <c r="J79" i="16" s="1"/>
  <c r="K79" i="16" s="1"/>
  <c r="L79" i="16"/>
  <c r="M79" i="16" s="1"/>
  <c r="N79" i="16" s="1"/>
  <c r="I80" i="16"/>
  <c r="J80" i="16"/>
  <c r="K80" i="16" s="1"/>
  <c r="L80" i="16"/>
  <c r="M80" i="16" s="1"/>
  <c r="N80" i="16" s="1"/>
  <c r="I81" i="16"/>
  <c r="J81" i="16" s="1"/>
  <c r="K81" i="16" s="1"/>
  <c r="L81" i="16"/>
  <c r="M81" i="16" s="1"/>
  <c r="N81" i="16" s="1"/>
  <c r="I82" i="16"/>
  <c r="J82" i="16"/>
  <c r="K82" i="16" s="1"/>
  <c r="L82" i="16"/>
  <c r="M82" i="16"/>
  <c r="N82" i="16"/>
  <c r="I83" i="16"/>
  <c r="J83" i="16" s="1"/>
  <c r="K83" i="16" s="1"/>
  <c r="L83" i="16"/>
  <c r="M83" i="16" s="1"/>
  <c r="N83" i="16" s="1"/>
  <c r="I84" i="16"/>
  <c r="J84" i="16"/>
  <c r="K84" i="16" s="1"/>
  <c r="L84" i="16"/>
  <c r="M84" i="16" s="1"/>
  <c r="N84" i="16" s="1"/>
  <c r="I85" i="16"/>
  <c r="J85" i="16" s="1"/>
  <c r="K85" i="16" s="1"/>
  <c r="L85" i="16"/>
  <c r="M85" i="16" s="1"/>
  <c r="N85" i="16" s="1"/>
  <c r="I86" i="16"/>
  <c r="J86" i="16"/>
  <c r="K86" i="16" s="1"/>
  <c r="L86" i="16"/>
  <c r="M86" i="16"/>
  <c r="N86" i="16"/>
  <c r="I87" i="16"/>
  <c r="J87" i="16" s="1"/>
  <c r="K87" i="16" s="1"/>
  <c r="L87" i="16"/>
  <c r="M87" i="16" s="1"/>
  <c r="N87" i="16" s="1"/>
  <c r="I88" i="16"/>
  <c r="J88" i="16"/>
  <c r="K88" i="16" s="1"/>
  <c r="L88" i="16"/>
  <c r="M88" i="16" s="1"/>
  <c r="N88" i="16" s="1"/>
  <c r="I89" i="16"/>
  <c r="J89" i="16" s="1"/>
  <c r="K89" i="16" s="1"/>
  <c r="L89" i="16"/>
  <c r="M89" i="16" s="1"/>
  <c r="N89" i="16" s="1"/>
  <c r="L2" i="16"/>
  <c r="M2" i="16" s="1"/>
  <c r="N2" i="16" s="1"/>
  <c r="I2" i="16"/>
  <c r="J2" i="16" s="1"/>
  <c r="K2" i="16" s="1"/>
  <c r="I3" i="15"/>
  <c r="J3" i="15" s="1"/>
  <c r="K3" i="15" s="1"/>
  <c r="L3" i="15"/>
  <c r="M3" i="15" s="1"/>
  <c r="N3" i="15" s="1"/>
  <c r="I4" i="15"/>
  <c r="J4" i="15"/>
  <c r="K4" i="15" s="1"/>
  <c r="L4" i="15"/>
  <c r="M4" i="15" s="1"/>
  <c r="N4" i="15" s="1"/>
  <c r="I5" i="15"/>
  <c r="J5" i="15" s="1"/>
  <c r="K5" i="15" s="1"/>
  <c r="L5" i="15"/>
  <c r="M5" i="15" s="1"/>
  <c r="N5" i="15" s="1"/>
  <c r="I6" i="15"/>
  <c r="J6" i="15"/>
  <c r="K6" i="15" s="1"/>
  <c r="L6" i="15"/>
  <c r="M6" i="15"/>
  <c r="N6" i="15"/>
  <c r="I7" i="15"/>
  <c r="J7" i="15" s="1"/>
  <c r="K7" i="15" s="1"/>
  <c r="L7" i="15"/>
  <c r="M7" i="15" s="1"/>
  <c r="N7" i="15" s="1"/>
  <c r="I8" i="15"/>
  <c r="J8" i="15"/>
  <c r="K8" i="15" s="1"/>
  <c r="L8" i="15"/>
  <c r="M8" i="15" s="1"/>
  <c r="N8" i="15" s="1"/>
  <c r="I9" i="15"/>
  <c r="J9" i="15" s="1"/>
  <c r="K9" i="15" s="1"/>
  <c r="L9" i="15"/>
  <c r="M9" i="15" s="1"/>
  <c r="N9" i="15" s="1"/>
  <c r="I10" i="15"/>
  <c r="J10" i="15"/>
  <c r="K10" i="15" s="1"/>
  <c r="L10" i="15"/>
  <c r="M10" i="15"/>
  <c r="N10" i="15"/>
  <c r="I11" i="15"/>
  <c r="J11" i="15" s="1"/>
  <c r="K11" i="15" s="1"/>
  <c r="L11" i="15"/>
  <c r="M11" i="15" s="1"/>
  <c r="N11" i="15" s="1"/>
  <c r="I12" i="15"/>
  <c r="J12" i="15"/>
  <c r="K12" i="15" s="1"/>
  <c r="L12" i="15"/>
  <c r="M12" i="15" s="1"/>
  <c r="N12" i="15" s="1"/>
  <c r="I13" i="15"/>
  <c r="J13" i="15" s="1"/>
  <c r="K13" i="15" s="1"/>
  <c r="L13" i="15"/>
  <c r="M13" i="15" s="1"/>
  <c r="N13" i="15" s="1"/>
  <c r="I14" i="15"/>
  <c r="J14" i="15"/>
  <c r="K14" i="15" s="1"/>
  <c r="L14" i="15"/>
  <c r="M14" i="15"/>
  <c r="N14" i="15"/>
  <c r="I15" i="15"/>
  <c r="J15" i="15" s="1"/>
  <c r="K15" i="15" s="1"/>
  <c r="L15" i="15"/>
  <c r="M15" i="15" s="1"/>
  <c r="N15" i="15" s="1"/>
  <c r="I16" i="15"/>
  <c r="J16" i="15"/>
  <c r="K16" i="15" s="1"/>
  <c r="L16" i="15"/>
  <c r="M16" i="15" s="1"/>
  <c r="N16" i="15" s="1"/>
  <c r="I17" i="15"/>
  <c r="J17" i="15" s="1"/>
  <c r="K17" i="15" s="1"/>
  <c r="L17" i="15"/>
  <c r="M17" i="15" s="1"/>
  <c r="N17" i="15" s="1"/>
  <c r="I18" i="15"/>
  <c r="J18" i="15"/>
  <c r="K18" i="15" s="1"/>
  <c r="L18" i="15"/>
  <c r="M18" i="15"/>
  <c r="N18" i="15"/>
  <c r="I19" i="15"/>
  <c r="J19" i="15" s="1"/>
  <c r="K19" i="15" s="1"/>
  <c r="L19" i="15"/>
  <c r="M19" i="15" s="1"/>
  <c r="N19" i="15" s="1"/>
  <c r="I20" i="15"/>
  <c r="J20" i="15"/>
  <c r="K20" i="15" s="1"/>
  <c r="L20" i="15"/>
  <c r="M20" i="15" s="1"/>
  <c r="N20" i="15" s="1"/>
  <c r="I21" i="15"/>
  <c r="J21" i="15" s="1"/>
  <c r="K21" i="15" s="1"/>
  <c r="L21" i="15"/>
  <c r="M21" i="15" s="1"/>
  <c r="N21" i="15" s="1"/>
  <c r="I22" i="15"/>
  <c r="J22" i="15"/>
  <c r="K22" i="15" s="1"/>
  <c r="L22" i="15"/>
  <c r="M22" i="15"/>
  <c r="N22" i="15"/>
  <c r="I23" i="15"/>
  <c r="J23" i="15" s="1"/>
  <c r="K23" i="15" s="1"/>
  <c r="L23" i="15"/>
  <c r="M23" i="15" s="1"/>
  <c r="N23" i="15" s="1"/>
  <c r="I24" i="15"/>
  <c r="J24" i="15"/>
  <c r="K24" i="15" s="1"/>
  <c r="L24" i="15"/>
  <c r="M24" i="15" s="1"/>
  <c r="N24" i="15" s="1"/>
  <c r="I25" i="15"/>
  <c r="J25" i="15" s="1"/>
  <c r="K25" i="15" s="1"/>
  <c r="L25" i="15"/>
  <c r="M25" i="15" s="1"/>
  <c r="N25" i="15" s="1"/>
  <c r="I26" i="15"/>
  <c r="J26" i="15"/>
  <c r="K26" i="15" s="1"/>
  <c r="L26" i="15"/>
  <c r="M26" i="15"/>
  <c r="N26" i="15"/>
  <c r="I27" i="15"/>
  <c r="J27" i="15" s="1"/>
  <c r="K27" i="15" s="1"/>
  <c r="L27" i="15"/>
  <c r="M27" i="15" s="1"/>
  <c r="N27" i="15" s="1"/>
  <c r="I28" i="15"/>
  <c r="J28" i="15"/>
  <c r="K28" i="15" s="1"/>
  <c r="L28" i="15"/>
  <c r="M28" i="15" s="1"/>
  <c r="N28" i="15" s="1"/>
  <c r="I29" i="15"/>
  <c r="J29" i="15" s="1"/>
  <c r="K29" i="15" s="1"/>
  <c r="L29" i="15"/>
  <c r="M29" i="15" s="1"/>
  <c r="N29" i="15" s="1"/>
  <c r="I30" i="15"/>
  <c r="J30" i="15" s="1"/>
  <c r="K30" i="15" s="1"/>
  <c r="L30" i="15"/>
  <c r="M30" i="15"/>
  <c r="N30" i="15"/>
  <c r="I31" i="15"/>
  <c r="J31" i="15"/>
  <c r="K31" i="15"/>
  <c r="L31" i="15"/>
  <c r="M31" i="15" s="1"/>
  <c r="N31" i="15" s="1"/>
  <c r="I32" i="15"/>
  <c r="J32" i="15"/>
  <c r="K32" i="15" s="1"/>
  <c r="L32" i="15"/>
  <c r="M32" i="15"/>
  <c r="N32" i="15" s="1"/>
  <c r="I33" i="15"/>
  <c r="J33" i="15" s="1"/>
  <c r="K33" i="15" s="1"/>
  <c r="L33" i="15"/>
  <c r="M33" i="15" s="1"/>
  <c r="N33" i="15" s="1"/>
  <c r="I34" i="15"/>
  <c r="J34" i="15" s="1"/>
  <c r="K34" i="15" s="1"/>
  <c r="L34" i="15"/>
  <c r="M34" i="15"/>
  <c r="N34" i="15"/>
  <c r="I35" i="15"/>
  <c r="J35" i="15"/>
  <c r="K35" i="15"/>
  <c r="L35" i="15"/>
  <c r="M35" i="15" s="1"/>
  <c r="N35" i="15" s="1"/>
  <c r="I36" i="15"/>
  <c r="J36" i="15"/>
  <c r="K36" i="15" s="1"/>
  <c r="L36" i="15"/>
  <c r="M36" i="15"/>
  <c r="N36" i="15" s="1"/>
  <c r="I37" i="15"/>
  <c r="J37" i="15" s="1"/>
  <c r="K37" i="15" s="1"/>
  <c r="L37" i="15"/>
  <c r="M37" i="15" s="1"/>
  <c r="N37" i="15" s="1"/>
  <c r="I38" i="15"/>
  <c r="J38" i="15" s="1"/>
  <c r="K38" i="15" s="1"/>
  <c r="L38" i="15"/>
  <c r="M38" i="15"/>
  <c r="N38" i="15"/>
  <c r="I39" i="15"/>
  <c r="J39" i="15"/>
  <c r="K39" i="15"/>
  <c r="L39" i="15"/>
  <c r="M39" i="15" s="1"/>
  <c r="N39" i="15" s="1"/>
  <c r="I40" i="15"/>
  <c r="J40" i="15"/>
  <c r="K40" i="15" s="1"/>
  <c r="L40" i="15"/>
  <c r="M40" i="15"/>
  <c r="N40" i="15" s="1"/>
  <c r="I41" i="15"/>
  <c r="J41" i="15" s="1"/>
  <c r="K41" i="15" s="1"/>
  <c r="L41" i="15"/>
  <c r="M41" i="15" s="1"/>
  <c r="N41" i="15" s="1"/>
  <c r="I42" i="15"/>
  <c r="J42" i="15" s="1"/>
  <c r="K42" i="15" s="1"/>
  <c r="L42" i="15"/>
  <c r="M42" i="15"/>
  <c r="N42" i="15"/>
  <c r="I43" i="15"/>
  <c r="J43" i="15"/>
  <c r="K43" i="15"/>
  <c r="L43" i="15"/>
  <c r="M43" i="15" s="1"/>
  <c r="N43" i="15" s="1"/>
  <c r="I44" i="15"/>
  <c r="J44" i="15"/>
  <c r="K44" i="15" s="1"/>
  <c r="L44" i="15"/>
  <c r="M44" i="15"/>
  <c r="N44" i="15" s="1"/>
  <c r="I45" i="15"/>
  <c r="J45" i="15" s="1"/>
  <c r="K45" i="15" s="1"/>
  <c r="L45" i="15"/>
  <c r="M45" i="15" s="1"/>
  <c r="N45" i="15" s="1"/>
  <c r="I46" i="15"/>
  <c r="J46" i="15" s="1"/>
  <c r="K46" i="15" s="1"/>
  <c r="L46" i="15"/>
  <c r="M46" i="15"/>
  <c r="N46" i="15"/>
  <c r="I47" i="15"/>
  <c r="J47" i="15"/>
  <c r="K47" i="15"/>
  <c r="L47" i="15"/>
  <c r="M47" i="15" s="1"/>
  <c r="N47" i="15" s="1"/>
  <c r="I48" i="15"/>
  <c r="J48" i="15"/>
  <c r="K48" i="15" s="1"/>
  <c r="L48" i="15"/>
  <c r="M48" i="15"/>
  <c r="N48" i="15" s="1"/>
  <c r="I49" i="15"/>
  <c r="J49" i="15" s="1"/>
  <c r="K49" i="15" s="1"/>
  <c r="L49" i="15"/>
  <c r="M49" i="15" s="1"/>
  <c r="N49" i="15" s="1"/>
  <c r="I50" i="15"/>
  <c r="J50" i="15" s="1"/>
  <c r="K50" i="15" s="1"/>
  <c r="L50" i="15"/>
  <c r="M50" i="15"/>
  <c r="N50" i="15"/>
  <c r="I51" i="15"/>
  <c r="J51" i="15"/>
  <c r="K51" i="15"/>
  <c r="L51" i="15"/>
  <c r="M51" i="15" s="1"/>
  <c r="N51" i="15" s="1"/>
  <c r="I52" i="15"/>
  <c r="J52" i="15"/>
  <c r="K52" i="15" s="1"/>
  <c r="L52" i="15"/>
  <c r="M52" i="15"/>
  <c r="N52" i="15" s="1"/>
  <c r="I53" i="15"/>
  <c r="J53" i="15" s="1"/>
  <c r="K53" i="15" s="1"/>
  <c r="L53" i="15"/>
  <c r="M53" i="15" s="1"/>
  <c r="N53" i="15" s="1"/>
  <c r="I54" i="15"/>
  <c r="J54" i="15" s="1"/>
  <c r="K54" i="15" s="1"/>
  <c r="L54" i="15"/>
  <c r="M54" i="15"/>
  <c r="N54" i="15"/>
  <c r="I55" i="15"/>
  <c r="J55" i="15"/>
  <c r="K55" i="15"/>
  <c r="L55" i="15"/>
  <c r="M55" i="15" s="1"/>
  <c r="N55" i="15" s="1"/>
  <c r="I56" i="15"/>
  <c r="J56" i="15"/>
  <c r="K56" i="15" s="1"/>
  <c r="L56" i="15"/>
  <c r="M56" i="15"/>
  <c r="N56" i="15" s="1"/>
  <c r="I57" i="15"/>
  <c r="J57" i="15" s="1"/>
  <c r="K57" i="15" s="1"/>
  <c r="L57" i="15"/>
  <c r="M57" i="15" s="1"/>
  <c r="N57" i="15" s="1"/>
  <c r="I58" i="15"/>
  <c r="J58" i="15" s="1"/>
  <c r="K58" i="15" s="1"/>
  <c r="L58" i="15"/>
  <c r="M58" i="15"/>
  <c r="N58" i="15"/>
  <c r="I59" i="15"/>
  <c r="J59" i="15"/>
  <c r="K59" i="15"/>
  <c r="L59" i="15"/>
  <c r="M59" i="15" s="1"/>
  <c r="N59" i="15" s="1"/>
  <c r="I60" i="15"/>
  <c r="J60" i="15"/>
  <c r="K60" i="15" s="1"/>
  <c r="L60" i="15"/>
  <c r="M60" i="15"/>
  <c r="N60" i="15" s="1"/>
  <c r="I61" i="15"/>
  <c r="J61" i="15" s="1"/>
  <c r="K61" i="15" s="1"/>
  <c r="L61" i="15"/>
  <c r="M61" i="15" s="1"/>
  <c r="N61" i="15" s="1"/>
  <c r="I62" i="15"/>
  <c r="J62" i="15" s="1"/>
  <c r="K62" i="15" s="1"/>
  <c r="L62" i="15"/>
  <c r="M62" i="15"/>
  <c r="N62" i="15"/>
  <c r="I63" i="15"/>
  <c r="J63" i="15"/>
  <c r="K63" i="15"/>
  <c r="L63" i="15"/>
  <c r="M63" i="15" s="1"/>
  <c r="N63" i="15" s="1"/>
  <c r="I64" i="15"/>
  <c r="J64" i="15"/>
  <c r="K64" i="15" s="1"/>
  <c r="L64" i="15"/>
  <c r="M64" i="15"/>
  <c r="N64" i="15" s="1"/>
  <c r="I65" i="15"/>
  <c r="J65" i="15" s="1"/>
  <c r="K65" i="15" s="1"/>
  <c r="L65" i="15"/>
  <c r="M65" i="15" s="1"/>
  <c r="N65" i="15" s="1"/>
  <c r="I66" i="15"/>
  <c r="J66" i="15" s="1"/>
  <c r="K66" i="15" s="1"/>
  <c r="L66" i="15"/>
  <c r="M66" i="15"/>
  <c r="N66" i="15"/>
  <c r="I67" i="15"/>
  <c r="J67" i="15"/>
  <c r="K67" i="15"/>
  <c r="L67" i="15"/>
  <c r="M67" i="15" s="1"/>
  <c r="N67" i="15" s="1"/>
  <c r="I68" i="15"/>
  <c r="J68" i="15"/>
  <c r="K68" i="15" s="1"/>
  <c r="L68" i="15"/>
  <c r="M68" i="15"/>
  <c r="N68" i="15" s="1"/>
  <c r="I69" i="15"/>
  <c r="J69" i="15" s="1"/>
  <c r="K69" i="15" s="1"/>
  <c r="L69" i="15"/>
  <c r="M69" i="15" s="1"/>
  <c r="N69" i="15" s="1"/>
  <c r="I70" i="15"/>
  <c r="J70" i="15" s="1"/>
  <c r="K70" i="15" s="1"/>
  <c r="L70" i="15"/>
  <c r="M70" i="15"/>
  <c r="N70" i="15"/>
  <c r="I71" i="15"/>
  <c r="J71" i="15"/>
  <c r="K71" i="15"/>
  <c r="L71" i="15"/>
  <c r="M71" i="15" s="1"/>
  <c r="N71" i="15" s="1"/>
  <c r="I72" i="15"/>
  <c r="J72" i="15"/>
  <c r="K72" i="15" s="1"/>
  <c r="L72" i="15"/>
  <c r="M72" i="15"/>
  <c r="N72" i="15" s="1"/>
  <c r="I73" i="15"/>
  <c r="J73" i="15" s="1"/>
  <c r="K73" i="15" s="1"/>
  <c r="L73" i="15"/>
  <c r="M73" i="15" s="1"/>
  <c r="N73" i="15" s="1"/>
  <c r="I74" i="15"/>
  <c r="J74" i="15" s="1"/>
  <c r="K74" i="15" s="1"/>
  <c r="L74" i="15"/>
  <c r="M74" i="15"/>
  <c r="N74" i="15"/>
  <c r="I75" i="15"/>
  <c r="J75" i="15"/>
  <c r="K75" i="15"/>
  <c r="L75" i="15"/>
  <c r="M75" i="15" s="1"/>
  <c r="N75" i="15" s="1"/>
  <c r="I76" i="15"/>
  <c r="J76" i="15"/>
  <c r="K76" i="15" s="1"/>
  <c r="L76" i="15"/>
  <c r="M76" i="15"/>
  <c r="N76" i="15" s="1"/>
  <c r="I77" i="15"/>
  <c r="J77" i="15" s="1"/>
  <c r="K77" i="15" s="1"/>
  <c r="L77" i="15"/>
  <c r="M77" i="15" s="1"/>
  <c r="N77" i="15" s="1"/>
  <c r="I78" i="15"/>
  <c r="J78" i="15" s="1"/>
  <c r="K78" i="15" s="1"/>
  <c r="L78" i="15"/>
  <c r="M78" i="15"/>
  <c r="N78" i="15"/>
  <c r="I79" i="15"/>
  <c r="J79" i="15"/>
  <c r="K79" i="15"/>
  <c r="L79" i="15"/>
  <c r="M79" i="15" s="1"/>
  <c r="N79" i="15" s="1"/>
  <c r="I80" i="15"/>
  <c r="J80" i="15"/>
  <c r="K80" i="15" s="1"/>
  <c r="L80" i="15"/>
  <c r="M80" i="15"/>
  <c r="N80" i="15" s="1"/>
  <c r="I81" i="15"/>
  <c r="J81" i="15" s="1"/>
  <c r="K81" i="15" s="1"/>
  <c r="L81" i="15"/>
  <c r="M81" i="15" s="1"/>
  <c r="N81" i="15" s="1"/>
  <c r="I82" i="15"/>
  <c r="J82" i="15" s="1"/>
  <c r="K82" i="15" s="1"/>
  <c r="L82" i="15"/>
  <c r="M82" i="15"/>
  <c r="N82" i="15"/>
  <c r="I83" i="15"/>
  <c r="J83" i="15"/>
  <c r="K83" i="15"/>
  <c r="L83" i="15"/>
  <c r="M83" i="15" s="1"/>
  <c r="N83" i="15" s="1"/>
  <c r="I84" i="15"/>
  <c r="J84" i="15"/>
  <c r="K84" i="15" s="1"/>
  <c r="L84" i="15"/>
  <c r="M84" i="15"/>
  <c r="N84" i="15" s="1"/>
  <c r="I85" i="15"/>
  <c r="J85" i="15" s="1"/>
  <c r="K85" i="15" s="1"/>
  <c r="L85" i="15"/>
  <c r="M85" i="15" s="1"/>
  <c r="N85" i="15" s="1"/>
  <c r="I86" i="15"/>
  <c r="J86" i="15" s="1"/>
  <c r="K86" i="15" s="1"/>
  <c r="L86" i="15"/>
  <c r="M86" i="15"/>
  <c r="N86" i="15"/>
  <c r="I87" i="15"/>
  <c r="J87" i="15"/>
  <c r="K87" i="15"/>
  <c r="L87" i="15"/>
  <c r="M87" i="15" s="1"/>
  <c r="N87" i="15" s="1"/>
  <c r="I88" i="15"/>
  <c r="J88" i="15"/>
  <c r="K88" i="15" s="1"/>
  <c r="L88" i="15"/>
  <c r="M88" i="15"/>
  <c r="N88" i="15" s="1"/>
  <c r="I89" i="15"/>
  <c r="J89" i="15" s="1"/>
  <c r="K89" i="15" s="1"/>
  <c r="L89" i="15"/>
  <c r="M89" i="15" s="1"/>
  <c r="N89" i="15" s="1"/>
  <c r="L2" i="15"/>
  <c r="M2" i="15" s="1"/>
  <c r="N2" i="15" s="1"/>
  <c r="I2" i="15"/>
  <c r="J2" i="15" s="1"/>
  <c r="K2" i="15" s="1"/>
  <c r="H12" i="14"/>
  <c r="I12" i="14" s="1"/>
  <c r="J12" i="14" s="1"/>
  <c r="K12" i="14"/>
  <c r="L12" i="14" s="1"/>
  <c r="M12" i="14" s="1"/>
  <c r="H13" i="14"/>
  <c r="I13" i="14"/>
  <c r="J13" i="14" s="1"/>
  <c r="K13" i="14"/>
  <c r="L13" i="14" s="1"/>
  <c r="M13" i="14" s="1"/>
  <c r="H14" i="14"/>
  <c r="I14" i="14"/>
  <c r="J14" i="14" s="1"/>
  <c r="K14" i="14"/>
  <c r="L14" i="14" s="1"/>
  <c r="M14" i="14" s="1"/>
  <c r="H15" i="14"/>
  <c r="I15" i="14"/>
  <c r="J15" i="14" s="1"/>
  <c r="K15" i="14"/>
  <c r="L15" i="14" s="1"/>
  <c r="M15" i="14" s="1"/>
  <c r="H16" i="14"/>
  <c r="I16" i="14" s="1"/>
  <c r="J16" i="14" s="1"/>
  <c r="K16" i="14"/>
  <c r="L16" i="14" s="1"/>
  <c r="M16" i="14" s="1"/>
  <c r="H17" i="14"/>
  <c r="I17" i="14"/>
  <c r="J17" i="14" s="1"/>
  <c r="K17" i="14"/>
  <c r="L17" i="14" s="1"/>
  <c r="M17" i="14" s="1"/>
  <c r="H18" i="14"/>
  <c r="I18" i="14"/>
  <c r="J18" i="14" s="1"/>
  <c r="K18" i="14"/>
  <c r="L18" i="14" s="1"/>
  <c r="M18" i="14" s="1"/>
  <c r="H19" i="14"/>
  <c r="I19" i="14"/>
  <c r="J19" i="14" s="1"/>
  <c r="K19" i="14"/>
  <c r="L19" i="14" s="1"/>
  <c r="M19" i="14" s="1"/>
  <c r="H20" i="14"/>
  <c r="I20" i="14" s="1"/>
  <c r="J20" i="14" s="1"/>
  <c r="K20" i="14"/>
  <c r="L20" i="14" s="1"/>
  <c r="M20" i="14" s="1"/>
  <c r="H21" i="14"/>
  <c r="I21" i="14"/>
  <c r="J21" i="14" s="1"/>
  <c r="K21" i="14"/>
  <c r="L21" i="14" s="1"/>
  <c r="M21" i="14" s="1"/>
  <c r="H22" i="14"/>
  <c r="I22" i="14"/>
  <c r="J22" i="14" s="1"/>
  <c r="K22" i="14"/>
  <c r="L22" i="14" s="1"/>
  <c r="M22" i="14" s="1"/>
  <c r="H23" i="14"/>
  <c r="I23" i="14"/>
  <c r="J23" i="14" s="1"/>
  <c r="K23" i="14"/>
  <c r="L23" i="14" s="1"/>
  <c r="M23" i="14" s="1"/>
  <c r="H24" i="14"/>
  <c r="I24" i="14" s="1"/>
  <c r="J24" i="14" s="1"/>
  <c r="K24" i="14"/>
  <c r="L24" i="14" s="1"/>
  <c r="M24" i="14" s="1"/>
  <c r="H25" i="14"/>
  <c r="I25" i="14"/>
  <c r="J25" i="14" s="1"/>
  <c r="K25" i="14"/>
  <c r="L25" i="14" s="1"/>
  <c r="M25" i="14" s="1"/>
  <c r="H26" i="14"/>
  <c r="I26" i="14"/>
  <c r="J26" i="14" s="1"/>
  <c r="K26" i="14"/>
  <c r="L26" i="14" s="1"/>
  <c r="M26" i="14" s="1"/>
  <c r="H27" i="14"/>
  <c r="I27" i="14"/>
  <c r="J27" i="14" s="1"/>
  <c r="K27" i="14"/>
  <c r="L27" i="14" s="1"/>
  <c r="M27" i="14" s="1"/>
  <c r="H28" i="14"/>
  <c r="I28" i="14" s="1"/>
  <c r="J28" i="14" s="1"/>
  <c r="K28" i="14"/>
  <c r="L28" i="14" s="1"/>
  <c r="M28" i="14" s="1"/>
  <c r="H29" i="14"/>
  <c r="I29" i="14"/>
  <c r="J29" i="14" s="1"/>
  <c r="K29" i="14"/>
  <c r="L29" i="14" s="1"/>
  <c r="M29" i="14" s="1"/>
  <c r="H30" i="14"/>
  <c r="I30" i="14"/>
  <c r="J30" i="14" s="1"/>
  <c r="K30" i="14"/>
  <c r="L30" i="14" s="1"/>
  <c r="M30" i="14" s="1"/>
  <c r="H31" i="14"/>
  <c r="I31" i="14"/>
  <c r="J31" i="14" s="1"/>
  <c r="K31" i="14"/>
  <c r="L31" i="14" s="1"/>
  <c r="M31" i="14" s="1"/>
  <c r="H32" i="14"/>
  <c r="I32" i="14"/>
  <c r="J32" i="14" s="1"/>
  <c r="K32" i="14"/>
  <c r="L32" i="14" s="1"/>
  <c r="M32" i="14" s="1"/>
  <c r="H33" i="14"/>
  <c r="I33" i="14"/>
  <c r="J33" i="14" s="1"/>
  <c r="K33" i="14"/>
  <c r="L33" i="14" s="1"/>
  <c r="M33" i="14" s="1"/>
  <c r="H34" i="14"/>
  <c r="I34" i="14"/>
  <c r="J34" i="14" s="1"/>
  <c r="K34" i="14"/>
  <c r="L34" i="14" s="1"/>
  <c r="M34" i="14" s="1"/>
  <c r="H35" i="14"/>
  <c r="I35" i="14"/>
  <c r="J35" i="14" s="1"/>
  <c r="K35" i="14"/>
  <c r="L35" i="14" s="1"/>
  <c r="M35" i="14" s="1"/>
  <c r="H36" i="14"/>
  <c r="I36" i="14"/>
  <c r="J36" i="14" s="1"/>
  <c r="K36" i="14"/>
  <c r="L36" i="14" s="1"/>
  <c r="M36" i="14" s="1"/>
  <c r="H37" i="14"/>
  <c r="I37" i="14"/>
  <c r="J37" i="14" s="1"/>
  <c r="K37" i="14"/>
  <c r="L37" i="14" s="1"/>
  <c r="M37" i="14" s="1"/>
  <c r="H38" i="14"/>
  <c r="I38" i="14"/>
  <c r="J38" i="14" s="1"/>
  <c r="K38" i="14"/>
  <c r="L38" i="14" s="1"/>
  <c r="M38" i="14" s="1"/>
  <c r="H39" i="14"/>
  <c r="I39" i="14"/>
  <c r="J39" i="14" s="1"/>
  <c r="K39" i="14"/>
  <c r="L39" i="14" s="1"/>
  <c r="M39" i="14" s="1"/>
  <c r="H40" i="14"/>
  <c r="I40" i="14"/>
  <c r="J40" i="14" s="1"/>
  <c r="K40" i="14"/>
  <c r="L40" i="14" s="1"/>
  <c r="M40" i="14" s="1"/>
  <c r="H41" i="14"/>
  <c r="I41" i="14"/>
  <c r="J41" i="14" s="1"/>
  <c r="K41" i="14"/>
  <c r="L41" i="14" s="1"/>
  <c r="M41" i="14" s="1"/>
  <c r="H42" i="14"/>
  <c r="I42" i="14"/>
  <c r="J42" i="14" s="1"/>
  <c r="K42" i="14"/>
  <c r="L42" i="14" s="1"/>
  <c r="M42" i="14" s="1"/>
  <c r="H43" i="14"/>
  <c r="I43" i="14"/>
  <c r="J43" i="14" s="1"/>
  <c r="K43" i="14"/>
  <c r="L43" i="14" s="1"/>
  <c r="M43" i="14" s="1"/>
  <c r="H44" i="14"/>
  <c r="I44" i="14"/>
  <c r="J44" i="14" s="1"/>
  <c r="K44" i="14"/>
  <c r="L44" i="14" s="1"/>
  <c r="M44" i="14" s="1"/>
  <c r="H45" i="14"/>
  <c r="I45" i="14"/>
  <c r="J45" i="14" s="1"/>
  <c r="K45" i="14"/>
  <c r="L45" i="14" s="1"/>
  <c r="M45" i="14" s="1"/>
  <c r="H46" i="14"/>
  <c r="I46" i="14"/>
  <c r="J46" i="14" s="1"/>
  <c r="K46" i="14"/>
  <c r="L46" i="14" s="1"/>
  <c r="M46" i="14" s="1"/>
  <c r="H47" i="14"/>
  <c r="I47" i="14"/>
  <c r="J47" i="14" s="1"/>
  <c r="K47" i="14"/>
  <c r="L47" i="14" s="1"/>
  <c r="M47" i="14" s="1"/>
  <c r="H48" i="14"/>
  <c r="I48" i="14"/>
  <c r="J48" i="14" s="1"/>
  <c r="K48" i="14"/>
  <c r="L48" i="14" s="1"/>
  <c r="M48" i="14" s="1"/>
  <c r="H49" i="14"/>
  <c r="I49" i="14"/>
  <c r="J49" i="14" s="1"/>
  <c r="K49" i="14"/>
  <c r="L49" i="14" s="1"/>
  <c r="M49" i="14" s="1"/>
  <c r="H50" i="14"/>
  <c r="I50" i="14"/>
  <c r="J50" i="14" s="1"/>
  <c r="K50" i="14"/>
  <c r="L50" i="14" s="1"/>
  <c r="M50" i="14" s="1"/>
  <c r="H51" i="14"/>
  <c r="I51" i="14"/>
  <c r="J51" i="14" s="1"/>
  <c r="K51" i="14"/>
  <c r="L51" i="14" s="1"/>
  <c r="M51" i="14" s="1"/>
  <c r="H52" i="14"/>
  <c r="I52" i="14"/>
  <c r="J52" i="14" s="1"/>
  <c r="K52" i="14"/>
  <c r="L52" i="14" s="1"/>
  <c r="M52" i="14" s="1"/>
  <c r="H53" i="14"/>
  <c r="I53" i="14"/>
  <c r="J53" i="14" s="1"/>
  <c r="K53" i="14"/>
  <c r="L53" i="14" s="1"/>
  <c r="M53" i="14" s="1"/>
  <c r="H54" i="14"/>
  <c r="I54" i="14"/>
  <c r="J54" i="14" s="1"/>
  <c r="K54" i="14"/>
  <c r="L54" i="14" s="1"/>
  <c r="M54" i="14" s="1"/>
  <c r="H55" i="14"/>
  <c r="I55" i="14"/>
  <c r="J55" i="14" s="1"/>
  <c r="K55" i="14"/>
  <c r="L55" i="14" s="1"/>
  <c r="M55" i="14" s="1"/>
  <c r="H56" i="14"/>
  <c r="I56" i="14"/>
  <c r="J56" i="14" s="1"/>
  <c r="K56" i="14"/>
  <c r="L56" i="14" s="1"/>
  <c r="M56" i="14" s="1"/>
  <c r="H57" i="14"/>
  <c r="I57" i="14"/>
  <c r="J57" i="14" s="1"/>
  <c r="K57" i="14"/>
  <c r="L57" i="14" s="1"/>
  <c r="M57" i="14" s="1"/>
  <c r="H58" i="14"/>
  <c r="I58" i="14"/>
  <c r="J58" i="14" s="1"/>
  <c r="K58" i="14"/>
  <c r="L58" i="14" s="1"/>
  <c r="M58" i="14" s="1"/>
  <c r="H59" i="14"/>
  <c r="I59" i="14"/>
  <c r="J59" i="14" s="1"/>
  <c r="K59" i="14"/>
  <c r="L59" i="14" s="1"/>
  <c r="M59" i="14" s="1"/>
  <c r="H60" i="14"/>
  <c r="I60" i="14"/>
  <c r="J60" i="14" s="1"/>
  <c r="K60" i="14"/>
  <c r="L60" i="14" s="1"/>
  <c r="M60" i="14" s="1"/>
  <c r="H61" i="14"/>
  <c r="I61" i="14"/>
  <c r="J61" i="14" s="1"/>
  <c r="K61" i="14"/>
  <c r="L61" i="14" s="1"/>
  <c r="M61" i="14" s="1"/>
  <c r="H62" i="14"/>
  <c r="I62" i="14"/>
  <c r="J62" i="14" s="1"/>
  <c r="K62" i="14"/>
  <c r="L62" i="14" s="1"/>
  <c r="M62" i="14" s="1"/>
  <c r="H63" i="14"/>
  <c r="I63" i="14"/>
  <c r="J63" i="14" s="1"/>
  <c r="K63" i="14"/>
  <c r="L63" i="14" s="1"/>
  <c r="M63" i="14" s="1"/>
  <c r="H64" i="14"/>
  <c r="I64" i="14"/>
  <c r="J64" i="14" s="1"/>
  <c r="K64" i="14"/>
  <c r="L64" i="14" s="1"/>
  <c r="M64" i="14" s="1"/>
  <c r="H65" i="14"/>
  <c r="I65" i="14"/>
  <c r="J65" i="14" s="1"/>
  <c r="K65" i="14"/>
  <c r="L65" i="14" s="1"/>
  <c r="M65" i="14" s="1"/>
  <c r="H66" i="14"/>
  <c r="I66" i="14"/>
  <c r="J66" i="14" s="1"/>
  <c r="K66" i="14"/>
  <c r="L66" i="14" s="1"/>
  <c r="M66" i="14" s="1"/>
  <c r="H67" i="14"/>
  <c r="I67" i="14"/>
  <c r="J67" i="14" s="1"/>
  <c r="K67" i="14"/>
  <c r="L67" i="14" s="1"/>
  <c r="M67" i="14" s="1"/>
  <c r="H68" i="14"/>
  <c r="I68" i="14"/>
  <c r="J68" i="14" s="1"/>
  <c r="K68" i="14"/>
  <c r="L68" i="14" s="1"/>
  <c r="M68" i="14" s="1"/>
  <c r="H69" i="14"/>
  <c r="I69" i="14"/>
  <c r="J69" i="14" s="1"/>
  <c r="K69" i="14"/>
  <c r="L69" i="14" s="1"/>
  <c r="M69" i="14" s="1"/>
  <c r="H70" i="14"/>
  <c r="I70" i="14"/>
  <c r="J70" i="14" s="1"/>
  <c r="K70" i="14"/>
  <c r="L70" i="14" s="1"/>
  <c r="M70" i="14" s="1"/>
  <c r="H71" i="14"/>
  <c r="I71" i="14"/>
  <c r="J71" i="14" s="1"/>
  <c r="K71" i="14"/>
  <c r="L71" i="14" s="1"/>
  <c r="M71" i="14" s="1"/>
  <c r="H72" i="14"/>
  <c r="I72" i="14"/>
  <c r="J72" i="14" s="1"/>
  <c r="K72" i="14"/>
  <c r="L72" i="14" s="1"/>
  <c r="M72" i="14" s="1"/>
  <c r="H73" i="14"/>
  <c r="I73" i="14"/>
  <c r="J73" i="14" s="1"/>
  <c r="K73" i="14"/>
  <c r="L73" i="14" s="1"/>
  <c r="M73" i="14" s="1"/>
  <c r="H74" i="14"/>
  <c r="I74" i="14"/>
  <c r="J74" i="14" s="1"/>
  <c r="K74" i="14"/>
  <c r="L74" i="14" s="1"/>
  <c r="M74" i="14" s="1"/>
  <c r="H75" i="14"/>
  <c r="I75" i="14"/>
  <c r="J75" i="14" s="1"/>
  <c r="K75" i="14"/>
  <c r="L75" i="14" s="1"/>
  <c r="M75" i="14" s="1"/>
  <c r="H76" i="14"/>
  <c r="I76" i="14"/>
  <c r="J76" i="14" s="1"/>
  <c r="K76" i="14"/>
  <c r="L76" i="14" s="1"/>
  <c r="M76" i="14" s="1"/>
  <c r="H77" i="14"/>
  <c r="I77" i="14"/>
  <c r="J77" i="14" s="1"/>
  <c r="K77" i="14"/>
  <c r="L77" i="14" s="1"/>
  <c r="M77" i="14" s="1"/>
  <c r="H78" i="14"/>
  <c r="I78" i="14"/>
  <c r="J78" i="14" s="1"/>
  <c r="K78" i="14"/>
  <c r="L78" i="14" s="1"/>
  <c r="M78" i="14" s="1"/>
  <c r="H79" i="14"/>
  <c r="I79" i="14"/>
  <c r="J79" i="14" s="1"/>
  <c r="K79" i="14"/>
  <c r="L79" i="14" s="1"/>
  <c r="M79" i="14" s="1"/>
  <c r="H80" i="14"/>
  <c r="I80" i="14"/>
  <c r="J80" i="14" s="1"/>
  <c r="K80" i="14"/>
  <c r="L80" i="14" s="1"/>
  <c r="M80" i="14" s="1"/>
  <c r="H81" i="14"/>
  <c r="I81" i="14"/>
  <c r="J81" i="14" s="1"/>
  <c r="K81" i="14"/>
  <c r="L81" i="14" s="1"/>
  <c r="M81" i="14" s="1"/>
  <c r="H82" i="14"/>
  <c r="I82" i="14"/>
  <c r="J82" i="14" s="1"/>
  <c r="K82" i="14"/>
  <c r="L82" i="14" s="1"/>
  <c r="M82" i="14" s="1"/>
  <c r="H83" i="14"/>
  <c r="I83" i="14"/>
  <c r="J83" i="14" s="1"/>
  <c r="K83" i="14"/>
  <c r="L83" i="14" s="1"/>
  <c r="M83" i="14" s="1"/>
  <c r="H84" i="14"/>
  <c r="I84" i="14"/>
  <c r="J84" i="14" s="1"/>
  <c r="K84" i="14"/>
  <c r="L84" i="14" s="1"/>
  <c r="M84" i="14" s="1"/>
  <c r="H85" i="14"/>
  <c r="I85" i="14"/>
  <c r="J85" i="14" s="1"/>
  <c r="K85" i="14"/>
  <c r="L85" i="14" s="1"/>
  <c r="M85" i="14" s="1"/>
  <c r="H86" i="14"/>
  <c r="I86" i="14"/>
  <c r="J86" i="14" s="1"/>
  <c r="K86" i="14"/>
  <c r="L86" i="14" s="1"/>
  <c r="M86" i="14" s="1"/>
  <c r="H87" i="14"/>
  <c r="I87" i="14"/>
  <c r="J87" i="14" s="1"/>
  <c r="K87" i="14"/>
  <c r="L87" i="14" s="1"/>
  <c r="M87" i="14" s="1"/>
  <c r="H88" i="14"/>
  <c r="I88" i="14"/>
  <c r="J88" i="14" s="1"/>
  <c r="K88" i="14"/>
  <c r="L88" i="14" s="1"/>
  <c r="M88" i="14" s="1"/>
  <c r="H89" i="14"/>
  <c r="I89" i="14"/>
  <c r="J89" i="14" s="1"/>
  <c r="K89" i="14"/>
  <c r="L89" i="14" s="1"/>
  <c r="M89" i="14" s="1"/>
  <c r="L11" i="14"/>
  <c r="M11" i="14" s="1"/>
  <c r="K11" i="14"/>
  <c r="H11" i="14"/>
  <c r="I11" i="14" s="1"/>
  <c r="J11" i="14" s="1"/>
  <c r="K10" i="14"/>
  <c r="L10" i="14" s="1"/>
  <c r="M10" i="14" s="1"/>
  <c r="H10" i="14"/>
  <c r="I10" i="14" s="1"/>
  <c r="J10" i="14" s="1"/>
  <c r="L9" i="14"/>
  <c r="M9" i="14" s="1"/>
  <c r="K9" i="14"/>
  <c r="H9" i="14"/>
  <c r="I9" i="14" s="1"/>
  <c r="J9" i="14" s="1"/>
  <c r="L8" i="14"/>
  <c r="M8" i="14" s="1"/>
  <c r="K8" i="14"/>
  <c r="H8" i="14"/>
  <c r="I8" i="14" s="1"/>
  <c r="J8" i="14" s="1"/>
  <c r="L7" i="14"/>
  <c r="M7" i="14" s="1"/>
  <c r="K7" i="14"/>
  <c r="H7" i="14"/>
  <c r="I7" i="14" s="1"/>
  <c r="J7" i="14" s="1"/>
  <c r="K6" i="14"/>
  <c r="L6" i="14" s="1"/>
  <c r="M6" i="14" s="1"/>
  <c r="H6" i="14"/>
  <c r="I6" i="14" s="1"/>
  <c r="J6" i="14" s="1"/>
  <c r="L5" i="14"/>
  <c r="M5" i="14" s="1"/>
  <c r="K5" i="14"/>
  <c r="H5" i="14"/>
  <c r="I5" i="14" s="1"/>
  <c r="J5" i="14" s="1"/>
  <c r="L4" i="14"/>
  <c r="M4" i="14" s="1"/>
  <c r="K4" i="14"/>
  <c r="J4" i="14"/>
  <c r="I4" i="14"/>
  <c r="H4" i="14"/>
  <c r="L3" i="14"/>
  <c r="M3" i="14" s="1"/>
  <c r="K3" i="14"/>
  <c r="H3" i="14"/>
  <c r="I3" i="14" s="1"/>
  <c r="J3" i="14" s="1"/>
  <c r="K2" i="14"/>
  <c r="L2" i="14" s="1"/>
  <c r="M2" i="14" s="1"/>
  <c r="H2" i="14"/>
  <c r="I2" i="14" s="1"/>
  <c r="J2" i="14" s="1"/>
  <c r="H3" i="13"/>
  <c r="I3" i="13" s="1"/>
  <c r="J3" i="13" s="1"/>
  <c r="K3" i="13"/>
  <c r="L3" i="13" s="1"/>
  <c r="M3" i="13" s="1"/>
  <c r="H4" i="13"/>
  <c r="I4" i="13" s="1"/>
  <c r="J4" i="13" s="1"/>
  <c r="K4" i="13"/>
  <c r="L4" i="13" s="1"/>
  <c r="M4" i="13" s="1"/>
  <c r="H5" i="13"/>
  <c r="I5" i="13"/>
  <c r="J5" i="13" s="1"/>
  <c r="K5" i="13"/>
  <c r="L5" i="13" s="1"/>
  <c r="M5" i="13" s="1"/>
  <c r="H6" i="13"/>
  <c r="I6" i="13"/>
  <c r="J6" i="13" s="1"/>
  <c r="K6" i="13"/>
  <c r="L6" i="13" s="1"/>
  <c r="M6" i="13" s="1"/>
  <c r="H7" i="13"/>
  <c r="I7" i="13" s="1"/>
  <c r="J7" i="13" s="1"/>
  <c r="K7" i="13"/>
  <c r="L7" i="13" s="1"/>
  <c r="M7" i="13" s="1"/>
  <c r="H8" i="13"/>
  <c r="I8" i="13" s="1"/>
  <c r="J8" i="13" s="1"/>
  <c r="K8" i="13"/>
  <c r="L8" i="13" s="1"/>
  <c r="M8" i="13" s="1"/>
  <c r="H9" i="13"/>
  <c r="I9" i="13"/>
  <c r="J9" i="13" s="1"/>
  <c r="K9" i="13"/>
  <c r="L9" i="13" s="1"/>
  <c r="M9" i="13" s="1"/>
  <c r="H10" i="13"/>
  <c r="I10" i="13"/>
  <c r="J10" i="13" s="1"/>
  <c r="K10" i="13"/>
  <c r="L10" i="13" s="1"/>
  <c r="M10" i="13" s="1"/>
  <c r="H11" i="13"/>
  <c r="I11" i="13" s="1"/>
  <c r="J11" i="13" s="1"/>
  <c r="K11" i="13"/>
  <c r="L11" i="13" s="1"/>
  <c r="M11" i="13" s="1"/>
  <c r="H12" i="13"/>
  <c r="I12" i="13" s="1"/>
  <c r="J12" i="13" s="1"/>
  <c r="K12" i="13"/>
  <c r="L12" i="13" s="1"/>
  <c r="M12" i="13" s="1"/>
  <c r="H13" i="13"/>
  <c r="I13" i="13"/>
  <c r="J13" i="13" s="1"/>
  <c r="K13" i="13"/>
  <c r="L13" i="13" s="1"/>
  <c r="M13" i="13" s="1"/>
  <c r="H14" i="13"/>
  <c r="I14" i="13" s="1"/>
  <c r="J14" i="13" s="1"/>
  <c r="K14" i="13"/>
  <c r="L14" i="13" s="1"/>
  <c r="M14" i="13" s="1"/>
  <c r="H15" i="13"/>
  <c r="I15" i="13" s="1"/>
  <c r="J15" i="13" s="1"/>
  <c r="K15" i="13"/>
  <c r="L15" i="13" s="1"/>
  <c r="M15" i="13" s="1"/>
  <c r="H16" i="13"/>
  <c r="I16" i="13" s="1"/>
  <c r="J16" i="13" s="1"/>
  <c r="K16" i="13"/>
  <c r="L16" i="13"/>
  <c r="M16" i="13" s="1"/>
  <c r="H17" i="13"/>
  <c r="I17" i="13"/>
  <c r="J17" i="13" s="1"/>
  <c r="K17" i="13"/>
  <c r="L17" i="13" s="1"/>
  <c r="M17" i="13" s="1"/>
  <c r="H18" i="13"/>
  <c r="I18" i="13" s="1"/>
  <c r="J18" i="13" s="1"/>
  <c r="K18" i="13"/>
  <c r="L18" i="13" s="1"/>
  <c r="M18" i="13" s="1"/>
  <c r="H19" i="13"/>
  <c r="I19" i="13" s="1"/>
  <c r="K19" i="13"/>
  <c r="L19" i="13" s="1"/>
  <c r="M19" i="13" s="1"/>
  <c r="H20" i="13"/>
  <c r="I20" i="13" s="1"/>
  <c r="J20" i="13" s="1"/>
  <c r="K20" i="13"/>
  <c r="L20" i="13"/>
  <c r="M20" i="13" s="1"/>
  <c r="H21" i="13"/>
  <c r="I21" i="13"/>
  <c r="J21" i="13" s="1"/>
  <c r="K21" i="13"/>
  <c r="L21" i="13" s="1"/>
  <c r="M21" i="13" s="1"/>
  <c r="H22" i="13"/>
  <c r="I22" i="13" s="1"/>
  <c r="J22" i="13" s="1"/>
  <c r="K22" i="13"/>
  <c r="L22" i="13" s="1"/>
  <c r="M22" i="13" s="1"/>
  <c r="H23" i="13"/>
  <c r="I23" i="13" s="1"/>
  <c r="J23" i="13" s="1"/>
  <c r="K23" i="13"/>
  <c r="L23" i="13" s="1"/>
  <c r="M23" i="13" s="1"/>
  <c r="H24" i="13"/>
  <c r="I24" i="13" s="1"/>
  <c r="J24" i="13" s="1"/>
  <c r="K24" i="13"/>
  <c r="L24" i="13"/>
  <c r="M24" i="13" s="1"/>
  <c r="H25" i="13"/>
  <c r="I25" i="13"/>
  <c r="J25" i="13" s="1"/>
  <c r="K25" i="13"/>
  <c r="L25" i="13" s="1"/>
  <c r="M25" i="13" s="1"/>
  <c r="H26" i="13"/>
  <c r="I26" i="13" s="1"/>
  <c r="J26" i="13" s="1"/>
  <c r="K26" i="13"/>
  <c r="L26" i="13" s="1"/>
  <c r="M26" i="13" s="1"/>
  <c r="H27" i="13"/>
  <c r="I27" i="13" s="1"/>
  <c r="J27" i="13" s="1"/>
  <c r="K27" i="13"/>
  <c r="L27" i="13" s="1"/>
  <c r="M27" i="13" s="1"/>
  <c r="H28" i="13"/>
  <c r="I28" i="13" s="1"/>
  <c r="J28" i="13" s="1"/>
  <c r="K28" i="13"/>
  <c r="L28" i="13"/>
  <c r="M28" i="13" s="1"/>
  <c r="H29" i="13"/>
  <c r="I29" i="13"/>
  <c r="J29" i="13" s="1"/>
  <c r="K29" i="13"/>
  <c r="L29" i="13"/>
  <c r="M29" i="13" s="1"/>
  <c r="H30" i="13"/>
  <c r="I30" i="13" s="1"/>
  <c r="J30" i="13" s="1"/>
  <c r="K30" i="13"/>
  <c r="L30" i="13" s="1"/>
  <c r="M30" i="13" s="1"/>
  <c r="H31" i="13"/>
  <c r="I31" i="13" s="1"/>
  <c r="J31" i="13" s="1"/>
  <c r="K31" i="13"/>
  <c r="L31" i="13" s="1"/>
  <c r="M31" i="13" s="1"/>
  <c r="H32" i="13"/>
  <c r="I32" i="13" s="1"/>
  <c r="J32" i="13" s="1"/>
  <c r="K32" i="13"/>
  <c r="L32" i="13"/>
  <c r="M32" i="13" s="1"/>
  <c r="H33" i="13"/>
  <c r="I33" i="13"/>
  <c r="J33" i="13" s="1"/>
  <c r="K33" i="13"/>
  <c r="L33" i="13"/>
  <c r="M33" i="13" s="1"/>
  <c r="H34" i="13"/>
  <c r="I34" i="13" s="1"/>
  <c r="J34" i="13" s="1"/>
  <c r="K34" i="13"/>
  <c r="L34" i="13" s="1"/>
  <c r="M34" i="13" s="1"/>
  <c r="H35" i="13"/>
  <c r="I35" i="13" s="1"/>
  <c r="J35" i="13" s="1"/>
  <c r="K35" i="13"/>
  <c r="L35" i="13" s="1"/>
  <c r="M35" i="13" s="1"/>
  <c r="H36" i="13"/>
  <c r="I36" i="13" s="1"/>
  <c r="J36" i="13" s="1"/>
  <c r="K36" i="13"/>
  <c r="L36" i="13"/>
  <c r="M36" i="13" s="1"/>
  <c r="H37" i="13"/>
  <c r="I37" i="13"/>
  <c r="J37" i="13" s="1"/>
  <c r="K37" i="13"/>
  <c r="L37" i="13"/>
  <c r="M37" i="13" s="1"/>
  <c r="H38" i="13"/>
  <c r="I38" i="13" s="1"/>
  <c r="J38" i="13" s="1"/>
  <c r="K38" i="13"/>
  <c r="L38" i="13" s="1"/>
  <c r="M38" i="13" s="1"/>
  <c r="H39" i="13"/>
  <c r="I39" i="13" s="1"/>
  <c r="J39" i="13" s="1"/>
  <c r="K39" i="13"/>
  <c r="L39" i="13" s="1"/>
  <c r="M39" i="13" s="1"/>
  <c r="H40" i="13"/>
  <c r="I40" i="13" s="1"/>
  <c r="J40" i="13" s="1"/>
  <c r="K40" i="13"/>
  <c r="L40" i="13"/>
  <c r="M40" i="13" s="1"/>
  <c r="H41" i="13"/>
  <c r="I41" i="13"/>
  <c r="J41" i="13" s="1"/>
  <c r="K41" i="13"/>
  <c r="L41" i="13"/>
  <c r="M41" i="13" s="1"/>
  <c r="H42" i="13"/>
  <c r="I42" i="13" s="1"/>
  <c r="J42" i="13" s="1"/>
  <c r="K42" i="13"/>
  <c r="L42" i="13" s="1"/>
  <c r="M42" i="13" s="1"/>
  <c r="H43" i="13"/>
  <c r="I43" i="13" s="1"/>
  <c r="J43" i="13" s="1"/>
  <c r="K43" i="13"/>
  <c r="L43" i="13" s="1"/>
  <c r="M43" i="13" s="1"/>
  <c r="H44" i="13"/>
  <c r="I44" i="13" s="1"/>
  <c r="J44" i="13" s="1"/>
  <c r="K44" i="13"/>
  <c r="L44" i="13"/>
  <c r="M44" i="13" s="1"/>
  <c r="H45" i="13"/>
  <c r="I45" i="13"/>
  <c r="J45" i="13" s="1"/>
  <c r="K45" i="13"/>
  <c r="L45" i="13"/>
  <c r="M45" i="13" s="1"/>
  <c r="H46" i="13"/>
  <c r="I46" i="13" s="1"/>
  <c r="J46" i="13" s="1"/>
  <c r="K46" i="13"/>
  <c r="L46" i="13" s="1"/>
  <c r="M46" i="13" s="1"/>
  <c r="H47" i="13"/>
  <c r="I47" i="13" s="1"/>
  <c r="J47" i="13" s="1"/>
  <c r="K47" i="13"/>
  <c r="L47" i="13" s="1"/>
  <c r="M47" i="13" s="1"/>
  <c r="H48" i="13"/>
  <c r="I48" i="13" s="1"/>
  <c r="J48" i="13" s="1"/>
  <c r="K48" i="13"/>
  <c r="L48" i="13"/>
  <c r="M48" i="13" s="1"/>
  <c r="H49" i="13"/>
  <c r="I49" i="13"/>
  <c r="J49" i="13" s="1"/>
  <c r="K49" i="13"/>
  <c r="L49" i="13"/>
  <c r="M49" i="13" s="1"/>
  <c r="H50" i="13"/>
  <c r="I50" i="13" s="1"/>
  <c r="J50" i="13" s="1"/>
  <c r="K50" i="13"/>
  <c r="L50" i="13" s="1"/>
  <c r="M50" i="13" s="1"/>
  <c r="H51" i="13"/>
  <c r="I51" i="13" s="1"/>
  <c r="J51" i="13" s="1"/>
  <c r="K51" i="13"/>
  <c r="L51" i="13" s="1"/>
  <c r="M51" i="13" s="1"/>
  <c r="H52" i="13"/>
  <c r="I52" i="13" s="1"/>
  <c r="J52" i="13" s="1"/>
  <c r="K52" i="13"/>
  <c r="L52" i="13"/>
  <c r="M52" i="13" s="1"/>
  <c r="H53" i="13"/>
  <c r="I53" i="13"/>
  <c r="J53" i="13" s="1"/>
  <c r="K53" i="13"/>
  <c r="L53" i="13"/>
  <c r="M53" i="13" s="1"/>
  <c r="H54" i="13"/>
  <c r="I54" i="13" s="1"/>
  <c r="J54" i="13" s="1"/>
  <c r="K54" i="13"/>
  <c r="L54" i="13" s="1"/>
  <c r="M54" i="13" s="1"/>
  <c r="H55" i="13"/>
  <c r="I55" i="13" s="1"/>
  <c r="J55" i="13" s="1"/>
  <c r="K55" i="13"/>
  <c r="L55" i="13" s="1"/>
  <c r="M55" i="13" s="1"/>
  <c r="H56" i="13"/>
  <c r="I56" i="13" s="1"/>
  <c r="J56" i="13" s="1"/>
  <c r="K56" i="13"/>
  <c r="L56" i="13"/>
  <c r="M56" i="13" s="1"/>
  <c r="H57" i="13"/>
  <c r="I57" i="13"/>
  <c r="J57" i="13" s="1"/>
  <c r="K57" i="13"/>
  <c r="L57" i="13"/>
  <c r="M57" i="13" s="1"/>
  <c r="H58" i="13"/>
  <c r="I58" i="13" s="1"/>
  <c r="J58" i="13" s="1"/>
  <c r="K58" i="13"/>
  <c r="L58" i="13" s="1"/>
  <c r="M58" i="13" s="1"/>
  <c r="H59" i="13"/>
  <c r="I59" i="13" s="1"/>
  <c r="J59" i="13" s="1"/>
  <c r="K59" i="13"/>
  <c r="L59" i="13" s="1"/>
  <c r="M59" i="13" s="1"/>
  <c r="H60" i="13"/>
  <c r="I60" i="13" s="1"/>
  <c r="J60" i="13" s="1"/>
  <c r="K60" i="13"/>
  <c r="L60" i="13"/>
  <c r="M60" i="13" s="1"/>
  <c r="H61" i="13"/>
  <c r="I61" i="13"/>
  <c r="J61" i="13" s="1"/>
  <c r="K61" i="13"/>
  <c r="L61" i="13"/>
  <c r="M61" i="13" s="1"/>
  <c r="H62" i="13"/>
  <c r="I62" i="13" s="1"/>
  <c r="J62" i="13" s="1"/>
  <c r="K62" i="13"/>
  <c r="L62" i="13" s="1"/>
  <c r="M62" i="13" s="1"/>
  <c r="H63" i="13"/>
  <c r="I63" i="13" s="1"/>
  <c r="J63" i="13" s="1"/>
  <c r="K63" i="13"/>
  <c r="L63" i="13" s="1"/>
  <c r="M63" i="13" s="1"/>
  <c r="H64" i="13"/>
  <c r="I64" i="13" s="1"/>
  <c r="J64" i="13" s="1"/>
  <c r="K64" i="13"/>
  <c r="L64" i="13"/>
  <c r="M64" i="13" s="1"/>
  <c r="H65" i="13"/>
  <c r="I65" i="13"/>
  <c r="J65" i="13" s="1"/>
  <c r="K65" i="13"/>
  <c r="L65" i="13"/>
  <c r="M65" i="13" s="1"/>
  <c r="H66" i="13"/>
  <c r="I66" i="13" s="1"/>
  <c r="J66" i="13" s="1"/>
  <c r="K66" i="13"/>
  <c r="L66" i="13" s="1"/>
  <c r="M66" i="13" s="1"/>
  <c r="H67" i="13"/>
  <c r="I67" i="13" s="1"/>
  <c r="J67" i="13" s="1"/>
  <c r="K67" i="13"/>
  <c r="L67" i="13" s="1"/>
  <c r="M67" i="13" s="1"/>
  <c r="H68" i="13"/>
  <c r="I68" i="13" s="1"/>
  <c r="J68" i="13" s="1"/>
  <c r="K68" i="13"/>
  <c r="L68" i="13"/>
  <c r="M68" i="13" s="1"/>
  <c r="H69" i="13"/>
  <c r="I69" i="13"/>
  <c r="J69" i="13" s="1"/>
  <c r="K69" i="13"/>
  <c r="L69" i="13"/>
  <c r="M69" i="13" s="1"/>
  <c r="H70" i="13"/>
  <c r="I70" i="13" s="1"/>
  <c r="J70" i="13" s="1"/>
  <c r="K70" i="13"/>
  <c r="L70" i="13" s="1"/>
  <c r="M70" i="13" s="1"/>
  <c r="H71" i="13"/>
  <c r="I71" i="13" s="1"/>
  <c r="J71" i="13" s="1"/>
  <c r="K71" i="13"/>
  <c r="L71" i="13" s="1"/>
  <c r="M71" i="13" s="1"/>
  <c r="H72" i="13"/>
  <c r="I72" i="13" s="1"/>
  <c r="J72" i="13" s="1"/>
  <c r="K72" i="13"/>
  <c r="L72" i="13"/>
  <c r="M72" i="13" s="1"/>
  <c r="H73" i="13"/>
  <c r="I73" i="13"/>
  <c r="J73" i="13" s="1"/>
  <c r="K73" i="13"/>
  <c r="L73" i="13"/>
  <c r="M73" i="13" s="1"/>
  <c r="H74" i="13"/>
  <c r="I74" i="13"/>
  <c r="J74" i="13" s="1"/>
  <c r="K74" i="13"/>
  <c r="L74" i="13" s="1"/>
  <c r="M74" i="13" s="1"/>
  <c r="H75" i="13"/>
  <c r="I75" i="13" s="1"/>
  <c r="J75" i="13" s="1"/>
  <c r="K75" i="13"/>
  <c r="L75" i="13" s="1"/>
  <c r="M75" i="13" s="1"/>
  <c r="H76" i="13"/>
  <c r="I76" i="13" s="1"/>
  <c r="J76" i="13" s="1"/>
  <c r="K76" i="13"/>
  <c r="L76" i="13"/>
  <c r="M76" i="13"/>
  <c r="H77" i="13"/>
  <c r="I77" i="13"/>
  <c r="J77" i="13" s="1"/>
  <c r="K77" i="13"/>
  <c r="L77" i="13"/>
  <c r="M77" i="13" s="1"/>
  <c r="H78" i="13"/>
  <c r="I78" i="13"/>
  <c r="J78" i="13" s="1"/>
  <c r="K78" i="13"/>
  <c r="L78" i="13" s="1"/>
  <c r="M78" i="13" s="1"/>
  <c r="H79" i="13"/>
  <c r="I79" i="13" s="1"/>
  <c r="J79" i="13" s="1"/>
  <c r="K79" i="13"/>
  <c r="L79" i="13" s="1"/>
  <c r="M79" i="13" s="1"/>
  <c r="H80" i="13"/>
  <c r="I80" i="13" s="1"/>
  <c r="J80" i="13" s="1"/>
  <c r="K80" i="13"/>
  <c r="L80" i="13"/>
  <c r="M80" i="13"/>
  <c r="H81" i="13"/>
  <c r="I81" i="13"/>
  <c r="J81" i="13" s="1"/>
  <c r="K81" i="13"/>
  <c r="L81" i="13"/>
  <c r="M81" i="13" s="1"/>
  <c r="H82" i="13"/>
  <c r="I82" i="13"/>
  <c r="J82" i="13" s="1"/>
  <c r="K82" i="13"/>
  <c r="L82" i="13" s="1"/>
  <c r="M82" i="13" s="1"/>
  <c r="H83" i="13"/>
  <c r="I83" i="13" s="1"/>
  <c r="J83" i="13" s="1"/>
  <c r="K83" i="13"/>
  <c r="L83" i="13" s="1"/>
  <c r="M83" i="13" s="1"/>
  <c r="H84" i="13"/>
  <c r="I84" i="13" s="1"/>
  <c r="J84" i="13" s="1"/>
  <c r="K84" i="13"/>
  <c r="L84" i="13"/>
  <c r="M84" i="13"/>
  <c r="H85" i="13"/>
  <c r="I85" i="13"/>
  <c r="J85" i="13" s="1"/>
  <c r="K85" i="13"/>
  <c r="L85" i="13"/>
  <c r="M85" i="13" s="1"/>
  <c r="H86" i="13"/>
  <c r="I86" i="13"/>
  <c r="J86" i="13" s="1"/>
  <c r="K86" i="13"/>
  <c r="L86" i="13" s="1"/>
  <c r="M86" i="13" s="1"/>
  <c r="H87" i="13"/>
  <c r="I87" i="13" s="1"/>
  <c r="J87" i="13" s="1"/>
  <c r="K87" i="13"/>
  <c r="L87" i="13" s="1"/>
  <c r="M87" i="13" s="1"/>
  <c r="H88" i="13"/>
  <c r="I88" i="13" s="1"/>
  <c r="J88" i="13" s="1"/>
  <c r="K88" i="13"/>
  <c r="L88" i="13"/>
  <c r="M88" i="13"/>
  <c r="H89" i="13"/>
  <c r="I89" i="13"/>
  <c r="J89" i="13" s="1"/>
  <c r="K89" i="13"/>
  <c r="L89" i="13"/>
  <c r="M89" i="13"/>
  <c r="K2" i="13"/>
  <c r="L2" i="13" s="1"/>
  <c r="M2" i="13" s="1"/>
  <c r="H2" i="13"/>
  <c r="I2" i="13" s="1"/>
  <c r="J2" i="13" s="1"/>
  <c r="J41" i="1"/>
  <c r="J42" i="1"/>
  <c r="J43" i="1"/>
  <c r="J44" i="1"/>
  <c r="J40" i="1"/>
  <c r="M90" i="12"/>
  <c r="K3" i="12"/>
  <c r="L3" i="12" s="1"/>
  <c r="M3" i="12" s="1"/>
  <c r="K4" i="12"/>
  <c r="L4" i="12" s="1"/>
  <c r="M4" i="12" s="1"/>
  <c r="K5" i="12"/>
  <c r="L5" i="12"/>
  <c r="M5" i="12" s="1"/>
  <c r="K6" i="12"/>
  <c r="L6" i="12" s="1"/>
  <c r="M6" i="12" s="1"/>
  <c r="K7" i="12"/>
  <c r="L7" i="12" s="1"/>
  <c r="M7" i="12" s="1"/>
  <c r="K8" i="12"/>
  <c r="L8" i="12" s="1"/>
  <c r="M8" i="12" s="1"/>
  <c r="K9" i="12"/>
  <c r="L9" i="12"/>
  <c r="M9" i="12" s="1"/>
  <c r="K10" i="12"/>
  <c r="L10" i="12"/>
  <c r="M10" i="12"/>
  <c r="K11" i="12"/>
  <c r="L11" i="12" s="1"/>
  <c r="M11" i="12" s="1"/>
  <c r="K12" i="12"/>
  <c r="L12" i="12" s="1"/>
  <c r="M12" i="12" s="1"/>
  <c r="K13" i="12"/>
  <c r="L13" i="12"/>
  <c r="M13" i="12" s="1"/>
  <c r="K14" i="12"/>
  <c r="L14" i="12" s="1"/>
  <c r="M14" i="12" s="1"/>
  <c r="K15" i="12"/>
  <c r="L15" i="12" s="1"/>
  <c r="M15" i="12" s="1"/>
  <c r="K16" i="12"/>
  <c r="L16" i="12" s="1"/>
  <c r="M16" i="12" s="1"/>
  <c r="K17" i="12"/>
  <c r="L17" i="12"/>
  <c r="M17" i="12" s="1"/>
  <c r="K18" i="12"/>
  <c r="L18" i="12"/>
  <c r="M18" i="12"/>
  <c r="K19" i="12"/>
  <c r="L19" i="12" s="1"/>
  <c r="M19" i="12" s="1"/>
  <c r="K20" i="12"/>
  <c r="L20" i="12" s="1"/>
  <c r="M20" i="12" s="1"/>
  <c r="K21" i="12"/>
  <c r="L21" i="12"/>
  <c r="M21" i="12" s="1"/>
  <c r="K22" i="12"/>
  <c r="L22" i="12" s="1"/>
  <c r="M22" i="12" s="1"/>
  <c r="K23" i="12"/>
  <c r="L23" i="12" s="1"/>
  <c r="M23" i="12" s="1"/>
  <c r="K24" i="12"/>
  <c r="L24" i="12" s="1"/>
  <c r="M24" i="12" s="1"/>
  <c r="K25" i="12"/>
  <c r="L25" i="12"/>
  <c r="M25" i="12" s="1"/>
  <c r="K26" i="12"/>
  <c r="L26" i="12"/>
  <c r="M26" i="12"/>
  <c r="K27" i="12"/>
  <c r="L27" i="12" s="1"/>
  <c r="M27" i="12" s="1"/>
  <c r="K28" i="12"/>
  <c r="L28" i="12" s="1"/>
  <c r="M28" i="12" s="1"/>
  <c r="K29" i="12"/>
  <c r="L29" i="12"/>
  <c r="M29" i="12" s="1"/>
  <c r="K30" i="12"/>
  <c r="L30" i="12" s="1"/>
  <c r="M30" i="12" s="1"/>
  <c r="K31" i="12"/>
  <c r="L31" i="12" s="1"/>
  <c r="M31" i="12" s="1"/>
  <c r="K32" i="12"/>
  <c r="L32" i="12" s="1"/>
  <c r="M32" i="12" s="1"/>
  <c r="K33" i="12"/>
  <c r="L33" i="12"/>
  <c r="M33" i="12" s="1"/>
  <c r="K34" i="12"/>
  <c r="L34" i="12"/>
  <c r="M34" i="12"/>
  <c r="K35" i="12"/>
  <c r="L35" i="12" s="1"/>
  <c r="M35" i="12" s="1"/>
  <c r="K36" i="12"/>
  <c r="L36" i="12" s="1"/>
  <c r="M36" i="12" s="1"/>
  <c r="K37" i="12"/>
  <c r="L37" i="12"/>
  <c r="M37" i="12" s="1"/>
  <c r="K38" i="12"/>
  <c r="L38" i="12" s="1"/>
  <c r="M38" i="12" s="1"/>
  <c r="K39" i="12"/>
  <c r="L39" i="12" s="1"/>
  <c r="M39" i="12" s="1"/>
  <c r="K40" i="12"/>
  <c r="L40" i="12" s="1"/>
  <c r="M40" i="12" s="1"/>
  <c r="K41" i="12"/>
  <c r="L41" i="12"/>
  <c r="M41" i="12" s="1"/>
  <c r="K42" i="12"/>
  <c r="L42" i="12"/>
  <c r="M42" i="12"/>
  <c r="K43" i="12"/>
  <c r="L43" i="12"/>
  <c r="M43" i="12" s="1"/>
  <c r="K44" i="12"/>
  <c r="L44" i="12" s="1"/>
  <c r="M44" i="12" s="1"/>
  <c r="K45" i="12"/>
  <c r="L45" i="12"/>
  <c r="M45" i="12" s="1"/>
  <c r="K46" i="12"/>
  <c r="L46" i="12" s="1"/>
  <c r="M46" i="12" s="1"/>
  <c r="K47" i="12"/>
  <c r="L47" i="12" s="1"/>
  <c r="M47" i="12" s="1"/>
  <c r="K48" i="12"/>
  <c r="L48" i="12" s="1"/>
  <c r="M48" i="12" s="1"/>
  <c r="K49" i="12"/>
  <c r="L49" i="12"/>
  <c r="M49" i="12" s="1"/>
  <c r="K50" i="12"/>
  <c r="L50" i="12"/>
  <c r="M50" i="12"/>
  <c r="K51" i="12"/>
  <c r="L51" i="12"/>
  <c r="M51" i="12" s="1"/>
  <c r="K52" i="12"/>
  <c r="L52" i="12" s="1"/>
  <c r="M52" i="12" s="1"/>
  <c r="K53" i="12"/>
  <c r="L53" i="12"/>
  <c r="M53" i="12" s="1"/>
  <c r="K54" i="12"/>
  <c r="L54" i="12" s="1"/>
  <c r="M54" i="12" s="1"/>
  <c r="K55" i="12"/>
  <c r="L55" i="12" s="1"/>
  <c r="M55" i="12" s="1"/>
  <c r="K56" i="12"/>
  <c r="L56" i="12" s="1"/>
  <c r="M56" i="12" s="1"/>
  <c r="K57" i="12"/>
  <c r="L57" i="12"/>
  <c r="M57" i="12" s="1"/>
  <c r="K58" i="12"/>
  <c r="L58" i="12"/>
  <c r="M58" i="12"/>
  <c r="K59" i="12"/>
  <c r="L59" i="12"/>
  <c r="M59" i="12" s="1"/>
  <c r="K60" i="12"/>
  <c r="L60" i="12" s="1"/>
  <c r="M60" i="12" s="1"/>
  <c r="K61" i="12"/>
  <c r="L61" i="12"/>
  <c r="M61" i="12" s="1"/>
  <c r="K62" i="12"/>
  <c r="L62" i="12" s="1"/>
  <c r="M62" i="12" s="1"/>
  <c r="K63" i="12"/>
  <c r="L63" i="12" s="1"/>
  <c r="M63" i="12" s="1"/>
  <c r="K64" i="12"/>
  <c r="L64" i="12" s="1"/>
  <c r="M64" i="12" s="1"/>
  <c r="K65" i="12"/>
  <c r="L65" i="12"/>
  <c r="M65" i="12" s="1"/>
  <c r="K66" i="12"/>
  <c r="L66" i="12"/>
  <c r="M66" i="12"/>
  <c r="K67" i="12"/>
  <c r="L67" i="12"/>
  <c r="M67" i="12" s="1"/>
  <c r="K68" i="12"/>
  <c r="L68" i="12" s="1"/>
  <c r="M68" i="12" s="1"/>
  <c r="K69" i="12"/>
  <c r="L69" i="12"/>
  <c r="M69" i="12" s="1"/>
  <c r="K70" i="12"/>
  <c r="L70" i="12" s="1"/>
  <c r="M70" i="12" s="1"/>
  <c r="K71" i="12"/>
  <c r="L71" i="12" s="1"/>
  <c r="M71" i="12" s="1"/>
  <c r="K72" i="12"/>
  <c r="L72" i="12" s="1"/>
  <c r="M72" i="12" s="1"/>
  <c r="K73" i="12"/>
  <c r="L73" i="12"/>
  <c r="M73" i="12" s="1"/>
  <c r="K74" i="12"/>
  <c r="L74" i="12"/>
  <c r="M74" i="12"/>
  <c r="K75" i="12"/>
  <c r="L75" i="12"/>
  <c r="M75" i="12" s="1"/>
  <c r="K76" i="12"/>
  <c r="L76" i="12" s="1"/>
  <c r="M76" i="12" s="1"/>
  <c r="K77" i="12"/>
  <c r="L77" i="12"/>
  <c r="M77" i="12" s="1"/>
  <c r="K78" i="12"/>
  <c r="L78" i="12" s="1"/>
  <c r="M78" i="12" s="1"/>
  <c r="K79" i="12"/>
  <c r="L79" i="12" s="1"/>
  <c r="M79" i="12" s="1"/>
  <c r="K80" i="12"/>
  <c r="L80" i="12" s="1"/>
  <c r="M80" i="12" s="1"/>
  <c r="K81" i="12"/>
  <c r="L81" i="12"/>
  <c r="M81" i="12" s="1"/>
  <c r="K82" i="12"/>
  <c r="L82" i="12"/>
  <c r="M82" i="12"/>
  <c r="K83" i="12"/>
  <c r="L83" i="12"/>
  <c r="M83" i="12" s="1"/>
  <c r="K84" i="12"/>
  <c r="L84" i="12" s="1"/>
  <c r="M84" i="12" s="1"/>
  <c r="K85" i="12"/>
  <c r="L85" i="12"/>
  <c r="M85" i="12" s="1"/>
  <c r="K86" i="12"/>
  <c r="L86" i="12" s="1"/>
  <c r="M86" i="12" s="1"/>
  <c r="K87" i="12"/>
  <c r="L87" i="12" s="1"/>
  <c r="M87" i="12" s="1"/>
  <c r="K88" i="12"/>
  <c r="L88" i="12" s="1"/>
  <c r="M88" i="12" s="1"/>
  <c r="K89" i="12"/>
  <c r="L89" i="12"/>
  <c r="M89" i="12" s="1"/>
  <c r="M2" i="12"/>
  <c r="L2" i="12"/>
  <c r="K2" i="12"/>
  <c r="H3" i="12"/>
  <c r="I3" i="12"/>
  <c r="J3" i="12" s="1"/>
  <c r="H4" i="12"/>
  <c r="I4" i="12"/>
  <c r="J4" i="12" s="1"/>
  <c r="H5" i="12"/>
  <c r="I5" i="12"/>
  <c r="J5" i="12" s="1"/>
  <c r="H6" i="12"/>
  <c r="I6" i="12" s="1"/>
  <c r="J6" i="12" s="1"/>
  <c r="H7" i="12"/>
  <c r="I7" i="12"/>
  <c r="J7" i="12" s="1"/>
  <c r="H8" i="12"/>
  <c r="I8" i="12" s="1"/>
  <c r="J8" i="12" s="1"/>
  <c r="H9" i="12"/>
  <c r="I9" i="12"/>
  <c r="J9" i="12"/>
  <c r="H10" i="12"/>
  <c r="I10" i="12" s="1"/>
  <c r="J10" i="12" s="1"/>
  <c r="H11" i="12"/>
  <c r="I11" i="12"/>
  <c r="J11" i="12" s="1"/>
  <c r="H12" i="12"/>
  <c r="I12" i="12"/>
  <c r="J12" i="12"/>
  <c r="H13" i="12"/>
  <c r="I13" i="12"/>
  <c r="J13" i="12" s="1"/>
  <c r="H14" i="12"/>
  <c r="I14" i="12" s="1"/>
  <c r="J14" i="12" s="1"/>
  <c r="H15" i="12"/>
  <c r="I15" i="12"/>
  <c r="J15" i="12" s="1"/>
  <c r="H16" i="12"/>
  <c r="I16" i="12" s="1"/>
  <c r="J16" i="12" s="1"/>
  <c r="H17" i="12"/>
  <c r="I17" i="12"/>
  <c r="J17" i="12"/>
  <c r="H18" i="12"/>
  <c r="I18" i="12" s="1"/>
  <c r="J18" i="12" s="1"/>
  <c r="H19" i="12"/>
  <c r="I19" i="12"/>
  <c r="J19" i="12" s="1"/>
  <c r="H20" i="12"/>
  <c r="I20" i="12"/>
  <c r="J20" i="12"/>
  <c r="H21" i="12"/>
  <c r="I21" i="12"/>
  <c r="J21" i="12" s="1"/>
  <c r="H22" i="12"/>
  <c r="I22" i="12" s="1"/>
  <c r="J22" i="12" s="1"/>
  <c r="H23" i="12"/>
  <c r="I23" i="12"/>
  <c r="J23" i="12" s="1"/>
  <c r="H24" i="12"/>
  <c r="I24" i="12" s="1"/>
  <c r="J24" i="12" s="1"/>
  <c r="H25" i="12"/>
  <c r="I25" i="12"/>
  <c r="J25" i="12"/>
  <c r="H26" i="12"/>
  <c r="I26" i="12" s="1"/>
  <c r="J26" i="12" s="1"/>
  <c r="H27" i="12"/>
  <c r="I27" i="12"/>
  <c r="J27" i="12" s="1"/>
  <c r="H28" i="12"/>
  <c r="I28" i="12"/>
  <c r="J28" i="12"/>
  <c r="H29" i="12"/>
  <c r="I29" i="12"/>
  <c r="J29" i="12" s="1"/>
  <c r="H30" i="12"/>
  <c r="I30" i="12" s="1"/>
  <c r="J30" i="12" s="1"/>
  <c r="H31" i="12"/>
  <c r="I31" i="12"/>
  <c r="J31" i="12" s="1"/>
  <c r="H32" i="12"/>
  <c r="I32" i="12" s="1"/>
  <c r="J32" i="12" s="1"/>
  <c r="H33" i="12"/>
  <c r="I33" i="12"/>
  <c r="J33" i="12"/>
  <c r="H34" i="12"/>
  <c r="I34" i="12" s="1"/>
  <c r="J34" i="12" s="1"/>
  <c r="H35" i="12"/>
  <c r="I35" i="12"/>
  <c r="J35" i="12" s="1"/>
  <c r="H36" i="12"/>
  <c r="I36" i="12"/>
  <c r="J36" i="12"/>
  <c r="H37" i="12"/>
  <c r="I37" i="12"/>
  <c r="J37" i="12" s="1"/>
  <c r="H38" i="12"/>
  <c r="I38" i="12" s="1"/>
  <c r="J38" i="12" s="1"/>
  <c r="H39" i="12"/>
  <c r="I39" i="12"/>
  <c r="J39" i="12" s="1"/>
  <c r="H40" i="12"/>
  <c r="I40" i="12" s="1"/>
  <c r="H41" i="12"/>
  <c r="I41" i="12"/>
  <c r="J41" i="12"/>
  <c r="H42" i="12"/>
  <c r="I42" i="12" s="1"/>
  <c r="J42" i="12" s="1"/>
  <c r="H43" i="12"/>
  <c r="I43" i="12"/>
  <c r="J43" i="12" s="1"/>
  <c r="H44" i="12"/>
  <c r="I44" i="12"/>
  <c r="J44" i="12"/>
  <c r="H45" i="12"/>
  <c r="I45" i="12"/>
  <c r="J45" i="12" s="1"/>
  <c r="H46" i="12"/>
  <c r="I46" i="12" s="1"/>
  <c r="J46" i="12" s="1"/>
  <c r="H47" i="12"/>
  <c r="I47" i="12"/>
  <c r="J47" i="12" s="1"/>
  <c r="H48" i="12"/>
  <c r="I48" i="12" s="1"/>
  <c r="J48" i="12" s="1"/>
  <c r="H49" i="12"/>
  <c r="I49" i="12"/>
  <c r="J49" i="12"/>
  <c r="H50" i="12"/>
  <c r="I50" i="12" s="1"/>
  <c r="J50" i="12" s="1"/>
  <c r="H51" i="12"/>
  <c r="I51" i="12"/>
  <c r="J51" i="12" s="1"/>
  <c r="H52" i="12"/>
  <c r="I52" i="12"/>
  <c r="J52" i="12"/>
  <c r="H53" i="12"/>
  <c r="I53" i="12"/>
  <c r="J53" i="12" s="1"/>
  <c r="H54" i="12"/>
  <c r="I54" i="12" s="1"/>
  <c r="J54" i="12" s="1"/>
  <c r="H55" i="12"/>
  <c r="I55" i="12"/>
  <c r="J55" i="12" s="1"/>
  <c r="H56" i="12"/>
  <c r="I56" i="12" s="1"/>
  <c r="J56" i="12" s="1"/>
  <c r="H57" i="12"/>
  <c r="I57" i="12"/>
  <c r="J57" i="12"/>
  <c r="H58" i="12"/>
  <c r="I58" i="12" s="1"/>
  <c r="J58" i="12" s="1"/>
  <c r="H59" i="12"/>
  <c r="I59" i="12"/>
  <c r="J59" i="12" s="1"/>
  <c r="H60" i="12"/>
  <c r="I60" i="12"/>
  <c r="J60" i="12"/>
  <c r="H61" i="12"/>
  <c r="I61" i="12"/>
  <c r="J61" i="12" s="1"/>
  <c r="H62" i="12"/>
  <c r="I62" i="12" s="1"/>
  <c r="J62" i="12" s="1"/>
  <c r="H63" i="12"/>
  <c r="I63" i="12"/>
  <c r="J63" i="12" s="1"/>
  <c r="H64" i="12"/>
  <c r="I64" i="12" s="1"/>
  <c r="J64" i="12" s="1"/>
  <c r="H65" i="12"/>
  <c r="I65" i="12"/>
  <c r="J65" i="12"/>
  <c r="H66" i="12"/>
  <c r="I66" i="12" s="1"/>
  <c r="J66" i="12" s="1"/>
  <c r="H67" i="12"/>
  <c r="I67" i="12"/>
  <c r="J67" i="12" s="1"/>
  <c r="H68" i="12"/>
  <c r="I68" i="12"/>
  <c r="J68" i="12"/>
  <c r="H69" i="12"/>
  <c r="I69" i="12"/>
  <c r="J69" i="12" s="1"/>
  <c r="H70" i="12"/>
  <c r="I70" i="12" s="1"/>
  <c r="J70" i="12" s="1"/>
  <c r="H71" i="12"/>
  <c r="I71" i="12"/>
  <c r="J71" i="12" s="1"/>
  <c r="H72" i="12"/>
  <c r="I72" i="12" s="1"/>
  <c r="J72" i="12" s="1"/>
  <c r="H73" i="12"/>
  <c r="I73" i="12"/>
  <c r="J73" i="12"/>
  <c r="H74" i="12"/>
  <c r="I74" i="12" s="1"/>
  <c r="J74" i="12" s="1"/>
  <c r="H75" i="12"/>
  <c r="I75" i="12"/>
  <c r="J75" i="12" s="1"/>
  <c r="H76" i="12"/>
  <c r="I76" i="12"/>
  <c r="J76" i="12"/>
  <c r="H77" i="12"/>
  <c r="I77" i="12"/>
  <c r="J77" i="12" s="1"/>
  <c r="H78" i="12"/>
  <c r="I78" i="12" s="1"/>
  <c r="J78" i="12" s="1"/>
  <c r="H79" i="12"/>
  <c r="I79" i="12"/>
  <c r="J79" i="12" s="1"/>
  <c r="H80" i="12"/>
  <c r="I80" i="12" s="1"/>
  <c r="J80" i="12" s="1"/>
  <c r="H81" i="12"/>
  <c r="I81" i="12"/>
  <c r="J81" i="12"/>
  <c r="H82" i="12"/>
  <c r="I82" i="12" s="1"/>
  <c r="J82" i="12" s="1"/>
  <c r="H83" i="12"/>
  <c r="I83" i="12"/>
  <c r="J83" i="12" s="1"/>
  <c r="H84" i="12"/>
  <c r="I84" i="12"/>
  <c r="J84" i="12"/>
  <c r="H85" i="12"/>
  <c r="I85" i="12"/>
  <c r="J85" i="12" s="1"/>
  <c r="H86" i="12"/>
  <c r="I86" i="12" s="1"/>
  <c r="J86" i="12" s="1"/>
  <c r="H87" i="12"/>
  <c r="I87" i="12"/>
  <c r="H88" i="12"/>
  <c r="I88" i="12" s="1"/>
  <c r="J88" i="12" s="1"/>
  <c r="H89" i="12"/>
  <c r="I89" i="12"/>
  <c r="J89" i="12"/>
  <c r="H2" i="12"/>
  <c r="I2" i="12" s="1"/>
  <c r="J2" i="12" s="1"/>
  <c r="X39" i="1"/>
  <c r="Y39" i="1"/>
  <c r="Z39" i="1"/>
  <c r="W39" i="1"/>
  <c r="D90" i="16"/>
  <c r="E90" i="16"/>
  <c r="F90" i="16"/>
  <c r="D90" i="15"/>
  <c r="E90" i="15"/>
  <c r="F90" i="15"/>
  <c r="G90" i="15"/>
  <c r="D90" i="14"/>
  <c r="E90" i="14"/>
  <c r="F90" i="14"/>
  <c r="G90" i="14"/>
  <c r="D90" i="13"/>
  <c r="E90" i="13"/>
  <c r="F90" i="13"/>
  <c r="G90" i="13"/>
  <c r="D90" i="12"/>
  <c r="E90" i="12"/>
  <c r="F90" i="12"/>
  <c r="E92" i="6"/>
  <c r="F92" i="6"/>
  <c r="D92" i="6"/>
  <c r="E92" i="5"/>
  <c r="F92" i="5"/>
  <c r="D92" i="5"/>
  <c r="E92" i="4"/>
  <c r="F92" i="4"/>
  <c r="D92" i="4"/>
  <c r="E92" i="3"/>
  <c r="F92" i="3"/>
  <c r="D92" i="3"/>
  <c r="E92" i="2"/>
  <c r="E93" i="2" s="1"/>
  <c r="F92" i="2"/>
  <c r="F93" i="2" s="1"/>
  <c r="D92" i="2"/>
  <c r="D93" i="2" s="1"/>
</calcChain>
</file>

<file path=xl/sharedStrings.xml><?xml version="1.0" encoding="utf-8"?>
<sst xmlns="http://schemas.openxmlformats.org/spreadsheetml/2006/main" count="2948" uniqueCount="2367">
  <si>
    <t xml:space="preserve">For the CSTR reactor,-r_{A} =k\times c_{A}^3\times c_{B}^2 kmol/(L*min), c_{A} =c_{A0} \times (1-x_{A} ), c_{B} =c_{B0}- c_{A0} \times x_{A}, the residence time \tau is calculated by \frac{c_{A0} \times x_{f} }{-r_{A} }. The residence time \tau of the CSTR reactor is 3.29 h.
</t>
  </si>
  <si>
    <t>For the CSTR reactor,-r_{A} =k\times c_{A}^3\times c_{B}^2 kmol/(L*min), c_{A} =c_{A0} \times (1-x_{A} ), c_{B} =c_{B0}- c_{A0} \times x_{A}, the residence time \tau is calculated by \frac{c_{A0} \times x_{f} }{-r_{A} }. The residence time \tau of the CSTR reactor is 4.28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</si>
  <si>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kmol/m3.&lt;|im_end|&gt;
&lt;|im_start|&gt;assistant
</t>
  </si>
  <si>
    <t xml:space="preserve">For the BR reactor,-r_{A} =k\times c_{A}^2\times c_{B}^1 kmol/(L*min), c_{A} =c_{A0} \times (1-x_{A} ), c_{B} =c_{B0}- c_{A0} \times x_{A}, the residence time \tau is obtained by c_{A0}\times\int_{0}^{x_{f}}\frac{dx_{A}}{-r_{A}}. And the reactor volume is \frac{(\tau + t_{assist} )\times Q}{f} The calculated reactor volume V is 0.39 Cubic Meters.
</t>
  </si>
  <si>
    <t>For the BR reactor,-r_{A} =k\times c_{A}^2\times c_{B}^1 kmol/(L*min), c_{A} =c_{A0} \times (1-x_{A} ), c_{B} =c_{B0}- c_{A0} \times x_{A}, the residence time \tau is obtained by c_{A0}\times\int_{0}^{x_{f}}\frac{dx_{A}}{-r_{A}}. And the reactor volume is \frac{(\tau + t_{assist} )\times Q}{f} The calculated reactor volume V is 1.04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</si>
  <si>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0.64.&lt;|im_end|&gt;
&lt;|im_start|&gt;assistant
</t>
  </si>
  <si>
    <t xml:space="preserve">For the CSTR reactor,-r_{A} =k\times c_{A}^1\times c_{B}^1 kmol/(L*min), c_{A} =c_{A0} \times (1-x_{A} ), c_{B} =c_{B0}- c_{A0} \times x_{A}, the residence time \tau is calculated by \frac{c_{A0} \times x_{f} }{-r_{A} }. The residence time \tau of the CSTR reactor is 11.42 h.
</t>
  </si>
  <si>
    <t>For the CSTR reactor,-r_{A} =k\times c_{A}^1\times c_{B}^1 kmol/(L*min), c_{A} =c_{A0} \times (1-x_{A} ), c_{B} =c_{B0}- c_{A0} \times x_{A}, the residence time \tau is calculated by \frac{c_{A0} \times x_{f} }{-r_{A} }. The residence time \tau of the CSTR reactor is 1.95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</si>
  <si>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kmol/m3.&lt;|im_end|&gt;
&lt;|im_start|&gt;assistant
</t>
  </si>
  <si>
    <t xml:space="preserve">For the CSTR reactor,-r_{A} =k\times c_{A}^1\times c_{B}^1 kmol/(L*min), c_{A} =c_{A0} \times (1-x_{A} ), c_{B} =c_{B0}- c_{A0} \times x_{A}, the residence time \tau is calculated by \frac{c_{A0} \times x_{f} }{-r_{A} }. The residence time \tau of the CSTR reactor is 2.86 h.
</t>
  </si>
  <si>
    <t>For the CSTR reactor,-r_{A} =k\times c_{A}^1\times c_{B}^1 kmol/(L*min), c_{A} =c_{A0} \times (1-x_{A} ), c_{B} =c_{B0}- c_{A0} \times x_{A}, the residence time \tau is calculated by \frac{c_{A0} \times x_{f} }{-r_{A} }. The residence time \tau of the CSTR reactor is 23.89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</si>
  <si>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kmol/m3.&lt;|im_end|&gt;
&lt;|im_start|&gt;assistant
</t>
  </si>
  <si>
    <t xml:space="preserve">For the PFR reactor,-r_{A} =k\times c_{A}^3\times c_{B}^1 kmol/(L*min), c_{A} =c_{A0} \times (1-x_{A} ), c_{B} =c_{B0} - c_{A0} \times x_{A}, the residence time \tau is obtained by c_{A0}\times\int_{0}^{x_{f}}\frac{dx_{A}}{-r_{A}}. The residence time \tau of the PFR reactor is 0.14 h.
</t>
  </si>
  <si>
    <t>For the PFR reactor,-r_{A} =k\times c_{A}^3\times c_{B}^1 kmol/(L*min), c_{A} =c_{A0} \times (1-x_{A} ), c_{B} =c_{B0} - c_{A0} \times x_{A}, the residence time \tau is obtained by c_{A0}\times\int_{0}^{x_{f}}\frac{dx_{A}}{-r_{A}}. The residence time \tau of the PFR reactor is 1.72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</si>
  <si>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kmol/m3.&lt;|im_end|&gt;
&lt;|im_start|&gt;assistant
</t>
  </si>
  <si>
    <t xml:space="preserve">For the CSTR reactor,-r_{A} =k\times c_{A}^3 kmol/(L*min), c_{A} =c_{A0} \times (1-x_{A} ) the residence time \tau is calculated by \frac{c_{A0} \times x_{f} }{-r_{A} }. And the reactor volume is \tau \times Q The calculated reactor volume V is 109.1 Cubic Meters.
</t>
  </si>
  <si>
    <t>For the CSTR reactor,-r_{A} =k\times c_{A}^3 kmol/(L*min), c_{A} =c_{A0} \times (1-x_{A} ) the residence time \tau is calculated by \frac{c_{A0} \times x_{f} }{-r_{A} }. And the reactor volume is \tau \times Q The calculated reactor volume V is 12.26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</si>
  <si>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kmol/m3.&lt;|im_end|&gt;
&lt;|im_start|&gt;assistant
</t>
  </si>
  <si>
    <t xml:space="preserve">For the PFR reactor,-r_{A} =k\times c_{A}^2 kmol/(L*min), c_{A} =c_{A0} \times (1-x_{A} ) ,the residence time \tau is obtained by c_{A0}\times\int_{0}^{x_{f}}\frac{dx_{A}}{-r_{A}}. And the reactor volume is \tau \times Q The calculated reactor volume V is 0.68 Cubic Meters.
</t>
  </si>
  <si>
    <t>For the PFR reactor,-r_{A} =k\times c_{A}^2 kmol/(L*min), c_{A} =c_{A0} \times (1-x_{A} ) ,the residence time \tau is obtained by c_{A0}\times\int_{0}^{x_{f}}\frac{dx_{A}}{-r_{A}}. And the reactor volume is \tau \times Q The calculated reactor volume V is 1.32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</si>
  <si>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kmol/m3.&lt;|im_end|&gt;
&lt;|im_start|&gt;assistant
</t>
  </si>
  <si>
    <t xml:space="preserve">For the PFR reactor,-r_{A} =k\times c_{A}^2 kmol/(L*min), c_{A} =c_{A0} \times (1-x_{A} ) ,the residence time \tau is obtained by c_{A0}\times\int_{0}^{x_{f}}\frac{dx_{A}}{-r_{A}}. And the reactor volume is \tau \times Q The calculated reactor volume V is 2.84 Cubic Meters.
</t>
  </si>
  <si>
    <t>For the PFR reactor,-r_{A} =k\times c_{A}^2 kmol/(L*min), c_{A} =c_{A0} \times (1-x_{A} ) ,the residence time \tau is obtained by c_{A0}\times\int_{0}^{x_{f}}\frac{dx_{A}}{-r_{A}}. And the reactor volume is \tau \times Q The calculated reactor volume V is 1.78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</si>
  <si>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kmol/m3.&lt;|im_end|&gt;
&lt;|im_start|&gt;assistant
</t>
  </si>
  <si>
    <t xml:space="preserve">For the BR reactor,-r_{A} =k\times c_{A}^2 kmol/(L*min), c_{A} =c_{A0} \times (1-x_{A} ) ,the residence time \tau is obtained by c_{A0}\times\int_{0}^{x_{f}}\frac{dx_{A}}{-r_{A}}. The residence time \tau of the BR reactor is 2.91 h.
</t>
  </si>
  <si>
    <t>For the BR reactor,-r_{A} =k\times c_{A}^2 kmol/(L*min), c_{A} =c_{A0} \times (1-x_{A} ) ,the residence time \tau is obtained by c_{A0}\times\int_{0}^{x_{f}}\frac{dx_{A}}{-r_{A}}. The residence time \tau of the BR reactor is 3.33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</si>
  <si>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0.45.&lt;|im_end|&gt;
&lt;|im_start|&gt;assistant
</t>
  </si>
  <si>
    <t xml:space="preserve">For the PFR reactor,-r_{A} =k\times c_{A}^2\times c_{B}^1 kmol/(L*min), c_{A} =c_{A0} \times (1-x_{A} ), c_{B} =c_{B0} - c_{A0} \times x_{A}, the residence time \tau is obtained by c_{A0}\times\int_{0}^{x_{f}}\frac{dx_{A}}{-r_{A}}. The residence time \tau of the PFR reactor is 4.77 h.
</t>
  </si>
  <si>
    <t>For the PFR reactor,-r_{A} =k\times c_{A}^2\times c_{B}^1 kmol/(L*min), c_{A} =c_{A0} \times (1-x_{A} ), c_{B} =c_{B0} - c_{A0} \times x_{A}, the residence time \tau is obtained by c_{A0}\times\int_{0}^{x_{f}}\frac{dx_{A}}{-r_{A}}. The residence time \tau of the PFR reactor is 15.71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</si>
  <si>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kmol/m3.&lt;|im_end|&gt;
&lt;|im_start|&gt;assistant
</t>
  </si>
  <si>
    <t xml:space="preserve">For the PFR reactor,-r_{A} =k\times c_{A}^3 kmol/(L*min), c_{A} =c_{A0} \times (1-x_{A} ) ,the residence time \tau is obtained by c_{A0}\times\int_{0}^{x_{f}}\frac{dx_{A}}{-r_{A}}. And the reactor volume is \tau \times Q The calculated reactor volume V is 0.42 Cubic Meters.
</t>
  </si>
  <si>
    <t>For the PFR reactor,-r_{A} =k\times c_{A}^3 kmol/(L*min), c_{A} =c_{A0} \times (1-x_{A} ) ,the residence time \tau is obtained by c_{A0}\times\int_{0}^{x_{f}}\frac{dx_{A}}{-r_{A}}. And the reactor volume is \tau \times Q The calculated reactor volume V is 0.26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</si>
  <si>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kmol/m3.&lt;|im_end|&gt;
&lt;|im_start|&gt;assistant
</t>
  </si>
  <si>
    <t xml:space="preserve">For the BR reactor,-r_{A} =k\times c_{A}^2\times c_{B}^3 kmol/(L*min), c_{A} =c_{A0} \times (1-x_{A} ), c_{B} =c_{B0}- c_{A0} \times x_{A}, the residence time \tau is obtained by c_{A0}\times\int_{0}^{x_{f}}\frac{dx_{A}}{-r_{A}}. And the reactor volume is \frac{(\tau + t_{assist} )\times Q}{f} The calculated reactor volume V is 0.01 Cubic Meters.
</t>
  </si>
  <si>
    <t>For the BR reactor,-r_{A} =k\times c_{A}^2\times c_{B}^3 kmol/(L*min), c_{A} =c_{A0} \times (1-x_{A} ), c_{B} =c_{B0}- c_{A0} \times x_{A}, the residence time \tau is obtained by c_{A0}\times\int_{0}^{x_{f}}\frac{dx_{A}}{-r_{A}}. And the reactor volume is \frac{(\tau + t_{assist} )\times Q}{f} The calculated reactor volume V is 0.09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</si>
  <si>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0.55.&lt;|im_end|&gt;
&lt;|im_start|&gt;assistant
</t>
  </si>
  <si>
    <t xml:space="preserve">For the CSTR reactor,-r_{A} =k\times c_{A}^1 kmol/(L*min), c_{A} =c_{A0} \times (1-x_{A} ) the residence time \tau is calculated by \frac{c_{A0} \times x_{f} }{-r_{A} } . The residence time \tau of the CSTR reactor is 2.53 h.
</t>
  </si>
  <si>
    <t>For the CSTR reactor,-r_{A} =k\times c_{A}^1 kmol/(L*min), c_{A} =c_{A0} \times (1-x_{A} ) the residence time \tau is calculated by \frac{c_{A0} \times x_{f} }{-r_{A} } . The residence time \tau of the CSTR reactor is 3.72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</si>
  <si>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kmol/m3.&lt;|im_end|&gt;
&lt;|im_start|&gt;assistant
</t>
  </si>
  <si>
    <t xml:space="preserve">For the CSTR reactor,-r_{A} =k\times c_{A}^1 kmol/(L*min), c_{A} =c_{A0} \times (1-x_{A} ) the residence time \tau is calculated by \frac{c_{A0} \times x_{f} }{-r_{A} }. And the reactor volume is \tau \times Q The calculated reactor volume V is 2.56 Cubic Meters.
</t>
  </si>
  <si>
    <t>For the CSTR reactor,-r_{A} =k\times c_{A}^1 kmol/(L*min), c_{A} =c_{A0} \times (1-x_{A} ) the residence time \tau is calculated by \frac{c_{A0} \times x_{f} }{-r_{A} }. And the reactor volume is \tau \times Q The calculated reactor volume V is 4.39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</si>
  <si>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kmol/m3.&lt;|im_end|&gt;
&lt;|im_start|&gt;assistant
</t>
  </si>
  <si>
    <t xml:space="preserve">For the BR reactor,-r_{A} =k\times c_{A}^1\times c_{B}^3 kmol/(L*min), c_{A} =c_{A0} \times (1-x_{A} ), c_{B} =c_{B0}- c_{A0} \times x_{A}, the residence time \tau is obtained by c_{A0}\times\int_{0}^{x_{f}}\frac{dx_{A}}{-r_{A}}. And the reactor volume is \frac{(\tau + t_{assist} )\times Q}{f} The calculated reactor volume V is 938051.65 Cubic Meters.
</t>
  </si>
  <si>
    <t>For the BR reactor,-r_{A} =k\times c_{A}^1\times c_{B}^3 kmol/(L*min), c_{A} =c_{A0} \times (1-x_{A} ), c_{B} =c_{B0}- c_{A0} \times x_{A}, the residence time \tau is obtained by c_{A0}\times\int_{0}^{x_{f}}\frac{dx_{A}}{-r_{A}}. And the reactor volume is \frac{(\tau + t_{assist} )\times Q}{f} The calculated reactor volume V is 2.54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</si>
  <si>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0.42.&lt;|im_end|&gt;
&lt;|im_start|&gt;assistant
</t>
  </si>
  <si>
    <t xml:space="preserve">For the CSTR reactor,-r_{A} =k\times c_{A}^3\times c_{B}^3 kmol/(L*min), c_{A} =c_{A0} \times (1-x_{A} ), c_{B} =c_{B0}- c_{A0} \times x_{A}, the residence time \tau is calculated by \frac{c_{A0} \times x_{f} }{-r_{A} }. The residence time \tau of the CSTR reactor is 3.63 h.
</t>
  </si>
  <si>
    <t>For the CSTR reactor,-r_{A} =k\times c_{A}^3\times c_{B}^3 kmol/(L*min), c_{A} =c_{A0} \times (1-x_{A} ), c_{B} =c_{B0}- c_{A0} \times x_{A}, the residence time \tau is calculated by \frac{c_{A0} \times x_{f} }{-r_{A} }. The residence time \tau of the CSTR reactor is 2.88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</si>
  <si>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kmol/m3.&lt;|im_end|&gt;
&lt;|im_start|&gt;assistant
</t>
  </si>
  <si>
    <t xml:space="preserve">For the BR reactor,-r_{A} =k\times c_{A}^1\times c_{B}^2 kmol/(L*min), c_{A} =c_{A0} \times (1-x_{A} ), c_{B} =c_{B0} - c_{A0} \times x_{A}, the residence time \tau is obtained by c_{A0}\times\int_{0}^{x_{f}}\frac{dx_{A}}{-r_{A}}. The residence time \tau of the BR reactor is 9.03 h.
</t>
  </si>
  <si>
    <t>For the BR reactor,-r_{A} =k\times c_{A}^1\times c_{B}^2 kmol/(L*min), c_{A} =c_{A0} \times (1-x_{A} ), c_{B} =c_{B0} - c_{A0} \times x_{A}, the residence time \tau is obtained by c_{A0}\times\int_{0}^{x_{f}}\frac{dx_{A}}{-r_{A}}. The residence time \tau of the BR reactor is 220643104527724.2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</si>
  <si>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0.61.&lt;|im_end|&gt;
&lt;|im_start|&gt;assistant
</t>
  </si>
  <si>
    <t xml:space="preserve">For the PFR reactor,-r_{A} =k\times c_{A}^3\times c_{B}^3 kmol/(L*min), c_{A} =c_{A0} \times (1-x_{A} ), c_{B} =c_{B0} - c_{A0} \times x_{A}, the residence time \tau is obtained by c_{A0}\times\int_{0}^{x_{f}}\frac{dx_{A}}{-r_{A}}. The residence time \tau of the PFR reactor is 0.04 h.
</t>
  </si>
  <si>
    <t>For the PFR reactor,-r_{A} =k\times c_{A}^3\times c_{B}^3 kmol/(L*min), c_{A} =c_{A0} \times (1-x_{A} ), c_{B} =c_{B0} - c_{A0} \times x_{A}, the residence time \tau is obtained by c_{A0}\times\int_{0}^{x_{f}}\frac{dx_{A}}{-r_{A}}. The residence time \tau of the PFR reactor is 0.01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</si>
  <si>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</si>
  <si>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1.93 Cubic Meters.
</t>
  </si>
  <si>
    <t>For the BR reactor,-r_{A} =k\times c_{A}^2 kmol/(L*min), c_{A} =c_{A0} \times (1-x_{A} ) ,the residence time \tau is obtained by c_{A0}\times\int_{0}^{x_{f}}\frac{dx_{A}}{-r_{A}}. And the reactor volume is \frac{(\tau + t_{assist} )\times Q}{f} The calculated reactor volume V is 1.93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</si>
  <si>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0.48.&lt;|im_end|&gt;
&lt;|im_start|&gt;assistant
</t>
  </si>
  <si>
    <t xml:space="preserve">For the CSTR reactor,-r_{A} =k\times c_{A}^3 kmol/(L*min), c_{A} =c_{A0} \times (1-x_{A} ) the residence time \tau is calculated by \frac{c_{A0} \times x_{f} }{-r_{A} }. And the reactor volume is \tau \times Q The calculated reactor volume V is 0.28 Cubic Meters.
</t>
  </si>
  <si>
    <t>For the CSTR reactor,-r_{A} =k\times c_{A}^3 kmol/(L*min), c_{A} =c_{A0} \times (1-x_{A} ) the residence time \tau is calculated by \frac{c_{A0} \times x_{f} }{-r_{A} }. And the reactor volume is \tau \times Q The calculated reactor volume V is 0.68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</si>
  <si>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kmol/m3.&lt;|im_end|&gt;
&lt;|im_start|&gt;assistant
</t>
  </si>
  <si>
    <t xml:space="preserve">For the CSTR reactor,-r_{A} =k\times c_{A}^1 kmol/(L*min), c_{A} =c_{A0} \times (1-x_{A} ) the residence time \tau is calculated by \frac{c_{A0} \times x_{f} }{-r_{A} }. And the reactor volume is \tau \times Q The calculated reactor volume V is 15.36 Cubic Meters.
</t>
  </si>
  <si>
    <t>For the CSTR reactor,-r_{A} =k\times c_{A}^1 kmol/(L*min), c_{A} =c_{A0} \times (1-x_{A} ) the residence time \tau is calculated by \frac{c_{A0} \times x_{f} }{-r_{A} }. And the reactor volume is \tau \times Q The calculated reactor volume V is 6.65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</si>
  <si>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kmol/m3.&lt;|im_end|&gt;
&lt;|im_start|&gt;assistant
</t>
  </si>
  <si>
    <t xml:space="preserve">For the PFR reactor,-r_{A} =k\times c_{A}^2 kmol/(L*min), c_{A} =c_{A0} \times (1-x_{A} ) ,the residence time \tau is obtained by c_{A0}\times\int_{0}^{x_{f}}\frac{dx_{A}}{-r_{A}}. And the reactor volume is \tau \times Q The calculated reactor volume V is 3.16 Cubic Meters.
</t>
  </si>
  <si>
    <t>For the PFR reactor,-r_{A} =k\times c_{A}^2 kmol/(L*min), c_{A} =c_{A0} \times (1-x_{A} ) ,the residence time \tau is obtained by c_{A0}\times\int_{0}^{x_{f}}\frac{dx_{A}}{-r_{A}}. And the reactor volume is \tau \times Q The calculated reactor volume V is 2.42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</si>
  <si>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kmol/m3.&lt;|im_end|&gt;
&lt;|im_start|&gt;assistant
</t>
  </si>
  <si>
    <t xml:space="preserve">For the BR reactor,-r_{A} =k\times c_{A}^1\times c_{B}^2 kmol/(L*min), c_{A} =c_{A0} \times (1-x_{A} ), c_{B} =c_{B0} - c_{A0} \times x_{A}, the residence time \tau is obtained by c_{A0}\times\int_{0}^{x_{f}}\frac{dx_{A}}{-r_{A}}. The residence time \tau of the BR reactor is 0.03 h.
</t>
  </si>
  <si>
    <t>For the BR reactor,-r_{A} =k\times c_{A}^1\times c_{B}^2 kmol/(L*min), c_{A} =c_{A0} \times (1-x_{A} ), c_{B} =c_{B0} - c_{A0} \times x_{A}, the residence time \tau is obtained by c_{A0}\times\int_{0}^{x_{f}}\frac{dx_{A}}{-r_{A}}. The residence time \tau of the BR reactor is 0.52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</si>
  <si>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0.64.&lt;|im_end|&gt;
&lt;|im_start|&gt;assistant
</t>
  </si>
  <si>
    <t xml:space="preserve">For the BR reactor,-r_{A} =k\times c_{A}^1\times c_{B}^3 kmol/(L*min), c_{A} =c_{A0} \times (1-x_{A} ), c_{B} =c_{B0} - c_{A0} \times x_{A}, the residence time \tau is obtained by c_{A0}\times\int_{0}^{x_{f}}\frac{dx_{A}}{-r_{A}}. The residence time \tau of the BR reactor is 0.01 h.
</t>
  </si>
  <si>
    <t>For the BR reactor,-r_{A} =k\times c_{A}^1\times c_{B}^3 kmol/(L*min), c_{A} =c_{A0} \times (1-x_{A} ), c_{B} =c_{B0} - c_{A0} \times x_{A}, the residence time \tau is obtained by c_{A0}\times\int_{0}^{x_{f}}\frac{dx_{A}}{-r_{A}}. The residence time \tau of the BR reactor is 0.01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</si>
  <si>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0.53.&lt;|im_end|&gt;
&lt;|im_start|&gt;assistant
</t>
  </si>
  <si>
    <t xml:space="preserve">For the PFR reactor,-r_{A} =k\times c_{A}^3 kmol/(L*min), c_{A} =c_{A0} \times (1-x_{A} ) ,the residence time \tau is obtained by c_{A0}\times\int_{0}^{x_{f}}\frac{dx_{A}}{-r_{A}}. And the reactor volume is \tau \times Q The calculated reactor volume V is 84.49 Cubic Meters.
</t>
  </si>
  <si>
    <t>For the PFR reactor,-r_{A} =k\times c_{A}^3 kmol/(L*min), c_{A} =c_{A0} \times (1-x_{A} ) ,the residence time \tau is obtained by c_{A0}\times\int_{0}^{x_{f}}\frac{dx_{A}}{-r_{A}}. And the reactor volume is \tau \times Q The calculated reactor volume V is 22.38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</si>
  <si>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kmol/m3.&lt;|im_end|&gt;
&lt;|im_start|&gt;assistant
</t>
  </si>
  <si>
    <t xml:space="preserve">For the CSTR reactor,-r_{A} =k\times c_{A}^1 kmol/(L*min), c_{A} =c_{A0} \times (1-x_{A} ) the residence time \tau is calculated by \frac{c_{A0} \times x_{f} }{-r_{A} } . The residence time \tau of the CSTR reactor is 16.52 h.
</t>
  </si>
  <si>
    <t>For the CSTR reactor,-r_{A} =k\times c_{A}^1 kmol/(L*min), c_{A} =c_{A0} \times (1-x_{A} ) the residence time \tau is calculated by \frac{c_{A0} \times x_{f} }{-r_{A} } . The residence time \tau of the CSTR reactor is 22.9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</si>
  <si>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kmol/m3.&lt;|im_end|&gt;
&lt;|im_start|&gt;assistant
</t>
  </si>
  <si>
    <t xml:space="preserve">For the PFR reactor,-r_{A} =k\times c_{A}^3\times c_{B}^2 kmol/(L*min), c_{A} =c_{A0} \times (1-x_{A} ), c_{B} =c_{B0} - c_{A0} \times x_{A}, the residence time \tau is obtained by c_{A0}\times\int_{0}^{x_{f}}\frac{dx_{A}}{-r_{A}}. The residence time \tau of the PFR reactor is 0.29 h.
</t>
  </si>
  <si>
    <t>For the PFR reactor,-r_{A} =k\times c_{A}^3\times c_{B}^2 kmol/(L*min), c_{A} =c_{A0} \times (1-x_{A} ), c_{B} =c_{B0} - c_{A0} \times x_{A}, the residence time \tau is obtained by c_{A0}\times\int_{0}^{x_{f}}\frac{dx_{A}}{-r_{A}}. The residence time \tau of the PFR reactor is 0.11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</si>
  <si>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kmol/m3.&lt;|im_end|&gt;
&lt;|im_start|&gt;assistant
</t>
  </si>
  <si>
    <t xml:space="preserve">For the BR reactor,-r_{A} =k\times c_{A}^2\times c_{B}^2 kmol/(L*min), c_{A} =c_{A0} \times (1-x_{A} ), c_{B} =c_{B0} - c_{A0} \times x_{A}, the residence time \tau is obtained by c_{A0}\times\int_{0}^{x_{f}}\frac{dx_{A}}{-r_{A}}. The residence time \tau of the BR reactor is 245824486.11 h.
</t>
  </si>
  <si>
    <t>For the BR reactor,-r_{A} =k\times c_{A}^2\times c_{B}^2 kmol/(L*min), c_{A} =c_{A0} \times (1-x_{A} ), c_{B} =c_{B0} - c_{A0} \times x_{A}, the residence time \tau is obtained by c_{A0}\times\int_{0}^{x_{f}}\frac{dx_{A}}{-r_{A}}. The residence time \tau of the BR reactor is 15.04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</si>
  <si>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0.7.&lt;|im_end|&gt;
&lt;|im_start|&gt;assistant
</t>
  </si>
  <si>
    <t xml:space="preserve">For the BR reactor,-r_{A} =k\times c_{A}^2\times c_{B}^3 kmol/(L*min), c_{A} =c_{A0} \times (1-x_{A} ), c_{B} =c_{B0}- c_{A0} \times x_{A}, the residence time \tau is obtained by c_{A0}\times\int_{0}^{x_{f}}\frac{dx_{A}}{-r_{A}}. And the reactor volume is \frac{(\tau + t_{assist} )\times Q}{f} The calculated reactor volume V is 0.25 Cubic Meters.
</t>
  </si>
  <si>
    <t>For the BR reactor,-r_{A} =k\times c_{A}^2\times c_{B}^3 kmol/(L*min), c_{A} =c_{A0} \times (1-x_{A} ), c_{B} =c_{B0}- c_{A0} \times x_{A}, the residence time \tau is obtained by c_{A0}\times\int_{0}^{x_{f}}\frac{dx_{A}}{-r_{A}}. And the reactor volume is \frac{(\tau + t_{assist} )\times Q}{f} The calculated reactor volume V is 0.2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</si>
  <si>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0.6.&lt;|im_end|&gt;
&lt;|im_start|&gt;assistant
</t>
  </si>
  <si>
    <t xml:space="preserve">For the BR reactor,-r_{A} =k\times c_{A}^2 kmol/(L*min), c_{A} =c_{A0} \times (1-x_{A} ) ,the residence time \tau is obtained by c_{A0}\times\int_{0}^{x_{f}}\frac{dx_{A}}{-r_{A}}. The residence time \tau of the BR reactor is 0.53 h.
</t>
  </si>
  <si>
    <t>For the BR reactor,-r_{A} =k\times c_{A}^2 kmol/(L*min), c_{A} =c_{A0} \times (1-x_{A} ) ,the residence time \tau is obtained by c_{A0}\times\int_{0}^{x_{f}}\frac{dx_{A}}{-r_{A}}. The residence time \tau of the BR reactor is 1.38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</si>
  <si>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0.71.&lt;|im_end|&gt;
&lt;|im_start|&gt;assistant
</t>
  </si>
  <si>
    <t xml:space="preserve">For the CSTR reactor,-r_{A} =k\times c_{A}^1 kmol/(L*min), c_{A} =c_{A0} \times (1-x_{A} ) the residence time \tau is calculated by \frac{c_{A0} \times x_{f} }{-r_{A} }. And the reactor volume is \tau \times Q The calculated reactor volume V is 246.41 Cubic Meters.
</t>
  </si>
  <si>
    <t>For the CSTR reactor,-r_{A} =k\times c_{A}^1 kmol/(L*min), c_{A} =c_{A0} \times (1-x_{A} ) the residence time \tau is calculated by \frac{c_{A0} \times x_{f} }{-r_{A} }. And the reactor volume is \tau \times Q The calculated reactor volume V is 569.76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</si>
  <si>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kmol/m3.&lt;|im_end|&gt;
&lt;|im_start|&gt;assistant
</t>
  </si>
  <si>
    <t xml:space="preserve">For the CSTR reactor,-r_{A} =k\times c_{A}^3\times c_{B}^3 kmol/(L*min), c_{A} =c_{A0} \times (1-x_{A} ), c_{B} =c_{B0}- c_{A0} \times x_{A}, the residence time \tau is calculated by \frac{c_{A0} \times x_{f} }{-r_{A} }. And the reactor volume is \tau \times Q The calculated reactor volume V is 0.84 Cubic Meters.
</t>
  </si>
  <si>
    <t>For the CSTR reactor,-r_{A} =k\times c_{A}^3\times c_{B}^3 kmol/(L*min), c_{A} =c_{A0} \times (1-x_{A} ), c_{B} =c_{B0}- c_{A0} \times x_{A}, the residence time \tau is calculated by \frac{c_{A0} \times x_{f} }{-r_{A} }. And the reactor volume is \tau \times Q The calculated reactor volume V is 1.32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</si>
  <si>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kmol/m3.&lt;|im_end|&gt;
&lt;|im_start|&gt;assistant
</t>
  </si>
  <si>
    <t xml:space="preserve">For the PFR reactor,-r_{A} =k\times c_{A}^2 kmol/(L*min), c_{A} =c_{A0} \times (1-x_{A} ) ,the residence time \tau is obtained by c_{A0}\times\int_{0}^{x_{f}}\frac{dx_{A}}{-r_{A}}. And the reactor volume is \tau \times Q The calculated reactor volume V is 104.45 Cubic Meters.
</t>
  </si>
  <si>
    <t>For the PFR reactor,-r_{A} =k\times c_{A}^2 kmol/(L*min), c_{A} =c_{A0} \times (1-x_{A} ) ,the residence time \tau is obtained by c_{A0}\times\int_{0}^{x_{f}}\frac{dx_{A}}{-r_{A}}. And the reactor volume is \tau \times Q The calculated reactor volume V is 26.7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</si>
  <si>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</si>
  <si>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4.49 Cubic Meters.
</t>
  </si>
  <si>
    <t>For the BR reactor,-r_{A} =k\times c_{A}^2 kmol/(L*min), c_{A} =c_{A0} \times (1-x_{A} ) ,the residence time \tau is obtained by c_{A0}\times\int_{0}^{x_{f}}\frac{dx_{A}}{-r_{A}}. And the reactor volume is \frac{(\tau + t_{assist} )\times Q}{f} The calculated reactor volume V is 5.93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</si>
  <si>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0.72.&lt;|im_end|&gt;
&lt;|im_start|&gt;assistant
</t>
  </si>
  <si>
    <t xml:space="preserve">For the PFR reactor,-r_{A} =k\times c_{A}^2 kmol/(L*min), c_{A} =c_{A0} \times (1-x_{A} ) ,the residence time \tau is obtained by c_{A0}\times\int_{0}^{x_{f}}\frac{dx_{A}}{-r_{A}}. The residence time \tau of the PFR reactor is 0.86 h.
</t>
  </si>
  <si>
    <t>For the PFR reactor,-r_{A} =k\times c_{A}^2 kmol/(L*min), c_{A} =c_{A0} \times (1-x_{A} ) ,the residence time \tau is obtained by c_{A0}\times\int_{0}^{x_{f}}\frac{dx_{A}}{-r_{A}}. The residence time \tau of the PFR reactor is 1.36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</si>
  <si>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kmol/m3.&lt;|im_end|&gt;
&lt;|im_start|&gt;assistant
</t>
  </si>
  <si>
    <t xml:space="preserve">For the CSTR reactor,-r_{A} =k\times c_{A}^2 kmol/(L*min), c_{A} =c_{A0} \times (1-x_{A} ) the residence time \tau is calculated by \frac{c_{A0} \times x_{f} }{-r_{A} } . The residence time \tau of the CSTR reactor is 12.11 h.
</t>
  </si>
  <si>
    <t>For the CSTR reactor,-r_{A} =k\times c_{A}^2 kmol/(L*min), c_{A} =c_{A0} \times (1-x_{A} ) the residence time \tau is calculated by \frac{c_{A0} \times x_{f} }{-r_{A} } . The residence time \tau of the CSTR reactor is 18.79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</si>
  <si>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kmol/m3.&lt;|im_end|&gt;
&lt;|im_start|&gt;assistant
</t>
  </si>
  <si>
    <t xml:space="preserve">For the PFR reactor,-r_{A} =k\times c_{A}^3 kmol/(L*min), c_{A} =c_{A0} \times (1-x_{A} ) ,the residence time \tau is obtained by c_{A0}\times\int_{0}^{x_{f}}\frac{dx_{A}}{-r_{A}}. The residence time \tau of the PFR reactor is 68.15 h.
</t>
  </si>
  <si>
    <t>For the PFR reactor,-r_{A} =k\times c_{A}^3 kmol/(L*min), c_{A} =c_{A0} \times (1-x_{A} ) ,the residence time \tau is obtained by c_{A0}\times\int_{0}^{x_{f}}\frac{dx_{A}}{-r_{A}}. The residence time \tau of the PFR reactor is 60.2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</si>
  <si>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kmol/m3.&lt;|im_end|&gt;
&lt;|im_start|&gt;assistant
</t>
  </si>
  <si>
    <t xml:space="preserve">For the BR reactor,-r_{A} =k\times c_{A}^2\times c_{B}^2 kmol/(L*min), c_{A} =c_{A0} \times (1-x_{A} ), c_{B} =c_{B0} - c_{A0} \times x_{A}, the residence time \tau is obtained by c_{A0}\times\int_{0}^{x_{f}}\frac{dx_{A}}{-r_{A}}. The residence time \tau of the BR reactor is 0.08 h.
</t>
  </si>
  <si>
    <t>For the BR reactor,-r_{A} =k\times c_{A}^2\times c_{B}^2 kmol/(L*min), c_{A} =c_{A0} \times (1-x_{A} ), c_{B} =c_{B0} - c_{A0} \times x_{A}, the residence time \tau is obtained by c_{A0}\times\int_{0}^{x_{f}}\frac{dx_{A}}{-r_{A}}. The residence time \tau of the BR reactor is 0.56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</si>
  <si>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0.74.&lt;|im_end|&gt;
&lt;|im_start|&gt;assistant
</t>
  </si>
  <si>
    <t xml:space="preserve">For the CSTR reactor,-r_{A} =k\times c_{A}^3\times c_{B}^2 kmol/(L*min), c_{A} =c_{A0} \times (1-x_{A} ), c_{B} =c_{B0}- c_{A0} \times x_{A}, the residence time \tau is calculated by \frac{c_{A0} \times x_{f} }{-r_{A} }. The residence time \tau of the CSTR reactor is 1453.49 h.
</t>
  </si>
  <si>
    <t>For the CSTR reactor,-r_{A} =k\times c_{A}^3\times c_{B}^2 kmol/(L*min), c_{A} =c_{A0} \times (1-x_{A} ), c_{B} =c_{B0}- c_{A0} \times x_{A}, the residence time \tau is calculated by \frac{c_{A0} \times x_{f} }{-r_{A} }. The residence time \tau of the CSTR reactor is 14.84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</si>
  <si>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kmol/m3.&lt;|im_end|&gt;
&lt;|im_start|&gt;assistant
</t>
  </si>
  <si>
    <t xml:space="preserve">For the BR reactor,-r_{A} =k\times c_{A}^2\times c_{B}^2 kmol/(L*min), c_{A} =c_{A0} \times (1-x_{A} ), c_{B} =c_{B0}- c_{A0} \times x_{A}, the residence time \tau is obtained by c_{A0}\times\int_{0}^{x_{f}}\frac{dx_{A}}{-r_{A}}. And the reactor volume is \frac{(\tau + t_{assist} )\times Q}{f} The calculated reactor volume V is 0.04 Cubic Meters.
</t>
  </si>
  <si>
    <t>For the BR reactor,-r_{A} =k\times c_{A}^2\times c_{B}^2 kmol/(L*min), c_{A} =c_{A0} \times (1-x_{A} ), c_{B} =c_{B0}- c_{A0} \times x_{A}, the residence time \tau is obtained by c_{A0}\times\int_{0}^{x_{f}}\frac{dx_{A}}{-r_{A}}. And the reactor volume is \frac{(\tau + t_{assist} )\times Q}{f} The calculated reactor volume V is 0.09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</si>
  <si>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0.49.&lt;|im_end|&gt;
&lt;|im_start|&gt;assistant
</t>
  </si>
  <si>
    <t xml:space="preserve">For the CSTR reactor,-r_{A} =k\times c_{A}^1\times c_{B}^2 kmol/(L*min), c_{A} =c_{A0} \times (1-x_{A} ), c_{B} =c_{B0}- c_{A0} \times x_{A}, the residence time \tau is calculated by \frac{c_{A0} \times x_{f} }{-r_{A} }. And the reactor volume is \tau \times Q The calculated reactor volume V is 11.92 Cubic Meters.
</t>
  </si>
  <si>
    <t>For the CSTR reactor,-r_{A} =k\times c_{A}^1\times c_{B}^2 kmol/(L*min), c_{A} =c_{A0} \times (1-x_{A} ), c_{B} =c_{B0}- c_{A0} \times x_{A}, the residence time \tau is calculated by \frac{c_{A0} \times x_{f} }{-r_{A} }. And the reactor volume is \tau \times Q The calculated reactor volume V is 559.77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</si>
  <si>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kmol/m3.&lt;|im_end|&gt;
&lt;|im_start|&gt;assistant
</t>
  </si>
  <si>
    <t xml:space="preserve">For the PFR reactor,-r_{A} =k\times c_{A}^2\times c_{B}^3 kmol/(L*min), c_{A} =c_{A0} \times (1-x_{A} ), c_{B} =c_{B0}- c_{A0} \times x_{A}, the residence time \tau is obtained by c_{A0}\times\int_{0}^{x_{f}}\frac{dx_{A}}{-r_{A}}. And the reactor volume is \tau \times Q The calculated reactor volume V is 2.63 Cubic Meters.
</t>
  </si>
  <si>
    <t>For the PFR reactor,-r_{A} =k\times c_{A}^2\times c_{B}^3 kmol/(L*min), c_{A} =c_{A0} \times (1-x_{A} ), c_{B} =c_{B0}- c_{A0} \times x_{A}, the residence time \tau is obtained by c_{A0}\times\int_{0}^{x_{f}}\frac{dx_{A}}{-r_{A}}.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</si>
  <si>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kmol/m3.&lt;|im_end|&gt;
&lt;|im_start|&gt;assistant
</t>
  </si>
  <si>
    <t xml:space="preserve">For the CSTR reactor,-r_{A} =k\times c_{A}^1 kmol/(L*min), c_{A} =c_{A0} \times (1-x_{A} ) the residence time \tau is calculated by \frac{c_{A0} \times x_{f} }{-r_{A} }. And the reactor volume is \tau \times Q The calculated reactor volume V is 0.29 Cubic Meters.
</t>
  </si>
  <si>
    <t>For the CSTR reactor,-r_{A} =k\times c_{A}^1 kmol/(L*min), c_{A} =c_{A0} \times (1-x_{A} ) the residence time \tau is calculated by \frac{c_{A0} \times x_{f} }{-r_{A} }. And the reactor volume is \tau \times Q The calculated reactor volume V is 0.82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</si>
  <si>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kmol/m3.&lt;|im_end|&gt;
&lt;|im_start|&gt;assistant
</t>
  </si>
  <si>
    <t xml:space="preserve">For the PFR reactor,-r_{A} =k\times c_{A}^3\times c_{B}^2 kmol/(L*min), c_{A} =c_{A0} \times (1-x_{A} ), c_{B} =c_{B0} - c_{A0} \times x_{A}, the residence time \tau is obtained by c_{A0}\times\int_{0}^{x_{f}}\frac{dx_{A}}{-r_{A}}. The residence time \tau of the PFR reactor is 3.36 h.
</t>
  </si>
  <si>
    <t>For the PFR reactor,-r_{A} =k\times c_{A}^3\times c_{B}^2 kmol/(L*min), c_{A} =c_{A0} \times (1-x_{A} ), c_{B} =c_{B0} - c_{A0} \times x_{A}, the residence time \tau is obtained by c_{A0}\times\int_{0}^{x_{f}}\frac{dx_{A}}{-r_{A}}. The residence time \tau of the PFR reactor is 0.01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</si>
  <si>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kmol/m3.&lt;|im_end|&gt;
&lt;|im_start|&gt;assistant
</t>
  </si>
  <si>
    <t xml:space="preserve">For the PFR reactor,-r_{A} =k\times c_{A}^3 kmol/(L*min), c_{A} =c_{A0} \times (1-x_{A} ) ,the residence time \tau is obtained by c_{A0}\times\int_{0}^{x_{f}}\frac{dx_{A}}{-r_{A}}. And the reactor volume is \tau \times Q The calculated reactor volume V is 0.07 Cubic Meters.
</t>
  </si>
  <si>
    <t>For the PFR reactor,-r_{A} =k\times c_{A}^3 kmol/(L*min), c_{A} =c_{A0} \times (1-x_{A} ) ,the residence time \tau is obtained by c_{A0}\times\int_{0}^{x_{f}}\frac{dx_{A}}{-r_{A}}.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</si>
  <si>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kmol/m3.&lt;|im_end|&gt;
&lt;|im_start|&gt;assistant
</t>
  </si>
  <si>
    <t xml:space="preserve">For the BR reactor,-r_{A} =k\times c_{A}^3\times c_{B}^2 kmol/(L*min), c_{A} =c_{A0} \times (1-x_{A} ), c_{B} =c_{B0} - c_{A0} \times x_{A}, the residence time \tau is obtained by c_{A0}\times\int_{0}^{x_{f}}\frac{dx_{A}}{-r_{A}}. The residence time \tau of the BR reactor is 26.13 h.
</t>
  </si>
  <si>
    <t>For the BR reactor,-r_{A} =k\times c_{A}^3\times c_{B}^2 kmol/(L*min), c_{A} =c_{A0} \times (1-x_{A} ), c_{B} =c_{B0} - c_{A0} \times x_{A}, the residence time \tau is obtained by c_{A0}\times\int_{0}^{x_{f}}\frac{dx_{A}}{-r_{A}}. The residence time \tau of the BR reactor is 1593447047771.16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</si>
  <si>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0.63.&lt;|im_end|&gt;
&lt;|im_start|&gt;assistant
</t>
  </si>
  <si>
    <t xml:space="preserve">For the PFR reactor,-r_{A} =k\times c_{A}^2 kmol/(L*min), c_{A} =c_{A0} \times (1-x_{A} ) ,the residence time \tau is obtained by c_{A0}\times\int_{0}^{x_{f}}\frac{dx_{A}}{-r_{A}}. And the reactor volume is \tau \times Q The calculated reactor volume V is 1.06 Cubic Meters.
</t>
  </si>
  <si>
    <t>For the PFR reactor,-r_{A} =k\times c_{A}^2 kmol/(L*min), c_{A} =c_{A0} \times (1-x_{A} ) ,the residence time \tau is obtained by c_{A0}\times\int_{0}^{x_{f}}\frac{dx_{A}}{-r_{A}}. And the reactor volume is \tau \times Q The calculated reactor volume V is 0.62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</si>
  <si>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kmol/m3.&lt;|im_end|&gt;
&lt;|im_start|&gt;assistant
</t>
  </si>
  <si>
    <t xml:space="preserve">For the BR reactor,-r_{A} =k\times c_{A}^2 kmol/(L*min), c_{A} =c_{A0} \times (1-x_{A} ) ,the residence time \tau is obtained by c_{A0}\times\int_{0}^{x_{f}}\frac{dx_{A}}{-r_{A}}. The residence time \tau of the BR reactor is 33.21 h.
</t>
  </si>
  <si>
    <t>For the BR reactor,-r_{A} =k\times c_{A}^2 kmol/(L*min), c_{A} =c_{A0} \times (1-x_{A} ) ,the residence time \tau is obtained by c_{A0}\times\int_{0}^{x_{f}}\frac{dx_{A}}{-r_{A}}. The residence time \tau of the BR reactor is 10.76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</si>
  <si>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0.43.&lt;|im_end|&gt;
&lt;|im_start|&gt;assistant
</t>
  </si>
  <si>
    <t xml:space="preserve">For the PFR reactor,-r_{A} =k\times c_{A}^1\times c_{B}^1 kmol/(L*min), c_{A} =c_{A0} \times (1-x_{A} ), c_{B} =c_{B0}- c_{A0} \times x_{A}, the residence time \tau is obtained by c_{A0}\times\int_{0}^{x_{f}}\frac{dx_{A}}{-r_{A}}. And the reactor volume is \tau \times Q The calculated reactor volume V is 0.59 Cubic Meters.
</t>
  </si>
  <si>
    <t>For the PFR reactor,-r_{A} =k\times c_{A}^1\times c_{B}^1 kmol/(L*min), c_{A} =c_{A0} \times (1-x_{A} ), c_{B} =c_{B0}- c_{A0} \times x_{A}, the residence time \tau is obtained by c_{A0}\times\int_{0}^{x_{f}}\frac{dx_{A}}{-r_{A}}. And the reactor volume is \tau \times Q The calculated reactor volume V is 1.31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</si>
  <si>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</si>
  <si>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5.84 Cubic Meters.
</t>
  </si>
  <si>
    <t>For the BR reactor,-r_{A} =k\times c_{A}^2 kmol/(L*min), c_{A} =c_{A0} \times (1-x_{A} ) ,the residence time \tau is obtained by c_{A0}\times\int_{0}^{x_{f}}\frac{dx_{A}}{-r_{A}}. And the reactor volume is \frac{(\tau + t_{assist} )\times Q}{f} The calculated reactor volume V is 15.31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</si>
  <si>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0.54.&lt;|im_end|&gt;
&lt;|im_start|&gt;assistant
</t>
  </si>
  <si>
    <t xml:space="preserve">For the PFR reactor,-r_{A} =k\times c_{A}^3\times c_{B}^3 kmol/(L*min), c_{A} =c_{A0} \times (1-x_{A} ), c_{B} =c_{B0} - c_{A0} \times x_{A}, the residence time \tau is obtained by c_{A0}\times\int_{0}^{x_{f}}\frac{dx_{A}}{-r_{A}}. The residence time \tau of the PFR reactor is 0.03 h.
</t>
  </si>
  <si>
    <t>For the PFR reactor,-r_{A} =k\times c_{A}^3\times c_{B}^3 kmol/(L*min), c_{A} =c_{A0} \times (1-x_{A} ), c_{B} =c_{B0} - c_{A0} \times x_{A}, the residence time \tau is obtained by c_{A0}\times\int_{0}^{x_{f}}\frac{dx_{A}}{-r_{A}}. The residence time \tau of the PFR reactor is 0.13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</si>
  <si>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kmol/m3.&lt;|im_end|&gt;
&lt;|im_start|&gt;assistant
</t>
  </si>
  <si>
    <t xml:space="preserve">For the CSTR reactor,-r_{A} =k\times c_{A}^2\times c_{B}^2 kmol/(L*min), c_{A} =c_{A0} \times (1-x_{A} ), c_{B} =c_{B0}- c_{A0} \times x_{A}, the residence time \tau is calculated by \frac{c_{A0} \times x_{f} }{-r_{A} }. The residence time \tau of the CSTR reactor is 6.2 h.
</t>
  </si>
  <si>
    <t>For the CSTR reactor,-r_{A} =k\times c_{A}^2\times c_{B}^2 kmol/(L*min), c_{A} =c_{A0} \times (1-x_{A} ), c_{B} =c_{B0}- c_{A0} \times x_{A}, the residence time \tau is calculated by \frac{c_{A0} \times x_{f} }{-r_{A} }. The residence time \tau of the CSTR reactor is 1569.83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</si>
  <si>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kmol/m3.&lt;|im_end|&gt;
&lt;|im_start|&gt;assistant
</t>
  </si>
  <si>
    <t xml:space="preserve">For the CSTR reactor,-r_{A} =k\times c_{A}^3\times c_{B}^3 kmol/(L*min), c_{A} =c_{A0} \times (1-x_{A} ), c_{B} =c_{B0}- c_{A0} \times x_{A}, the residence time \tau is calculated by \frac{c_{A0} \times x_{f} }{-r_{A} }. The residence time \tau of the CSTR reactor is 9.53 h.
</t>
  </si>
  <si>
    <t>For the CSTR reactor,-r_{A} =k\times c_{A}^3\times c_{B}^3 kmol/(L*min), c_{A} =c_{A0} \times (1-x_{A} ), c_{B} =c_{B0}- c_{A0} \times x_{A}, the residence time \tau is calculated by \frac{c_{A0} \times x_{f} }{-r_{A} }. The residence time \tau of the CSTR reactor is 15783.38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</si>
  <si>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kmol/m3.&lt;|im_end|&gt;
&lt;|im_start|&gt;assistant
</t>
  </si>
  <si>
    <t xml:space="preserve">For the PFR reactor,-r_{A} =k\times c_{A}^2 kmol/(L*min), c_{A} =c_{A0} \times (1-x_{A} ) ,the residence time \tau is obtained by c_{A0}\times\int_{0}^{x_{f}}\frac{dx_{A}}{-r_{A}}. The residence time \tau of the PFR reactor is 1.21 h.
</t>
  </si>
  <si>
    <t>For the PFR reactor,-r_{A} =k\times c_{A}^2 kmol/(L*min), c_{A} =c_{A0} \times (1-x_{A} ) ,the residence time \tau is obtained by c_{A0}\times\int_{0}^{x_{f}}\frac{dx_{A}}{-r_{A}}. The residence time \tau of the PFR reactor is 5.99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</si>
  <si>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kmol/m3.&lt;|im_end|&gt;
&lt;|im_start|&gt;assistant
</t>
  </si>
  <si>
    <t xml:space="preserve">For the PFR reactor,-r_{A} =k\times c_{A}^2 kmol/(L*min), c_{A} =c_{A0} \times (1-x_{A} ) ,the residence time \tau is obtained by c_{A0}\times\int_{0}^{x_{f}}\frac{dx_{A}}{-r_{A}}. And the reactor volume is \tau \times Q The calculated reactor volume V is 0.52 Cubic Meters.
</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</si>
  <si>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kmol/m3.&lt;|im_end|&gt;
&lt;|im_start|&gt;assistant
</t>
  </si>
  <si>
    <t xml:space="preserve">For the BR reactor,-r_{A} =k\times c_{A}^1 kmol/(L*min), c_{A} =c_{A0} \times (1-x_{A} ) ,the residence time \tau is obtained by c_{A0}\times\int_{0}^{x_{f}}\frac{dx_{A}}{-r_{A}}. And the reactor volume is \frac{(\tau + t_{assist} )\times Q}{f} The calculated reactor volume V is 2.43 Cubic Meters.
</t>
  </si>
  <si>
    <t>For the BR reactor,-r_{A} =k\times c_{A}^1 kmol/(L*min), c_{A} =c_{A0} \times (1-x_{A} ) ,the residence time \tau is obtained by c_{A0}\times\int_{0}^{x_{f}}\frac{dx_{A}}{-r_{A}}. And the reactor volume is \frac{(\tau + t_{assist} )\times Q}{f} The calculated reactor volume V is 5.33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</si>
  <si>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0.77.&lt;|im_end|&gt;
&lt;|im_start|&gt;assistant
</t>
  </si>
  <si>
    <t xml:space="preserve">For the PFR reactor,-r_{A} =k\times c_{A}^3 kmol/(L*min), c_{A} =c_{A0} \times (1-x_{A} ) ,the residence time \tau is obtained by c_{A0}\times\int_{0}^{x_{f}}\frac{dx_{A}}{-r_{A}}. The residence time \tau of the PFR reactor is 0.24 h.
</t>
  </si>
  <si>
    <t>For the PFR reactor,-r_{A} =k\times c_{A}^3 kmol/(L*min), c_{A} =c_{A0} \times (1-x_{A} ) ,the residence time \tau is obtained by c_{A0}\times\int_{0}^{x_{f}}\frac{dx_{A}}{-r_{A}}. The residence time \tau of the PFR reactor is 0.22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</si>
  <si>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kmol/m3.&lt;|im_end|&gt;
&lt;|im_start|&gt;assistant
</t>
  </si>
  <si>
    <t xml:space="preserve">For the BR reactor,-r_{A} =k\times c_{A}^1\times c_{B}^2 kmol/(L*min), c_{A} =c_{A0} \times (1-x_{A} ), c_{B} =c_{B0} - c_{A0} \times x_{A}, the residence time \tau is obtained by c_{A0}\times\int_{0}^{x_{f}}\frac{dx_{A}}{-r_{A}}. The residence time \tau of the BR reactor is 10.33 h.
</t>
  </si>
  <si>
    <t>For the BR reactor,-r_{A} =k\times c_{A}^1\times c_{B}^2 kmol/(L*min), c_{A} =c_{A0} \times (1-x_{A} ), c_{B} =c_{B0} - c_{A0} \times x_{A}, the residence time \tau is obtained by c_{A0}\times\int_{0}^{x_{f}}\frac{dx_{A}}{-r_{A}}. The residence time \tau of the BR reactor is 1.9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</si>
  <si>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0.67.&lt;|im_end|&gt;
&lt;|im_start|&gt;assistant
</t>
  </si>
  <si>
    <t xml:space="preserve">For the PFR reactor,-r_{A} =k\times c_{A}^3 kmol/(L*min), c_{A} =c_{A0} \times (1-x_{A} ) ,the residence time \tau is obtained by c_{A0}\times\int_{0}^{x_{f}}\frac{dx_{A}}{-r_{A}}. And the reactor volume is \tau \times Q The calculated reactor volume V is 0.36 Cubic Meters.
</t>
  </si>
  <si>
    <t>For the PFR reactor,-r_{A} =k\times c_{A}^3 kmol/(L*min), c_{A} =c_{A0} \times (1-x_{A} ) ,the residence time \tau is obtained by c_{A0}\times\int_{0}^{x_{f}}\frac{dx_{A}}{-r_{A}}. And the reactor volume is \tau \times Q The calculated reactor volume V is 0.1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</si>
  <si>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kmol/m3.&lt;|im_end|&gt;
&lt;|im_start|&gt;assistant
</t>
  </si>
  <si>
    <t xml:space="preserve">For the CSTR reactor,-r_{A} =k\times c_{A}^2 kmol/(L*min), c_{A} =c_{A0} \times (1-x_{A} ) the residence time \tau is calculated by \frac{c_{A0} \times x_{f} }{-r_{A} }. And the reactor volume is \tau \times Q The calculated reactor volume V is 31.94 Cubic Meters.
</t>
  </si>
  <si>
    <t>For the CSTR reactor,-r_{A} =k\times c_{A}^2 kmol/(L*min), c_{A} =c_{A0} \times (1-x_{A} ) the residence time \tau is calculated by \frac{c_{A0} \times x_{f} }{-r_{A} }. And the reactor volume is \tau \times Q The calculated reactor volume V is 20.32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</si>
  <si>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kmol/m3.&lt;|im_end|&gt;
&lt;|im_start|&gt;assistant
</t>
  </si>
  <si>
    <t xml:space="preserve">For the CSTR reactor,-r_{A} =k\times c_{A}^1 kmol/(L*min), c_{A} =c_{A0} \times (1-x_{A} ) the residence time \tau is calculated by \frac{c_{A0} \times x_{f} }{-r_{A} } . The residence time \tau of the CSTR reactor is 29.55 h.
</t>
  </si>
  <si>
    <t>For the CSTR reactor,-r_{A} =k\times c_{A}^1 kmol/(L*min), c_{A} =c_{A0} \times (1-x_{A} ) the residence time \tau is calculated by \frac{c_{A0} \times x_{f} }{-r_{A} } . The residence time \tau of the CSTR reactor is 22.49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</si>
  <si>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kmol/m3.&lt;|im_end|&gt;
&lt;|im_start|&gt;assistant
</t>
  </si>
  <si>
    <t xml:space="preserve">For the CSTR reactor,-r_{A} =k\times c_{A}^2\times c_{B}^1 kmol/(L*min), c_{A} =c_{A0} \times (1-x_{A} ), c_{B} =c_{B0}- c_{A0} \times x_{A}, the residence time \tau is calculated by \frac{c_{A0} \times x_{f} }{-r_{A} }. And the reactor volume is \tau \times Q The calculated reactor volume V is 3.29 Cubic Meters.
</t>
  </si>
  <si>
    <t>For the CSTR reactor,-r_{A} =k\times c_{A}^2\times c_{B}^1 kmol/(L*min), c_{A} =c_{A0} \times (1-x_{A} ), c_{B} =c_{B0}- c_{A0} \times x_{A}, the residence time \tau is calculated by \frac{c_{A0} \times x_{f} }{-r_{A} }. And the reactor volume is \tau \times Q The calculated reactor volume V is 0.47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</si>
  <si>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kmol/m3.&lt;|im_end|&gt;
&lt;|im_start|&gt;assistant
</t>
  </si>
  <si>
    <t xml:space="preserve">For the CSTR reactor,-r_{A} =k\times c_{A}^2\times c_{B}^2 kmol/(L*min), c_{A} =c_{A0} \times (1-x_{A} ), c_{B} =c_{B0}- c_{A0} \times x_{A}, the residence time \tau is calculated by \frac{c_{A0} \times x_{f} }{-r_{A} }. And the reactor volume is \tau \times Q The calculated reactor volume V is 9.62 Cubic Meters.
</t>
  </si>
  <si>
    <t>For the CSTR reactor,-r_{A} =k\times c_{A}^2\times c_{B}^2 kmol/(L*min), c_{A} =c_{A0} \times (1-x_{A} ), c_{B} =c_{B0}- c_{A0} \times x_{A}, the residence time \tau is calculated by \frac{c_{A0} \times x_{f} }{-r_{A} }. And the reactor volume is \tau \times Q The calculated reactor volume V is 1.14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</si>
  <si>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kmol/m3.&lt;|im_end|&gt;
&lt;|im_start|&gt;assistant
</t>
  </si>
  <si>
    <t xml:space="preserve">For the PFR reactor,-r_{A} =k\times c_{A}^1 kmol/(L*min), c_{A} =c_{A0} \times (1-x_{A} ) ,the residence time \tau is obtained by c_{A0}\times\int_{0}^{x_{f}}\frac{dx_{A}}{-r_{A}}. The residence time \tau of the PFR reactor is 1.23 h.
</t>
  </si>
  <si>
    <t>For the PFR reactor,-r_{A} =k\times c_{A}^1 kmol/(L*min), c_{A} =c_{A0} \times (1-x_{A} ) ,the residence time \tau is obtained by c_{A0}\times\int_{0}^{x_{f}}\frac{dx_{A}}{-r_{A}}. The residence time \tau of the PFR reactor is 3.41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</si>
  <si>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kmol/m3.&lt;|im_end|&gt;
&lt;|im_start|&gt;assistant
</t>
  </si>
  <si>
    <t xml:space="preserve">For the BR reactor,-r_{A} =k\times c_{A}^1 kmol/(L*min), c_{A} =c_{A0} \times (1-x_{A} ) ,the residence time \tau is obtained by c_{A0}\times\int_{0}^{x_{f}}\frac{dx_{A}}{-r_{A}}. The residence time \tau of the BR reactor is 2.15 h.
</t>
  </si>
  <si>
    <t>For the BR reactor,-r_{A} =k\times c_{A}^1 kmol/(L*min), c_{A} =c_{A0} \times (1-x_{A} ) ,the residence time \tau is obtained by c_{A0}\times\int_{0}^{x_{f}}\frac{dx_{A}}{-r_{A}}. The residence time \tau of the BR reactor is 3.52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</si>
  <si>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0.57.&lt;|im_end|&gt;
&lt;|im_start|&gt;assistant
</t>
  </si>
  <si>
    <t xml:space="preserve">For the CSTR reactor,-r_{A} =k\times c_{A}^3\times c_{B}^2 kmol/(L*min), c_{A} =c_{A0} \times (1-x_{A} ), c_{B} =c_{B0}- c_{A0} \times x_{A}, the residence time \tau is calculated by \frac{c_{A0} \times x_{f} }{-r_{A} }. And the reactor volume is \tau \times Q The calculated reactor volume V is 0.86 Cubic Meters.
</t>
  </si>
  <si>
    <t>For the CSTR reactor,-r_{A} =k\times c_{A}^3\times c_{B}^2 kmol/(L*min), c_{A} =c_{A0} \times (1-x_{A} ), c_{B} =c_{B0}- c_{A0} \times x_{A}, the residence time \tau is calculated by \frac{c_{A0} \times x_{f} }{-r_{A} }. And the reactor volume is \tau \times Q The calculated reactor volume V is 0.04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</si>
  <si>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kmol/m3.&lt;|im_end|&gt;
&lt;|im_start|&gt;assistant
</t>
  </si>
  <si>
    <t xml:space="preserve">For the CSTR reactor,-r_{A} =k\times c_{A}^2 kmol/(L*min), c_{A} =c_{A0} \times (1-x_{A} ) the residence time \tau is calculated by \frac{c_{A0} \times x_{f} }{-r_{A} }. And the reactor volume is \tau \times Q The calculated reactor volume V is 11462.34 Cubic Meters.
</t>
  </si>
  <si>
    <t>For the CSTR reactor,-r_{A} =k\times c_{A}^2 kmol/(L*min), c_{A} =c_{A0} \times (1-x_{A} ) the residence time \tau is calculated by \frac{c_{A0} \times x_{f} }{-r_{A} }. And the reactor volume is \tau \times Q The calculated reactor volume V is 7267.55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</si>
  <si>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kmol/m3.&lt;|im_end|&gt;
&lt;|im_start|&gt;assistant
</t>
  </si>
  <si>
    <t xml:space="preserve">For the PFR reactor,-r_{A} =k\times c_{A}^1\times c_{B}^2 kmol/(L*min), c_{A} =c_{A0} \times (1-x_{A} ), c_{B} =c_{B0} - c_{A0} \times x_{A}, the residence time \tau is obtained by c_{A0}\times\int_{0}^{x_{f}}\frac{dx_{A}}{-r_{A}}. The residence time \tau of the PFR reactor is 0.43 h.
</t>
  </si>
  <si>
    <t>For the PFR reactor,-r_{A} =k\times c_{A}^1\times c_{B}^2 kmol/(L*min), c_{A} =c_{A0} \times (1-x_{A} ), c_{B} =c_{B0} - c_{A0} \times x_{A}, the residence time \tau is obtained by c_{A0}\times\int_{0}^{x_{f}}\frac{dx_{A}}{-r_{A}}. The residence time \tau of the PFR reactor is 0.41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</si>
  <si>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kmol/m3.&lt;|im_end|&gt;
&lt;|im_start|&gt;assistant
</t>
  </si>
  <si>
    <t xml:space="preserve">For the BR reactor,-r_{A} =k\times c_{A}^1 kmol/(L*min), c_{A} =c_{A0} \times (1-x_{A} ) ,the residence time \tau is obtained by c_{A0}\times\int_{0}^{x_{f}}\frac{dx_{A}}{-r_{A}}. The residence time \tau of the BR reactor is 3.21 h.
</t>
  </si>
  <si>
    <t>For the BR reactor,-r_{A} =k\times c_{A}^1 kmol/(L*min), c_{A} =c_{A0} \times (1-x_{A} ) ,the residence time \tau is obtained by c_{A0}\times\int_{0}^{x_{f}}\frac{dx_{A}}{-r_{A}}. The residence time \tau of the BR reactor is 4.86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</si>
  <si>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0.57.&lt;|im_end|&gt;
&lt;|im_start|&gt;assistant
</t>
  </si>
  <si>
    <t xml:space="preserve">For the CSTR reactor,-r_{A} =k\times c_{A}^3 kmol/(L*min), c_{A} =c_{A0} \times (1-x_{A} ) the residence time \tau is calculated by \frac{c_{A0} \times x_{f} }{-r_{A} }. And the reactor volume is \tau \times Q The calculated reactor volume V is 4.06 Cubic Meters.
</t>
  </si>
  <si>
    <t>For the CSTR reactor,-r_{A} =k\times c_{A}^3 kmol/(L*min), c_{A} =c_{A0} \times (1-x_{A} ) the residence time \tau is calculated by \frac{c_{A0} \times x_{f} }{-r_{A} }. And the reactor volume is \tau \times Q The calculated reactor volume V is 1.54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</si>
  <si>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kmol/m3.&lt;|im_end|&gt;
&lt;|im_start|&gt;assistant
</t>
  </si>
  <si>
    <t xml:space="preserve">For the CSTR reactor,-r_{A} =k\times c_{A}^2 kmol/(L*min), c_{A} =c_{A0} \times (1-x_{A} ) the residence time \tau is calculated by \frac{c_{A0} \times x_{f} }{-r_{A} } . The residence time \tau of the CSTR reactor is 150.9 h.
</t>
  </si>
  <si>
    <t>For the CSTR reactor,-r_{A} =k\times c_{A}^2 kmol/(L*min), c_{A} =c_{A0} \times (1-x_{A} ) the residence time \tau is calculated by \frac{c_{A0} \times x_{f} }{-r_{A} } . The residence time \tau of the CSTR reactor is 20.19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</si>
  <si>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kmol/m3.&lt;|im_end|&gt;
&lt;|im_start|&gt;assistant
</t>
  </si>
  <si>
    <t xml:space="preserve">For the CSTR reactor,-r_{A} =k\times c_{A}^3 kmol/(L*min), c_{A} =c_{A0} \times (1-x_{A} ) the residence time \tau is calculated by \frac{c_{A0} \times x_{f} }{-r_{A} }. And the reactor volume is \tau \times Q The calculated reactor volume V is 0.26 Cubic Meters.
</t>
  </si>
  <si>
    <t>For the CSTR reactor,-r_{A} =k\times c_{A}^3 kmol/(L*min), c_{A} =c_{A0} \times (1-x_{A} ) the residence time \tau is calculated by \frac{c_{A0} \times x_{f} }{-r_{A} }.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</si>
  <si>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kmol/m3.&lt;|im_end|&gt;
&lt;|im_start|&gt;assistant
</t>
  </si>
  <si>
    <t xml:space="preserve">For the CSTR reactor,-r_{A} =k\times c_{A}^2 kmol/(L*min), c_{A} =c_{A0} \times (1-x_{A} ) the residence time \tau is calculated by \frac{c_{A0} \times x_{f} }{-r_{A} } . The residence time \tau of the CSTR reactor is 24.13 h.
</t>
  </si>
  <si>
    <t>For the CSTR reactor,-r_{A} =k\times c_{A}^2 kmol/(L*min), c_{A} =c_{A0} \times (1-x_{A} ) the residence time \tau is calculated by \frac{c_{A0} \times x_{f} }{-r_{A} } . The residence time \tau of the CSTR reactor is 10.98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</si>
  <si>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kmol/m3.&lt;|im_end|&gt;
&lt;|im_start|&gt;assistant
</t>
  </si>
  <si>
    <t xml:space="preserve">For the CSTR reactor,-r_{A} =k\times c_{A}^2 kmol/(L*min), c_{A} =c_{A0} \times (1-x_{A} ) the residence time \tau is calculated by \frac{c_{A0} \times x_{f} }{-r_{A} } . The residence time \tau of the CSTR reactor is 1828.26 h.
</t>
  </si>
  <si>
    <t>For the CSTR reactor,-r_{A} =k\times c_{A}^2 kmol/(L*min), c_{A} =c_{A0} \times (1-x_{A} ) the residence time \tau is calculated by \frac{c_{A0} \times x_{f} }{-r_{A} } . The residence time \tau of the CSTR reactor is 25.74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</si>
  <si>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kmol/m3.&lt;|im_end|&gt;
&lt;|im_start|&gt;assistant
</t>
  </si>
  <si>
    <t xml:space="preserve">For the PFR reactor,-r_{A} =k\times c_{A}^3\times c_{B}^2 kmol/(L*min), c_{A} =c_{A0} \times (1-x_{A} ), c_{B} =c_{B0}- c_{A0} \times x_{A}, the residence time \tau is obtained by c_{A0}\times\int_{0}^{x_{f}}\frac{dx_{A}}{-r_{A}}. And the reactor volume is \tau \times Q The calculated reactor volume V is 0.07 Cubic Meters.
</t>
  </si>
  <si>
    <t>For the PFR reactor,-r_{A} =k\times c_{A}^3\times c_{B}^2 kmol/(L*min), c_{A} =c_{A0} \times (1-x_{A} ), c_{B} =c_{B0}- c_{A0} \times x_{A}, the residence time \tau is obtained by c_{A0}\times\int_{0}^{x_{f}}\frac{dx_{A}}{-r_{A}}. And the reactor volume is \tau \times Q The calculated reactor volume V is 0.02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</si>
  <si>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kmol/m3.&lt;|im_end|&gt;
&lt;|im_start|&gt;assistant
</t>
  </si>
  <si>
    <t xml:space="preserve">For the BR reactor,-r_{A} =k\times c_{A}^3\times c_{B}^2 kmol/(L*min), c_{A} =c_{A0} \times (1-x_{A} ), c_{B} =c_{B0}- c_{A0} \times x_{A}, the residence time \tau is obtained by c_{A0}\times\int_{0}^{x_{f}}\frac{dx_{A}}{-r_{A}}. And the reactor volume is \frac{(\tau + t_{assist} )\times Q}{f} The calculated reactor volume V is 2.58 Cubic Meters.
</t>
  </si>
  <si>
    <t>For the BR reactor,-r_{A} =k\times c_{A}^3\times c_{B}^2 kmol/(L*min), c_{A} =c_{A0} \times (1-x_{A} ), c_{B} =c_{B0}- c_{A0} \times x_{A}, the residence time \tau is obtained by c_{A0}\times\int_{0}^{x_{f}}\frac{dx_{A}}{-r_{A}}. And the reactor volume is \frac{(\tau + t_{assist} )\times Q}{f} The calculated reactor volume V is 1.09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</si>
  <si>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0.62.&lt;|im_end|&gt;
&lt;|im_start|&gt;assistant
</t>
  </si>
  <si>
    <t xml:space="preserve">For the PFR reactor,-r_{A} =k\times c_{A}^3\times c_{B}^2 kmol/(L*min), c_{A} =c_{A0} \times (1-x_{A} ), c_{B} =c_{B0}- c_{A0} \times x_{A}, the residence time \tau is obtained by c_{A0}\times\int_{0}^{x_{f}}\frac{dx_{A}}{-r_{A}}. And the reactor volume is \tau \times Q The calculated reactor volume V is 0.15 Cubic Meters.
</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</si>
  <si>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kmol/m3.&lt;|im_end|&gt;
&lt;|im_start|&gt;assistant
</t>
  </si>
  <si>
    <t xml:space="preserve">For the CSTR reactor,-r_{A} =k\times c_{A}^1 kmol/(L*min), c_{A} =c_{A0} \times (1-x_{A} ) the residence time \tau is calculated by \frac{c_{A0} \times x_{f} }{-r_{A} } . The residence time \tau of the CSTR reactor is 11.23 h.
</t>
  </si>
  <si>
    <t>For the CSTR reactor,-r_{A} =k\times c_{A}^1 kmol/(L*min), c_{A} =c_{A0} \times (1-x_{A} ) the residence time \tau is calculated by \frac{c_{A0} \times x_{f} }{-r_{A} } . The residence time \tau of the CSTR reactor is 27.98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</si>
  <si>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kmol/m3.&lt;|im_end|&gt;
&lt;|im_start|&gt;assistant
</t>
  </si>
  <si>
    <t xml:space="preserve">For the PFR reactor,-r_{A} =k\times c_{A}^2 kmol/(L*min), c_{A} =c_{A0} \times (1-x_{A} ) ,the residence time \tau is obtained by c_{A0}\times\int_{0}^{x_{f}}\frac{dx_{A}}{-r_{A}}. And the reactor volume is \tau \times Q The calculated reactor volume V is 0.03 Cubic Meters.
</t>
  </si>
  <si>
    <t>For the PFR reactor,-r_{A} =k\times c_{A}^2 kmol/(L*min), c_{A} =c_{A0} \times (1-x_{A} ) ,the residence time \tau is obtained by c_{A0}\times\int_{0}^{x_{f}}\frac{dx_{A}}{-r_{A}}. And the reactor volume is \tau \times Q The calculated reactor volume V is 0.04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</si>
  <si>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kmol/m3.&lt;|im_end|&gt;
&lt;|im_start|&gt;assistant
</t>
  </si>
  <si>
    <t xml:space="preserve">For the BR reactor,-r_{A} =k\times c_{A}^1\times c_{B}^2 kmol/(L*min), c_{A} =c_{A0} \times (1-x_{A} ), c_{B} =c_{B0} - c_{A0} \times x_{A}, the residence time \tau is obtained by c_{A0}\times\int_{0}^{x_{f}}\frac{dx_{A}}{-r_{A}}. The residence time \tau of the BR reactor is 0.86 h.
</t>
  </si>
  <si>
    <t>For the BR reactor,-r_{A} =k\times c_{A}^1\times c_{B}^2 kmol/(L*min), c_{A} =c_{A0} \times (1-x_{A} ), c_{B} =c_{B0} - c_{A0} \times x_{A}, the residence time \tau is obtained by c_{A0}\times\int_{0}^{x_{f}}\frac{dx_{A}}{-r_{A}}. The residence time \tau of the BR reactor is 0.16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</si>
  <si>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0.78.&lt;|im_end|&gt;
&lt;|im_start|&gt;assistant
</t>
  </si>
  <si>
    <t xml:space="preserve">For the BR reactor,-r_{A} =k\times c_{A}^2\times c_{B}^3 kmol/(L*min), c_{A} =c_{A0} \times (1-x_{A} ), c_{B} =c_{B0} - c_{A0} \times x_{A}, the residence time \tau is obtained by c_{A0}\times\int_{0}^{x_{f}}\frac{dx_{A}}{-r_{A}}. The residence time \tau of the BR reactor is 6.2551629076950104e+16 h.
</t>
  </si>
  <si>
    <t>For the BR reactor,-r_{A} =k\times c_{A}^2\times c_{B}^3 kmol/(L*min), c_{A} =c_{A0} \times (1-x_{A} ), c_{B} =c_{B0} - c_{A0} \times x_{A}, the residence time \tau is obtained by c_{A0}\times\int_{0}^{x_{f}}\frac{dx_{A}}{-r_{A}}. The residence time \tau of the BR reactor is 0.03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</si>
  <si>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0.47.&lt;|im_end|&gt;
&lt;|im_start|&gt;assistant
</t>
  </si>
  <si>
    <t xml:space="preserve">For the PFR reactor,-r_{A} =k\times c_{A}^2\times c_{B}^2 kmol/(L*min), c_{A} =c_{A0} \times (1-x_{A} ), c_{B} =c_{B0} - c_{A0} \times x_{A}, the residence time \tau is obtained by c_{A0}\times\int_{0}^{x_{f}}\frac{dx_{A}}{-r_{A}}. The residence time \tau of the PFR reactor is 0.37 h.
</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</si>
  <si>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kmol/m3.&lt;|im_end|&gt;
&lt;|im_start|&gt;assistant
</t>
  </si>
  <si>
    <t xml:space="preserve">For the PFR reactor,-r_{A} =k\times c_{A}^3\times c_{B}^1 kmol/(L*min), c_{A} =c_{A0} \times (1-x_{A} ), c_{B} =c_{B0} - c_{A0} \times x_{A}, the residence time \tau is obtained by c_{A0}\times\int_{0}^{x_{f}}\frac{dx_{A}}{-r_{A}}. The residence time \tau of the PFR reactor is 0.88 h.
</t>
  </si>
  <si>
    <t>For the PFR reactor,-r_{A} =k\times c_{A}^3\times c_{B}^1 kmol/(L*min), c_{A} =c_{A0} \times (1-x_{A} ), c_{B} =c_{B0} - c_{A0} \times x_{A}, the residence time \tau is obtained by c_{A0}\times\int_{0}^{x_{f}}\frac{dx_{A}}{-r_{A}}. The residence time \tau of the PFR reactor is 2.3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</si>
  <si>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kmol/m3.&lt;|im_end|&gt;
&lt;|im_start|&gt;assistant
</t>
  </si>
  <si>
    <t xml:space="preserve">For the CSTR reactor,-r_{A} =k\times c_{A}^3\times c_{B}^3 kmol/(L*min), c_{A} =c_{A0} \times (1-x_{A} ), c_{B} =c_{B0}- c_{A0} \times x_{A}, the residence time \tau is calculated by \frac{c_{A0} \times x_{f} }{-r_{A} }. The residence time \tau of the CSTR reactor is 5.67 h.
</t>
  </si>
  <si>
    <t>For the CSTR reactor,-r_{A} =k\times c_{A}^3\times c_{B}^3 kmol/(L*min), c_{A} =c_{A0} \times (1-x_{A} ), c_{B} =c_{B0}- c_{A0} \times x_{A}, the residence time \tau is calculated by \frac{c_{A0} \times x_{f} }{-r_{A} }. The residence time \tau of the CSTR reactor is 0.08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</si>
  <si>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kmol/m3.&lt;|im_end|&gt;
&lt;|im_start|&gt;assistant
</t>
  </si>
  <si>
    <t xml:space="preserve">For the CSTR reactor,-r_{A} =k\times c_{A}^2 kmol/(L*min), c_{A} =c_{A0} \times (1-x_{A} ) the residence time \tau is calculated by \frac{c_{A0} \times x_{f} }{-r_{A} }. And the reactor volume is \tau \times Q The calculated reactor volume V is 134.87 Cubic Meters.
</t>
  </si>
  <si>
    <t>For the CSTR reactor,-r_{A} =k\times c_{A}^2 kmol/(L*min), c_{A} =c_{A0} \times (1-x_{A} ) the residence time \tau is calculated by \frac{c_{A0} \times x_{f} }{-r_{A} }. And the reactor volume is \tau \times Q The calculated reactor volume V is 24.84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</si>
  <si>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kmol/m3.&lt;|im_end|&gt;
&lt;|im_start|&gt;assistant
</t>
  </si>
  <si>
    <t xml:space="preserve">For the CSTR reactor,-r_{A} =k\times c_{A}^1 kmol/(L*min), c_{A} =c_{A0} \times (1-x_{A} ) the residence time \tau is calculated by \frac{c_{A0} \times x_{f} }{-r_{A} } . The residence time \tau of the CSTR reactor is 5.56 h.
</t>
  </si>
  <si>
    <t>For the CSTR reactor,-r_{A} =k\times c_{A}^1 kmol/(L*min), c_{A} =c_{A0} \times (1-x_{A} ) the residence time \tau is calculated by \frac{c_{A0} \times x_{f} }{-r_{A} } . The residence time \tau of the CSTR reactor is 15.24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</si>
  <si>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kmol/m3.&lt;|im_end|&gt;
&lt;|im_start|&gt;assistant
</t>
  </si>
  <si>
    <t xml:space="preserve">For the CSTR reactor,-r_{A} =k\times c_{A}^1\times c_{B}^2 kmol/(L*min), c_{A} =c_{A0} \times (1-x_{A} ), c_{B} =c_{B0}- c_{A0} \times x_{A}, the residence time \tau is calculated by \frac{c_{A0} \times x_{f} }{-r_{A} }. The residence time \tau of the CSTR reactor is 0.34 h.
</t>
  </si>
  <si>
    <t>For the CSTR reactor,-r_{A} =k\times c_{A}^1\times c_{B}^2 kmol/(L*min), c_{A} =c_{A0} \times (1-x_{A} ), c_{B} =c_{B0}- c_{A0} \times x_{A}, the residence time \tau is calculated by \frac{c_{A0} \times x_{f} }{-r_{A} }. The residence time \tau of the CSTR reactor is 565.87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</si>
  <si>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kmol/m3.&lt;|im_end|&gt;
&lt;|im_start|&gt;assistant
</t>
  </si>
  <si>
    <t xml:space="preserve">For the BR reactor,-r_{A} =k\times c_{A}^1 kmol/(L*min), c_{A} =c_{A0} \times (1-x_{A} ) ,the residence time \tau is obtained by c_{A0}\times\int_{0}^{x_{f}}\frac{dx_{A}}{-r_{A}}. The residence time \tau of the BR reactor is 1.42 h.
</t>
  </si>
  <si>
    <t>For the BR reactor,-r_{A} =k\times c_{A}^1 kmol/(L*min), c_{A} =c_{A0} \times (1-x_{A} ) ,the residence time \tau is obtained by c_{A0}\times\int_{0}^{x_{f}}\frac{dx_{A}}{-r_{A}}. The residence time \tau of the BR reactor is 2.1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</si>
  <si>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0.68.&lt;|im_end|&gt;
&lt;|im_start|&gt;assistant
</t>
  </si>
  <si>
    <t xml:space="preserve">For the BR reactor,-r_{A} =k\times c_{A}^1\times c_{B}^1 kmol/(L*min), c_{A} =c_{A0} \times (1-x_{A} ), c_{B} =c_{B0}- c_{A0} \times x_{A}, the residence time \tau is obtained by c_{A0}\times\int_{0}^{x_{f}}\frac{dx_{A}}{-r_{A}}. And the reactor volume is \frac{(\tau + t_{assist} )\times Q}{f} The calculated reactor volume V is 3.66 Cubic Meters.
</t>
  </si>
  <si>
    <t>For the BR reactor,-r_{A} =k\times c_{A}^1\times c_{B}^1 kmol/(L*min), c_{A} =c_{A0} \times (1-x_{A} ), c_{B} =c_{B0}- c_{A0} \times x_{A}, the residence time \tau is obtained by c_{A0}\times\int_{0}^{x_{f}}\frac{dx_{A}}{-r_{A}}. And the reactor volume is \frac{(\tau + t_{assist} )\times Q}{f} The calculated reactor volume V is 2.54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</si>
  <si>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0.69.&lt;|im_end|&gt;
&lt;|im_start|&gt;assistant
</t>
  </si>
  <si>
    <t xml:space="preserve">For the CSTR reactor,-r_{A} =k\times c_{A}^1\times c_{B}^1 kmol/(L*min), c_{A} =c_{A0} \times (1-x_{A} ), c_{B} =c_{B0}- c_{A0} \times x_{A}, the residence time \tau is calculated by \frac{c_{A0} \times x_{f} }{-r_{A} }. And the reactor volume is \tau \times Q The calculated reactor volume V is 0.07 Cubic Meters.
</t>
  </si>
  <si>
    <t>For the CSTR reactor,-r_{A} =k\times c_{A}^1\times c_{B}^1 kmol/(L*min), c_{A} =c_{A0} \times (1-x_{A} ), c_{B} =c_{B0}- c_{A0} \times x_{A}, the residence time \tau is calculated by \frac{c_{A0} \times x_{f} }{-r_{A} }. And the reactor volume is \tau \times Q The calculated reactor volume V is 0.01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</si>
  <si>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kmol/m3.&lt;|im_end|&gt;
&lt;|im_start|&gt;assistant
</t>
  </si>
  <si>
    <t>relative_error</t>
  </si>
  <si>
    <t>F1</t>
  </si>
  <si>
    <t>R</t>
  </si>
  <si>
    <t>P</t>
  </si>
  <si>
    <t>label</t>
  </si>
  <si>
    <t>predict</t>
  </si>
  <si>
    <t>prompt</t>
  </si>
  <si>
    <t>For the CSTR reactor,-r_{A} =k\times c_{A}^3\times c_{B}^2 kmol/(L*min), c_{A} =c_{A0} \times (1-x_{A} ), c_{B} =c_{B0}- c_{A0} \times x_{A}, the residence time \tau is calculated by \frac{c_{A0} \times x_{f} }{-r_{A} }. The residence time \tau of the CSTR reactor is 8.94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</si>
  <si>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kmol/m3.&lt;|im_end|&gt;
&lt;|im_start|&gt;assistant
</t>
  </si>
  <si>
    <t>For the BR reactor,-r_{A} =k\times c_{A}^2\times c_{B}^1 kmol/(L*min), c_{A} =c_{A0} \times (1-x_{A} ), c_{B} =c_{B0}- c_{A0} \times x_{A}, the residence time \tau is obtained by c_{A0}\times\int_{0}^{x_{f}}\frac{dx_{A}}{-r_{A}}. And the reactor volume is \frac{(\tau + t_{assist} )\times Q}{f} The calculated reactor volume V is 0.3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</si>
  <si>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0.64.&lt;|im_end|&gt;
&lt;|im_start|&gt;assistant
</t>
  </si>
  <si>
    <t>For the CSTR reactor,-r_{A} =k\times c_{A}^1\times c_{B}^1 kmol/(L*min), c_{A} =c_{A0} \times (1-x_{A} ), c_{B} =c_{B0}- c_{A0} \times x_{A}, the residence time \tau is calculated by \frac{c_{A0} \times x_{f} }{-r_{A} }. The residence time \tau of the CSTR reactor is 40.24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</si>
  <si>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kmol/m3.&lt;|im_end|&gt;
&lt;|im_start|&gt;assistant
</t>
  </si>
  <si>
    <t>For the CSTR reactor,-r_{A} =k\times c_{A}^1\times c_{B}^1 kmol/(L*min), c_{A} =c_{A0} \times (1-x_{A} ), c_{B} =c_{B0}- c_{A0} \times x_{A}, the residence time \tau is calculated by \frac{c_{A0} \times x_{f} }{-r_{A} }. The residence time \tau of the CSTR reactor is 8.49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</si>
  <si>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kmol/m3.&lt;|im_end|&gt;
&lt;|im_start|&gt;assistant
</t>
  </si>
  <si>
    <t>For the PFR reactor,-r_{A} =k\times c_{A}^3\times c_{B}^1 kmol/(L*min), c_{A} =c_{A0} \times (1-x_{A} ), c_{B} =c_{B0} - c_{A0} \times x_{A}, the residence time \tau is obtained by c_{A0}\times\int_{0}^{x_{f}}\frac{dx_{A}}{-r_{A}}. The residence time \tau of the PFR reactor is 0.26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</si>
  <si>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kmol/m3.&lt;|im_end|&gt;
&lt;|im_start|&gt;assistant
</t>
  </si>
  <si>
    <t>For the CSTR reactor,-r_{A} =k\times c_{A}^3 kmol/(L*min), c_{A} =c_{A0} \times (1-x_{A} ) the residence time \tau is calculated by \frac{c_{A0} \times x_{f} }{-r_{A} }. And the reactor volume is \tau \times Q The calculated reactor volume V is 1049.92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</si>
  <si>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kmol/m3.&lt;|im_end|&gt;
&lt;|im_start|&gt;assistant
</t>
  </si>
  <si>
    <t>For the PFR reactor,-r_{A} =k\times c_{A}^2 kmol/(L*min), c_{A} =c_{A0} \times (1-x_{A} ) ,the residence time \tau is obtained by c_{A0}\times\int_{0}^{x_{f}}\frac{dx_{A}}{-r_{A}}. And the reactor volume is \tau \times Q The calculated reactor volume V is 0.64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</si>
  <si>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kmol/m3.&lt;|im_end|&gt;
&lt;|im_start|&gt;assistant
</t>
  </si>
  <si>
    <t>For the PFR reactor,-r_{A} =k\times c_{A}^2 kmol/(L*min), c_{A} =c_{A0} \times (1-x_{A} ) ,the residence time \tau is obtained by c_{A0}\times\int_{0}^{x_{f}}\frac{dx_{A}}{-r_{A}}. And the reactor volume is \tau \times Q The calculated reactor volume V is 3.71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</si>
  <si>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kmol/m3.&lt;|im_end|&gt;
&lt;|im_start|&gt;assistant
</t>
  </si>
  <si>
    <t>For the BR reactor,-r_{A} =k\times c_{A}^2 kmol/(L*min), c_{A} =c_{A0} \times (1-x_{A} ) ,the residence time \tau is obtained by c_{A0}\times\int_{0}^{x_{f}}\frac{dx_{A}}{-r_{A}}. The residence time \tau of the BR reactor is 3.3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</si>
  <si>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0.45.&lt;|im_end|&gt;
&lt;|im_start|&gt;assistant
</t>
  </si>
  <si>
    <t>For the PFR reactor,-r_{A} =k\times c_{A}^2\times c_{B}^1 kmol/(L*min), c_{A} =c_{A0} \times (1-x_{A} ), c_{B} =c_{B0} - c_{A0} \times x_{A}, the residence time \tau is obtained by c_{A0}\times\int_{0}^{x_{f}}\frac{dx_{A}}{-r_{A}}. The residence time \tau of the PFR reactor is 3.38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</si>
  <si>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kmol/m3.&lt;|im_end|&gt;
&lt;|im_start|&gt;assistant
</t>
  </si>
  <si>
    <t>For the PFR reactor,-r_{A} =k\times c_{A}^3 kmol/(L*min), c_{A} =c_{A0} \times (1-x_{A} ) ,the residence time \tau is obtained by c_{A0}\times\int_{0}^{x_{f}}\frac{dx_{A}}{-r_{A}}. And the reactor volume is \tau \times Q The calculated reactor volume V is 0.03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</si>
  <si>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kmol/m3.&lt;|im_end|&gt;
&lt;|im_start|&gt;assistant
</t>
  </si>
  <si>
    <t>For the BR reactor,-r_{A} =k\times c_{A}^2\times c_{B}^3 kmol/(L*min), c_{A} =c_{A0} \times (1-x_{A} ), c_{B} =c_{B0}- c_{A0} \times x_{A}, the residence time \tau is obtained by c_{A0}\times\int_{0}^{x_{f}}\frac{dx_{A}}{-r_{A}}. And the reactor volume is \frac{(\tau + t_{assist} )\times Q}{f} The calculated reactor volume V is 0.26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</si>
  <si>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0.55.&lt;|im_end|&gt;
&lt;|im_start|&gt;assistant
</t>
  </si>
  <si>
    <t>For the CSTR reactor,-r_{A} =k\times c_{A}^1 kmol/(L*min), c_{A} =c_{A0} \times (1-x_{A} ) the residence time \tau is calculated by \frac{c_{A0} \times x_{f} }{-r_{A} } . The residence time \tau of the CSTR reactor is 2.7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</si>
  <si>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kmol/m3.&lt;|im_end|&gt;
&lt;|im_start|&gt;assistant
</t>
  </si>
  <si>
    <t>For the CSTR reactor,-r_{A} =k\times c_{A}^1 kmol/(L*min), c_{A} =c_{A0} \times (1-x_{A} ) the residence time \tau is calculated by \frac{c_{A0} \times x_{f} }{-r_{A} }. And the reactor volume is \tau \times Q The calculated reactor volume V is 4.79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</si>
  <si>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kmol/m3.&lt;|im_end|&gt;
&lt;|im_start|&gt;assistant
</t>
  </si>
  <si>
    <t>For the BR reactor,-r_{A} =k\times c_{A}^1\times c_{B}^3 kmol/(L*min), c_{A} =c_{A0} \times (1-x_{A} ), c_{B} =c_{B0}- c_{A0} \times x_{A}, the residence time \tau is obtained by c_{A0}\times\int_{0}^{x_{f}}\frac{dx_{A}}{-r_{A}}. And the reactor volume is \frac{(\tau + t_{assist} )\times Q}{f} The calculated reactor volume V is 4.37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</si>
  <si>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0.42.&lt;|im_end|&gt;
&lt;|im_start|&gt;assistant
</t>
  </si>
  <si>
    <t>For the CSTR reactor,-r_{A} =k\times c_{A}^3\times c_{B}^3 kmol/(L*min), c_{A} =c_{A0} \times (1-x_{A} ), c_{B} =c_{B0}- c_{A0} \times x_{A}, the residence time \tau is calculated by \frac{c_{A0} \times x_{f} }{-r_{A} }. The residence time \tau of the CSTR reactor is 2.46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</si>
  <si>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kmol/m3.&lt;|im_end|&gt;
&lt;|im_start|&gt;assistant
</t>
  </si>
  <si>
    <t>For the BR reactor,-r_{A} =k\times c_{A}^1\times c_{B}^2 kmol/(L*min), c_{A} =c_{A0} \times (1-x_{A} ), c_{B} =c_{B0} - c_{A0} \times x_{A}, the residence time \tau is obtained by c_{A0}\times\int_{0}^{x_{f}}\frac{dx_{A}}{-r_{A}}. The residence time \tau of the BR reactor is 1.73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</si>
  <si>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0.61.&lt;|im_end|&gt;
&lt;|im_start|&gt;assistant
</t>
  </si>
  <si>
    <t>For the PFR reactor,-r_{A} =k\times c_{A}^3\times c_{B}^3 kmol/(L*min), c_{A} =c_{A0} \times (1-x_{A} ), c_{B} =c_{B0} - c_{A0} \times x_{A}, the residence time \tau is obtained by c_{A0}\times\int_{0}^{x_{f}}\frac{dx_{A}}{-r_{A}}. The residence time \tau of the PFR reactor is 0.25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</si>
  <si>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kmol/m3.&lt;|im_end|&gt;
&lt;|im_start|&gt;assistant
</t>
  </si>
  <si>
    <t>For the BR reactor,-r_{A} =k\times c_{A}^2 kmol/(L*min), c_{A} =c_{A0} \times (1-x_{A} ) ,the residence time \tau is obtained by c_{A0}\times\int_{0}^{x_{f}}\frac{dx_{A}}{-r_{A}}. And the reactor volume is \frac{(\tau + t_{assist} )\times Q}{f} The calculated reactor volume V is 4.88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</si>
  <si>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0.48.&lt;|im_end|&gt;
&lt;|im_start|&gt;assistant
</t>
  </si>
  <si>
    <t>For the CSTR reactor,-r_{A} =k\times c_{A}^3 kmol/(L*min), c_{A} =c_{A0} \times (1-x_{A} ) the residence time \tau is calculated by \frac{c_{A0} \times x_{f} }{-r_{A} }. And the reactor volume is \tau \times Q The calculated reactor volume V is 0.14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</si>
  <si>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kmol/m3.&lt;|im_end|&gt;
&lt;|im_start|&gt;assistant
</t>
  </si>
  <si>
    <t>For the CSTR reactor,-r_{A} =k\times c_{A}^1 kmol/(L*min), c_{A} =c_{A0} \times (1-x_{A} ) the residence time \tau is calculated by \frac{c_{A0} \times x_{f} }{-r_{A} }. And the reactor volume is \tau \times Q The calculated reactor volume V is 14.38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</si>
  <si>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kmol/m3.&lt;|im_end|&gt;
&lt;|im_start|&gt;assistant
</t>
  </si>
  <si>
    <t>For the PFR reactor,-r_{A} =k\times c_{A}^2 kmol/(L*min), c_{A} =c_{A0} \times (1-x_{A} ) ,the residence time \tau is obtained by c_{A0}\times\int_{0}^{x_{f}}\frac{dx_{A}}{-r_{A}}. And the reactor volume is \tau \times Q The calculated reactor volume V is 2.01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</si>
  <si>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kmol/m3.&lt;|im_end|&gt;
&lt;|im_start|&gt;assistant
</t>
  </si>
  <si>
    <t>For the BR reactor,-r_{A} =k\times c_{A}^1\times c_{B}^2 kmol/(L*min), c_{A} =c_{A0} \times (1-x_{A} ), c_{B} =c_{B0} - c_{A0} \times x_{A}, the residence time \tau is obtained by c_{A0}\times\int_{0}^{x_{f}}\frac{dx_{A}}{-r_{A}}. The residence time \tau of the BR reactor is 0.06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</si>
  <si>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0.64.&lt;|im_end|&gt;
&lt;|im_start|&gt;assistant
</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</si>
  <si>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0.53.&lt;|im_end|&gt;
&lt;|im_start|&gt;assistant
</t>
  </si>
  <si>
    <t>For the PFR reactor,-r_{A} =k\times c_{A}^3 kmol/(L*min), c_{A} =c_{A0} \times (1-x_{A} ) ,the residence time \tau is obtained by c_{A0}\times\int_{0}^{x_{f}}\frac{dx_{A}}{-r_{A}}. And the reactor volume is \tau \times Q The calculated reactor volume V is 2.25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</si>
  <si>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kmol/m3.&lt;|im_end|&gt;
&lt;|im_start|&gt;assistant
</t>
  </si>
  <si>
    <t>For the CSTR reactor,-r_{A} =k\times c_{A}^1 kmol/(L*min), c_{A} =c_{A0} \times (1-x_{A} ) the residence time \tau is calculated by \frac{c_{A0} \times x_{f} }{-r_{A} } . The residence time \tau of the CSTR reactor is 12.69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</si>
  <si>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kmol/m3.&lt;|im_end|&gt;
&lt;|im_start|&gt;assistant
</t>
  </si>
  <si>
    <t>For the PFR reactor,-r_{A} =k\times c_{A}^3\times c_{B}^2 kmol/(L*min), c_{A} =c_{A0} \times (1-x_{A} ), c_{B} =c_{B0} - c_{A0} \times x_{A}, the residence time \tau is obtained by c_{A0}\times\int_{0}^{x_{f}}\frac{dx_{A}}{-r_{A}}. The residence time \tau of the PFR reactor is 1.54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</si>
  <si>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kmol/m3.&lt;|im_end|&gt;
&lt;|im_start|&gt;assistant
</t>
  </si>
  <si>
    <t>For the BR reactor,-r_{A} =k\times c_{A}^2\times c_{B}^2 kmol/(L*min), c_{A} =c_{A0} \times (1-x_{A} ), c_{B} =c_{B0} - c_{A0} \times x_{A}, the residence time \tau is obtained by c_{A0}\times\int_{0}^{x_{f}}\frac{dx_{A}}{-r_{A}}. The residence time \tau of the BR reactor is 18.24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</si>
  <si>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0.7.&lt;|im_end|&gt;
&lt;|im_start|&gt;assistant
</t>
  </si>
  <si>
    <t>For the BR reactor,-r_{A} =k\times c_{A}^2\times c_{B}^3 kmol/(L*min), c_{A} =c_{A0} \times (1-x_{A} ), c_{B} =c_{B0}- c_{A0} \times x_{A}, the residence time \tau is obtained by c_{A0}\times\int_{0}^{x_{f}}\frac{dx_{A}}{-r_{A}}. And the reactor volume is \frac{(\tau + t_{assist} )\times Q}{f} The calculated reactor volume V is 0.46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</si>
  <si>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0.6.&lt;|im_end|&gt;
&lt;|im_start|&gt;assistant
</t>
  </si>
  <si>
    <t>For the BR reactor,-r_{A} =k\times c_{A}^2 kmol/(L*min), c_{A} =c_{A0} \times (1-x_{A} ) ,the residence time \tau is obtained by c_{A0}\times\int_{0}^{x_{f}}\frac{dx_{A}}{-r_{A}}. The residence time \tau of the BR reactor is 0.52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</si>
  <si>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0.71.&lt;|im_end|&gt;
&lt;|im_start|&gt;assistant
</t>
  </si>
  <si>
    <t>For the CSTR reactor,-r_{A} =k\times c_{A}^1 kmol/(L*min), c_{A} =c_{A0} \times (1-x_{A} ) the residence time \tau is calculated by \frac{c_{A0} \times x_{f} }{-r_{A} }. And the reactor volume is \tau \times Q The calculated reactor volume V is 44.38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</si>
  <si>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kmol/m3.&lt;|im_end|&gt;
&lt;|im_start|&gt;assistant
</t>
  </si>
  <si>
    <t>For the CSTR reactor,-r_{A} =k\times c_{A}^3\times c_{B}^3 kmol/(L*min), c_{A} =c_{A0} \times (1-x_{A} ), c_{B} =c_{B0}- c_{A0} \times x_{A}, the residence time \tau is calculated by \frac{c_{A0} \times x_{f} }{-r_{A} }. And the reactor volume is \tau \times Q The calculated reactor volume V is 2.48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</si>
  <si>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kmol/m3.&lt;|im_end|&gt;
&lt;|im_start|&gt;assistant
</t>
  </si>
  <si>
    <t>For the PFR reactor,-r_{A} =k\times c_{A}^2 kmol/(L*min), c_{A} =c_{A0} \times (1-x_{A} ) ,the residence time \tau is obtained by c_{A0}\times\int_{0}^{x_{f}}\frac{dx_{A}}{-r_{A}}. And the reactor volume is \tau \times Q The calculated reactor volume V is 15.21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</si>
  <si>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kmol/m3.&lt;|im_end|&gt;
&lt;|im_start|&gt;assistant
</t>
  </si>
  <si>
    <t>For the BR reactor,-r_{A} =k\times c_{A}^2 kmol/(L*min), c_{A} =c_{A0} \times (1-x_{A} ) ,the residence time \tau is obtained by c_{A0}\times\int_{0}^{x_{f}}\frac{dx_{A}}{-r_{A}}. And the reactor volume is \frac{(\tau + t_{assist} )\times Q}{f} The calculated reactor volume V is 6.84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</si>
  <si>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0.72.&lt;|im_end|&gt;
&lt;|im_start|&gt;assistant
</t>
  </si>
  <si>
    <t>For the PFR reactor,-r_{A} =k\times c_{A}^2 kmol/(L*min), c_{A} =c_{A0} \times (1-x_{A} ) ,the residence time \tau is obtained by c_{A0}\times\int_{0}^{x_{f}}\frac{dx_{A}}{-r_{A}}. The residence time \tau of the PFR reactor is 1.61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</si>
  <si>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kmol/m3.&lt;|im_end|&gt;
&lt;|im_start|&gt;assistant
</t>
  </si>
  <si>
    <t>For the CSTR reactor,-r_{A} =k\times c_{A}^2 kmol/(L*min), c_{A} =c_{A0} \times (1-x_{A} ) the residence time \tau is calculated by \frac{c_{A0} \times x_{f} }{-r_{A} } . The residence time \tau of the CSTR reactor is 18.47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</si>
  <si>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kmol/m3.&lt;|im_end|&gt;
&lt;|im_start|&gt;assistant
</t>
  </si>
  <si>
    <t>For the PFR reactor,-r_{A} =k\times c_{A}^3 kmol/(L*min), c_{A} =c_{A0} \times (1-x_{A} ) ,the residence time \tau is obtained by c_{A0}\times\int_{0}^{x_{f}}\frac{dx_{A}}{-r_{A}}. The residence time \tau of the PFR reactor is 5.64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</si>
  <si>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kmol/m3.&lt;|im_end|&gt;
&lt;|im_start|&gt;assistant
</t>
  </si>
  <si>
    <t>For the BR reactor,-r_{A} =k\times c_{A}^2\times c_{B}^2 kmol/(L*min), c_{A} =c_{A0} \times (1-x_{A} ), c_{B} =c_{B0} - c_{A0} \times x_{A}, the residence time \tau is obtained by c_{A0}\times\int_{0}^{x_{f}}\frac{dx_{A}}{-r_{A}}. The residence time \tau of the BR reactor is 0.01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</si>
  <si>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0.74.&lt;|im_end|&gt;
&lt;|im_start|&gt;assistant
</t>
  </si>
  <si>
    <t>For the CSTR reactor,-r_{A} =k\times c_{A}^3\times c_{B}^2 kmol/(L*min), c_{A} =c_{A0} \times (1-x_{A} ), c_{B} =c_{B0}- c_{A0} \times x_{A}, the residence time \tau is calculated by \frac{c_{A0} \times x_{f} }{-r_{A} }. The residence time \tau of the CSTR reactor is 5394.98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</si>
  <si>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kmol/m3.&lt;|im_end|&gt;
&lt;|im_start|&gt;assistant
</t>
  </si>
  <si>
    <t>For the BR reactor,-r_{A} =k\times c_{A}^2\times c_{B}^2 kmol/(L*min), c_{A} =c_{A0} \times (1-x_{A} ), c_{B} =c_{B0}- c_{A0} \times x_{A}, the residence time \tau is obtained by c_{A0}\times\int_{0}^{x_{f}}\frac{dx_{A}}{-r_{A}}. And the reactor volume is \frac{(\tau + t_{assist} )\times Q}{f} The calculated reactor volume V is 0.03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</si>
  <si>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0.49.&lt;|im_end|&gt;
&lt;|im_start|&gt;assistant
</t>
  </si>
  <si>
    <t>For the CSTR reactor,-r_{A} =k\times c_{A}^1\times c_{B}^2 kmol/(L*min), c_{A} =c_{A0} \times (1-x_{A} ), c_{B} =c_{B0}- c_{A0} \times x_{A}, the residence time \tau is calculated by \frac{c_{A0} \times x_{f} }{-r_{A} }. And the reactor volume is \tau \times Q The calculated reactor volume V is 0.72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</si>
  <si>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kmol/m3.&lt;|im_end|&gt;
&lt;|im_start|&gt;assistant
</t>
  </si>
  <si>
    <t>For the PFR reactor,-r_{A} =k\times c_{A}^2\times c_{B}^3 kmol/(L*min), c_{A} =c_{A0} \times (1-x_{A} ), c_{B} =c_{B0}- c_{A0} \times x_{A}, the residence time \tau is obtained by c_{A0}\times\int_{0}^{x_{f}}\frac{dx_{A}}{-r_{A}}. And the reactor volume is \tau \times Q The calculated reactor volume V is 2.82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</si>
  <si>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kmol/m3.&lt;|im_end|&gt;
&lt;|im_start|&gt;assistant
</t>
  </si>
  <si>
    <t>For the CSTR reactor,-r_{A} =k\times c_{A}^1 kmol/(L*min), c_{A} =c_{A0} \times (1-x_{A} ) the residence time \tau is calculated by \frac{c_{A0} \times x_{f} }{-r_{A} }. And the reactor volume is \tau \times Q The calculated reactor volume V is 0.36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</si>
  <si>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kmol/m3.&lt;|im_end|&gt;
&lt;|im_start|&gt;assistant
</t>
  </si>
  <si>
    <t>For the PFR reactor,-r_{A} =k\times c_{A}^3\times c_{B}^2 kmol/(L*min), c_{A} =c_{A0} \times (1-x_{A} ), c_{B} =c_{B0} - c_{A0} \times x_{A}, the residence time \tau is obtained by c_{A0}\times\int_{0}^{x_{f}}\frac{dx_{A}}{-r_{A}}. The residence time \tau of the PFR reactor is 0.27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</si>
  <si>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kmol/m3.&lt;|im_end|&gt;
&lt;|im_start|&gt;assistant
</t>
  </si>
  <si>
    <t>For the PFR reactor,-r_{A} =k\times c_{A}^3 kmol/(L*min), c_{A} =c_{A0} \times (1-x_{A} ) ,the residence time \tau is obtained by c_{A0}\times\int_{0}^{x_{f}}\frac{dx_{A}}{-r_{A}}. And the reactor volume is \tau \times Q The calculated reactor volume V is 0.15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</si>
  <si>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kmol/m3.&lt;|im_end|&gt;
&lt;|im_start|&gt;assistant
</t>
  </si>
  <si>
    <t>For the BR reactor,-r_{A} =k\times c_{A}^3\times c_{B}^2 kmol/(L*min), c_{A} =c_{A0} \times (1-x_{A} ), c_{B} =c_{B0} - c_{A0} \times x_{A}, the residence time \tau is obtained by c_{A0}\times\int_{0}^{x_{f}}\frac{dx_{A}}{-r_{A}}. The residence time \tau of the BR reactor is 1948.47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</si>
  <si>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0.63.&lt;|im_end|&gt;
&lt;|im_start|&gt;assistant
</t>
  </si>
  <si>
    <t>For the PFR reactor,-r_{A} =k\times c_{A}^2 kmol/(L*min), c_{A} =c_{A0} \times (1-x_{A} ) ,the residence time \tau is obtained by c_{A0}\times\int_{0}^{x_{f}}\frac{dx_{A}}{-r_{A}}. And the reactor volume is \tau \times Q The calculated reactor volume V is 0.93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</si>
  <si>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kmol/m3.&lt;|im_end|&gt;
&lt;|im_start|&gt;assistant
</t>
  </si>
  <si>
    <t>For the BR reactor,-r_{A} =k\times c_{A}^2 kmol/(L*min), c_{A} =c_{A0} \times (1-x_{A} ) ,the residence time \tau is obtained by c_{A0}\times\int_{0}^{x_{f}}\frac{dx_{A}}{-r_{A}}. The residence time \tau of the BR reactor is 10.98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</si>
  <si>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0.43.&lt;|im_end|&gt;
&lt;|im_start|&gt;assistant
</t>
  </si>
  <si>
    <t>For the PFR reactor,-r_{A} =k\times c_{A}^1\times c_{B}^1 kmol/(L*min), c_{A} =c_{A0} \times (1-x_{A} ), c_{B} =c_{B0}- c_{A0} \times x_{A}, the residence time \tau is obtained by c_{A0}\times\int_{0}^{x_{f}}\frac{dx_{A}}{-r_{A}}. And the reactor volume is \tau \times Q The calculated reactor volume V is 1.26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</si>
  <si>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kmol/m3.&lt;|im_end|&gt;
&lt;|im_start|&gt;assistant
</t>
  </si>
  <si>
    <t>For the BR reactor,-r_{A} =k\times c_{A}^2 kmol/(L*min), c_{A} =c_{A0} \times (1-x_{A} ) ,the residence time \tau is obtained by c_{A0}\times\int_{0}^{x_{f}}\frac{dx_{A}}{-r_{A}}. And the reactor volume is \frac{(\tau + t_{assist} )\times Q}{f} The calculated reactor volume V is 5.21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</si>
  <si>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0.54.&lt;|im_end|&gt;
&lt;|im_start|&gt;assistant
</t>
  </si>
  <si>
    <t>For the PFR reactor,-r_{A} =k\times c_{A}^3\times c_{B}^3 kmol/(L*min), c_{A} =c_{A0} \times (1-x_{A} ), c_{B} =c_{B0} - c_{A0} \times x_{A}, the residence time \tau is obtained by c_{A0}\times\int_{0}^{x_{f}}\frac{dx_{A}}{-r_{A}}. The residence time \tau of the PFR reactor is 0.82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</si>
  <si>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kmol/m3.&lt;|im_end|&gt;
&lt;|im_start|&gt;assistant
</t>
  </si>
  <si>
    <t>For the CSTR reactor,-r_{A} =k\times c_{A}^2\times c_{B}^2 kmol/(L*min), c_{A} =c_{A0} \times (1-x_{A} ), c_{B} =c_{B0}- c_{A0} \times x_{A}, the residence time \tau is calculated by \frac{c_{A0} \times x_{f} }{-r_{A} }. The residence time \tau of the CSTR reactor is 1002.98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</si>
  <si>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kmol/m3.&lt;|im_end|&gt;
&lt;|im_start|&gt;assistant
</t>
  </si>
  <si>
    <t>For the CSTR reactor,-r_{A} =k\times c_{A}^3\times c_{B}^3 kmol/(L*min), c_{A} =c_{A0} \times (1-x_{A} ), c_{B} =c_{B0}- c_{A0} \times x_{A}, the residence time \tau is calculated by \frac{c_{A0} \times x_{f} }{-r_{A} }. The residence time \tau of the CSTR reactor is 18.06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</si>
  <si>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kmol/m3.&lt;|im_end|&gt;
&lt;|im_start|&gt;assistant
</t>
  </si>
  <si>
    <t>For the PFR reactor,-r_{A} =k\times c_{A}^2 kmol/(L*min), c_{A} =c_{A0} \times (1-x_{A} ) ,the residence time \tau is obtained by c_{A0}\times\int_{0}^{x_{f}}\frac{dx_{A}}{-r_{A}}. The residence time \tau of the PFR reactor is 1.62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</si>
  <si>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kmol/m3.&lt;|im_end|&gt;
&lt;|im_start|&gt;assistant
</t>
  </si>
  <si>
    <t>For the PFR reactor,-r_{A} =k\times c_{A}^2 kmol/(L*min), c_{A} =c_{A0} \times (1-x_{A} ) ,the residence time \tau is obtained by c_{A0}\times\int_{0}^{x_{f}}\frac{dx_{A}}{-r_{A}}. And the reactor volume is \tau \times Q The calculated reactor volume V is 0.19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</si>
  <si>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kmol/m3.&lt;|im_end|&gt;
&lt;|im_start|&gt;assistant
</t>
  </si>
  <si>
    <t>For the BR reactor,-r_{A} =k\times c_{A}^1 kmol/(L*min), c_{A} =c_{A0} \times (1-x_{A} ) ,the residence time \tau is obtained by c_{A0}\times\int_{0}^{x_{f}}\frac{dx_{A}}{-r_{A}}. And the reactor volume is \frac{(\tau + t_{assist} )\times Q}{f} The calculated reactor volume V is 2.82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</si>
  <si>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0.77.&lt;|im_end|&gt;
&lt;|im_start|&gt;assistant
</t>
  </si>
  <si>
    <t>For the PFR reactor,-r_{A} =k\times c_{A}^3 kmol/(L*min), c_{A} =c_{A0} \times (1-x_{A} ) ,the residence time \tau is obtained by c_{A0}\times\int_{0}^{x_{f}}\frac{dx_{A}}{-r_{A}}. The residence time \tau of the PFR reactor is 0.52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</si>
  <si>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kmol/m3.&lt;|im_end|&gt;
&lt;|im_start|&gt;assistant
</t>
  </si>
  <si>
    <t>For the BR reactor,-r_{A} =k\times c_{A}^1\times c_{B}^2 kmol/(L*min), c_{A} =c_{A0} \times (1-x_{A} ), c_{B} =c_{B0} - c_{A0} \times x_{A}, the residence time \tau is obtained by c_{A0}\times\int_{0}^{x_{f}}\frac{dx_{A}}{-r_{A}}. The residence time \tau of the BR reactor is 159873107.37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</si>
  <si>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0.67.&lt;|im_end|&gt;
&lt;|im_start|&gt;assistant
</t>
  </si>
  <si>
    <t>For the PFR reactor,-r_{A} =k\times c_{A}^3 kmol/(L*min), c_{A} =c_{A0} \times (1-x_{A} ) ,the residence time \tau is obtained by c_{A0}\times\int_{0}^{x_{f}}\frac{dx_{A}}{-r_{A}}. And the reactor volume is \tau \times Q The calculated reactor volume V is 0.25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</si>
  <si>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kmol/m3.&lt;|im_end|&gt;
&lt;|im_start|&gt;assistant
</t>
  </si>
  <si>
    <t>For the CSTR reactor,-r_{A} =k\times c_{A}^2 kmol/(L*min), c_{A} =c_{A0} \times (1-x_{A} ) the residence time \tau is calculated by \frac{c_{A0} \times x_{f} }{-r_{A} }. And the reactor volume is \tau \times Q The calculated reactor volume V is 31.02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</si>
  <si>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kmol/m3.&lt;|im_end|&gt;
&lt;|im_start|&gt;assistant
</t>
  </si>
  <si>
    <t>For the CSTR reactor,-r_{A} =k\times c_{A}^1 kmol/(L*min), c_{A} =c_{A0} \times (1-x_{A} ) the residence time \tau is calculated by \frac{c_{A0} \times x_{f} }{-r_{A} } . The residence time \tau of the CSTR reactor is 66.56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</si>
  <si>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kmol/m3.&lt;|im_end|&gt;
&lt;|im_start|&gt;assistant
</t>
  </si>
  <si>
    <t>For the CSTR reactor,-r_{A} =k\times c_{A}^2\times c_{B}^1 kmol/(L*min), c_{A} =c_{A0} \times (1-x_{A} ), c_{B} =c_{B0}- c_{A0} \times x_{A}, the residence time \tau is calculated by \frac{c_{A0} \times x_{f} }{-r_{A} }. And the reactor volume is \tau \times Q The calculated reactor volume V is 0.39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</si>
  <si>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kmol/m3.&lt;|im_end|&gt;
&lt;|im_start|&gt;assistant
</t>
  </si>
  <si>
    <t>For the CSTR reactor,-r_{A} =k\times c_{A}^2\times c_{B}^2 kmol/(L*min), c_{A} =c_{A0} \times (1-x_{A} ), c_{B} =c_{B0}- c_{A0} \times x_{A}, the residence time \tau is calculated by \frac{c_{A0} \times x_{f} }{-r_{A} }. And the reactor volume is \tau \times Q The calculated reactor volume V is 1.04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</si>
  <si>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kmol/m3.&lt;|im_end|&gt;
&lt;|im_start|&gt;assistant
</t>
  </si>
  <si>
    <t>For the PFR reactor,-r_{A} =k\times c_{A}^1 kmol/(L*min), c_{A} =c_{A0} \times (1-x_{A} ) ,the residence time \tau is obtained by c_{A0}\times\int_{0}^{x_{f}}\frac{dx_{A}}{-r_{A}}. The residence time \tau of the PFR reactor is 1.61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</si>
  <si>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kmol/m3.&lt;|im_end|&gt;
&lt;|im_start|&gt;assistant
</t>
  </si>
  <si>
    <t>For the BR reactor,-r_{A} =k\times c_{A}^1 kmol/(L*min), c_{A} =c_{A0} \times (1-x_{A} ) ,the residence time \tau is obtained by c_{A0}\times\int_{0}^{x_{f}}\frac{dx_{A}}{-r_{A}}. The residence time \tau of the BR reactor is 2.94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</si>
  <si>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0.57.&lt;|im_end|&gt;
&lt;|im_start|&gt;assistant
</t>
  </si>
  <si>
    <t>For the CSTR reactor,-r_{A} =k\times c_{A}^3\times c_{B}^2 kmol/(L*min), c_{A} =c_{A0} \times (1-x_{A} ), c_{B} =c_{B0}- c_{A0} \times x_{A}, the residence time \tau is calculated by \frac{c_{A0} \times x_{f} }{-r_{A} }. And the reactor volume is \tau \times Q The calculated reactor volume V is 0.07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</si>
  <si>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kmol/m3.&lt;|im_end|&gt;
&lt;|im_start|&gt;assistant
</t>
  </si>
  <si>
    <t>For the CSTR reactor,-r_{A} =k\times c_{A}^2 kmol/(L*min), c_{A} =c_{A0} \times (1-x_{A} ) the residence time \tau is calculated by \frac{c_{A0} \times x_{f} }{-r_{A} }. And the reactor volume is \tau \times Q The calculated reactor volume V is 319.3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</si>
  <si>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kmol/m3.&lt;|im_end|&gt;
&lt;|im_start|&gt;assistant
</t>
  </si>
  <si>
    <t>For the PFR reactor,-r_{A} =k\times c_{A}^1\times c_{B}^2 kmol/(L*min), c_{A} =c_{A0} \times (1-x_{A} ), c_{B} =c_{B0} - c_{A0} \times x_{A}, the residence time \tau is obtained by c_{A0}\times\int_{0}^{x_{f}}\frac{dx_{A}}{-r_{A}}. The residence time \tau of the PFR reactor is 0.18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</si>
  <si>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kmol/m3.&lt;|im_end|&gt;
&lt;|im_start|&gt;assistant
</t>
  </si>
  <si>
    <t>For the BR reactor,-r_{A} =k\times c_{A}^1 kmol/(L*min), c_{A} =c_{A0} \times (1-x_{A} ) ,the residence time \tau is obtained by c_{A0}\times\int_{0}^{x_{f}}\frac{dx_{A}}{-r_{A}}. The residence time \tau of the BR reactor is 3.55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</si>
  <si>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0.57.&lt;|im_end|&gt;
&lt;|im_start|&gt;assistant
</t>
  </si>
  <si>
    <t>For the CSTR reactor,-r_{A} =k\times c_{A}^3 kmol/(L*min), c_{A} =c_{A0} \times (1-x_{A} ) the residence time \tau is calculated by \frac{c_{A0} \times x_{f} }{-r_{A} }. And the reactor volume is \tau \times Q The calculated reactor volume V is 2.15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</si>
  <si>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kmol/m3.&lt;|im_end|&gt;
&lt;|im_start|&gt;assistant
</t>
  </si>
  <si>
    <t>For the CSTR reactor,-r_{A} =k\times c_{A}^2 kmol/(L*min), c_{A} =c_{A0} \times (1-x_{A} ) the residence time \tau is calculated by \frac{c_{A0} \times x_{f} }{-r_{A} } . The residence time \tau of the CSTR reactor is 200.24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</si>
  <si>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kmol/m3.&lt;|im_end|&gt;
&lt;|im_start|&gt;assistant
</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</si>
  <si>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kmol/m3.&lt;|im_end|&gt;
&lt;|im_start|&gt;assistant
</t>
  </si>
  <si>
    <t>For the CSTR reactor,-r_{A} =k\times c_{A}^2 kmol/(L*min), c_{A} =c_{A0} \times (1-x_{A} ) the residence time \tau is calculated by \frac{c_{A0} \times x_{f} }{-r_{A} } . The residence time \tau of the CSTR reactor is 8.72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</si>
  <si>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kmol/m3.&lt;|im_end|&gt;
&lt;|im_start|&gt;assistant
</t>
  </si>
  <si>
    <t>For the CSTR reactor,-r_{A} =k\times c_{A}^2 kmol/(L*min), c_{A} =c_{A0} \times (1-x_{A} ) the residence time \tau is calculated by \frac{c_{A0} \times x_{f} }{-r_{A} } . The residence time \tau of the CSTR reactor is 150.14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</si>
  <si>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kmol/m3.&lt;|im_end|&gt;
&lt;|im_start|&gt;assistant
</t>
  </si>
  <si>
    <t>For the PFR reactor,-r_{A} =k\times c_{A}^3\times c_{B}^2 kmol/(L*min), c_{A} =c_{A0} \times (1-x_{A} ), c_{B} =c_{B0}- c_{A0} \times x_{A}, the residence time \tau is obtained by c_{A0}\times\int_{0}^{x_{f}}\frac{dx_{A}}{-r_{A}}. And the reactor volume is \tau \times Q The calculated reactor volume V is 0.63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</si>
  <si>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kmol/m3.&lt;|im_end|&gt;
&lt;|im_start|&gt;assistant
</t>
  </si>
  <si>
    <t>For the BR reactor,-r_{A} =k\times c_{A}^3\times c_{B}^2 kmol/(L*min), c_{A} =c_{A0} \times (1-x_{A} ), c_{B} =c_{B0}- c_{A0} \times x_{A}, the residence time \tau is obtained by c_{A0}\times\int_{0}^{x_{f}}\frac{dx_{A}}{-r_{A}}. And the reactor volume is \frac{(\tau + t_{assist} )\times Q}{f} The calculated reactor volume V is 2.58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</si>
  <si>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0.62.&lt;|im_end|&gt;
&lt;|im_start|&gt;assistant
</t>
  </si>
  <si>
    <t>For the PFR reactor,-r_{A} =k\times c_{A}^3\times c_{B}^2 kmol/(L*min), c_{A} =c_{A0} \times (1-x_{A} ), c_{B} =c_{B0}- c_{A0} \times x_{A}, the residence time \tau is obtained by c_{A0}\times\int_{0}^{x_{f}}\frac{dx_{A}}{-r_{A}}. And the reactor volume is \tau \times Q The calculated reactor volume V is 126.46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</si>
  <si>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kmol/m3.&lt;|im_end|&gt;
&lt;|im_start|&gt;assistant
</t>
  </si>
  <si>
    <t>For the CSTR reactor,-r_{A} =k\times c_{A}^1 kmol/(L*min), c_{A} =c_{A0} \times (1-x_{A} ) the residence time \tau is calculated by \frac{c_{A0} \times x_{f} }{-r_{A} } . The residence time \tau of the CSTR reactor is 6.79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</si>
  <si>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kmol/m3.&lt;|im_end|&gt;
&lt;|im_start|&gt;assistant
</t>
  </si>
  <si>
    <t>For the PFR reactor,-r_{A} =k\times c_{A}^2 kmol/(L*min), c_{A} =c_{A0} \times (1-x_{A} ) ,the residence time \tau is obtained by c_{A0}\times\int_{0}^{x_{f}}\frac{dx_{A}}{-r_{A}}. And the reactor volume is \tau \times Q The calculated reactor volume V is 0.02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</si>
  <si>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kmol/m3.&lt;|im_end|&gt;
&lt;|im_start|&gt;assistant
</t>
  </si>
  <si>
    <t>For the BR reactor,-r_{A} =k\times c_{A}^1\times c_{B}^2 kmol/(L*min), c_{A} =c_{A0} \times (1-x_{A} ), c_{B} =c_{B0} - c_{A0} \times x_{A}, the residence time \tau is obtained by c_{A0}\times\int_{0}^{x_{f}}\frac{dx_{A}}{-r_{A}}. The residence time \tau of the BR reactor is 0.47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</si>
  <si>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0.78.&lt;|im_end|&gt;
&lt;|im_start|&gt;assistant
</t>
  </si>
  <si>
    <t>For the BR reactor,-r_{A} =k\times c_{A}^2\times c_{B}^3 kmol/(L*min), c_{A} =c_{A0} \times (1-x_{A} ), c_{B} =c_{B0} - c_{A0} \times x_{A}, the residence time \tau is obtained by c_{A0}\times\int_{0}^{x_{f}}\frac{dx_{A}}{-r_{A}}. The residence time \tau of the BR reactor is 0.09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</si>
  <si>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0.47.&lt;|im_end|&gt;
&lt;|im_start|&gt;assistant
</t>
  </si>
  <si>
    <t>For the PFR reactor,-r_{A} =k\times c_{A}^2\times c_{B}^2 kmol/(L*min), c_{A} =c_{A0} \times (1-x_{A} ), c_{B} =c_{B0} - c_{A0} \times x_{A}, the residence time \tau is obtained by c_{A0}\times\int_{0}^{x_{f}}\frac{dx_{A}}{-r_{A}}. The residence time \tau of the PFR reactor is 22.68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</si>
  <si>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kmol/m3.&lt;|im_end|&gt;
&lt;|im_start|&gt;assistant
</t>
  </si>
  <si>
    <t>For the PFR reactor,-r_{A} =k\times c_{A}^3\times c_{B}^1 kmol/(L*min), c_{A} =c_{A0} \times (1-x_{A} ), c_{B} =c_{B0} - c_{A0} \times x_{A}, the residence time \tau is obtained by c_{A0}\times\int_{0}^{x_{f}}\frac{dx_{A}}{-r_{A}}. The residence time \tau of the PFR reactor is 0.14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</si>
  <si>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kmol/m3.&lt;|im_end|&gt;
&lt;|im_start|&gt;assistant
</t>
  </si>
  <si>
    <t>For the CSTR reactor,-r_{A} =k\times c_{A}^3\times c_{B}^3 kmol/(L*min), c_{A} =c_{A0} \times (1-x_{A} ), c_{B} =c_{B0}- c_{A0} \times x_{A}, the residence time \tau is calculated by \frac{c_{A0} \times x_{f} }{-r_{A} }. The residence time \tau of the CSTR reactor is 0.12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</si>
  <si>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kmol/m3.&lt;|im_end|&gt;
&lt;|im_start|&gt;assistant
</t>
  </si>
  <si>
    <t>For the CSTR reactor,-r_{A} =k\times c_{A}^2 kmol/(L*min), c_{A} =c_{A0} \times (1-x_{A} ) the residence time \tau is calculated by \frac{c_{A0} \times x_{f} }{-r_{A} }. And the reactor volume is \tau \times Q The calculated reactor volume V is 15.98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</si>
  <si>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kmol/m3.&lt;|im_end|&gt;
&lt;|im_start|&gt;assistant
</t>
  </si>
  <si>
    <t>For the CSTR reactor,-r_{A} =k\times c_{A}^1 kmol/(L*min), c_{A} =c_{A0} \times (1-x_{A} ) the residence time \tau is calculated by \frac{c_{A0} \times x_{f} }{-r_{A} } . The residence time \tau of the CSTR reactor is 6.31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</si>
  <si>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kmol/m3.&lt;|im_end|&gt;
&lt;|im_start|&gt;assistant
</t>
  </si>
  <si>
    <t>For the CSTR reactor,-r_{A} =k\times c_{A}^1\times c_{B}^2 kmol/(L*min), c_{A} =c_{A0} \times (1-x_{A} ), c_{B} =c_{B0}- c_{A0} \times x_{A}, the residence time \tau is calculated by \frac{c_{A0} \times x_{f} }{-r_{A} }. The residence time \tau of the CSTR reactor is 0.75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</si>
  <si>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kmol/m3.&lt;|im_end|&gt;
&lt;|im_start|&gt;assistant
</t>
  </si>
  <si>
    <t>For the BR reactor,-r_{A} =k\times c_{A}^1 kmol/(L*min), c_{A} =c_{A0} \times (1-x_{A} ) ,the residence time \tau is obtained by c_{A0}\times\int_{0}^{x_{f}}\frac{dx_{A}}{-r_{A}}. The residence time \tau of the BR reactor is 2.58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</si>
  <si>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0.68.&lt;|im_end|&gt;
&lt;|im_start|&gt;assistant
</t>
  </si>
  <si>
    <t>For the BR reactor,-r_{A} =k\times c_{A}^1\times c_{B}^1 kmol/(L*min), c_{A} =c_{A0} \times (1-x_{A} ), c_{B} =c_{B0}- c_{A0} \times x_{A}, the residence time \tau is obtained by c_{A0}\times\int_{0}^{x_{f}}\frac{dx_{A}}{-r_{A}}. And the reactor volume is \frac{(\tau + t_{assist} )\times Q}{f} The calculated reactor volume V is 2.85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</si>
  <si>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0.69.&lt;|im_end|&gt;
&lt;|im_start|&gt;assistant
</t>
  </si>
  <si>
    <t>For the CSTR reactor,-r_{A} =k\times c_{A}^1\times c_{B}^1 kmol/(L*min), c_{A} =c_{A0} \times (1-x_{A} ), c_{B} =c_{B0}- c_{A0} \times x_{A}, the residence time \tau is calculated by \frac{c_{A0} \times x_{f} }{-r_{A} }. And the reactor volume is \tau \times Q The calculated reactor volume V is 0.27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</si>
  <si>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kmol/m3.&lt;|im_end|&gt;
&lt;|im_start|&gt;assistant
</t>
  </si>
  <si>
    <t>For the CSTR reactor,-r_{A} =k\times c_{A}^3\times c_{B}^2 kmol/(L*min), c_{A} =c_{A0} \times (1-x_{A} ), c_{B} =c_{B0}- c_{A0} \times x_{A}, the residence time \tau is calculated by \frac{c_{A0} \times x_{f} }{-r_{A} }. The residence time \tau of the CSTR reactor is 3.29 h.</t>
  </si>
  <si>
    <t>For the CSTR reactor,-r_{A} =k\times c_{A}^3\times c_{B}^2 kmol/(L*min), c_{A} =c_{A0} \times (1-x_{A} ), c_{B} =c_{B0}- c_{A0} \times x_{A}, the residence time \tau is calculated by \frac{c_{A0} \times x_{f} }{-r_{A} }. The residence time \tau of the CSTR reactor is 350.43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</si>
  <si>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kmol/m3.&lt;|eot_id|&gt;&lt;|start_header_id|&gt;assistant&lt;|end_header_id|&gt;
</t>
  </si>
  <si>
    <t>For the BR reactor,-r_{A} =k\times c_{A}^2\times c_{B}^1 kmol/(L*min), c_{A} =c_{A0} \times (1-x_{A} ), c_{B} =c_{B0}- c_{A0} \times x_{A}, the residence time \tau is obtained by c_{A0}\times\int_{0}^{x_{f}}\frac{dx_{A}}{-r_{A}}. And the reactor volume is \frac{(\tau + t_{assist} )\times Q}{f} The calculated reactor volume V is 0.39 Cubic Meters.</t>
  </si>
  <si>
    <t>For the BR reactor,-r_{A} =k\times c_{A}^2\times c_{B}^1 kmol/(L*min), c_{A} =c_{A0} \times (1-x_{A} ), c_{B} =c_{B0}- c_{A0} \times x_{A}, the residence time \tau is obtained by c_{A0}\times\int_{0}^{x_{f}}\frac{dx_{A}}{-r_{A}}. And the reactor volume is \frac{(\tau + t_{assist} )\times Q}{f} The calculated reactor volume V is 1.0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</si>
  <si>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0.64.&lt;|eot_id|&gt;&lt;|start_header_id|&gt;assistant&lt;|end_header_id|&gt;
</t>
  </si>
  <si>
    <t>For the CSTR reactor,-r_{A} =k\times c_{A}^1\times c_{B}^1 kmol/(L*min), c_{A} =c_{A0} \times (1-x_{A} ), c_{B} =c_{B0}- c_{A0} \times x_{A}, the residence time \tau is calculated by \frac{c_{A0} \times x_{f} }{-r_{A} }. The residence time \tau of the CSTR reactor is 11.42 h.</t>
  </si>
  <si>
    <t>For the CSTR reactor,-r_{A} =k\times c_{A}^1\times c_{B}^1 kmol/(L*min), c_{A} =c_{A0} \times (1-x_{A} ), c_{B} =c_{B0}- c_{A0} \times x_{A}, the residence time \tau is calculated by \frac{c_{A0} \times x_{f} }{-r_{A} }. The residence time \tau of the CSTR reactor is 6.9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</si>
  <si>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kmol/m3.&lt;|eot_id|&gt;&lt;|start_header_id|&gt;assistant&lt;|end_header_id|&gt;
</t>
  </si>
  <si>
    <t>For the CSTR reactor,-r_{A} =k\times c_{A}^1\times c_{B}^1 kmol/(L*min), c_{A} =c_{A0} \times (1-x_{A} ), c_{B} =c_{B0}- c_{A0} \times x_{A}, the residence time \tau is calculated by \frac{c_{A0} \times x_{f} }{-r_{A} }. The residence time \tau of the CSTR reactor is 2.86 h.</t>
  </si>
  <si>
    <t>For the CSTR reactor,-r_{A} =k\times c_{A}^1\times c_{B}^1 kmol/(L*min), c_{A} =c_{A0} \times (1-x_{A} ), c_{B} =c_{B0}- c_{A0} \times x_{A}, the residence time \tau is calculated by \frac{c_{A0} \times x_{f} }{-r_{A} }. The residence time \tau of the CSTR reactor is 2.51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</si>
  <si>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kmol/m3.&lt;|eot_id|&gt;&lt;|start_header_id|&gt;assistant&lt;|end_header_id|&gt;
</t>
  </si>
  <si>
    <t>For the PFR reactor,-r_{A} =k\times c_{A}^3\times c_{B}^1 kmol/(L*min), c_{A} =c_{A0} \times (1-x_{A} ), c_{B} =c_{B0} - c_{A0} \times x_{A}, the residence time \tau is obtained by c_{A0}\times\int_{0}^{x_{f}}\frac{dx_{A}}{-r_{A}}. The residence time \tau of the PFR reactor is 0.16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</si>
  <si>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kmol/m3.&lt;|eot_id|&gt;&lt;|start_header_id|&gt;assistant&lt;|end_header_id|&gt;
</t>
  </si>
  <si>
    <t>For the CSTR reactor,-r_{A} =k\times c_{A}^3 kmol/(L*min), c_{A} =c_{A0} \times (1-x_{A} ) the residence time \tau is calculated by \frac{c_{A0} \times x_{f} }{-r_{A} }. And the reactor volume is \tau \times Q The calculated reactor volume V is 109.1 Cubic Meters.</t>
  </si>
  <si>
    <t>For the CSTR reactor,-r_{A} =k\times c_{A}^3 kmol/(L*min), c_{A} =c_{A0} \times (1-x_{A} ) the residence time \tau is calculated by \frac{c_{A0} \times x_{f} }{-r_{A} }. And the reactor volume is \tau \times Q The calculated reactor volume V is 41.46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</si>
  <si>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kmol/m3.&lt;|eot_id|&gt;&lt;|start_header_id|&gt;assistant&lt;|end_header_id|&gt;
</t>
  </si>
  <si>
    <t>For the PFR reactor,-r_{A} =k\times c_{A}^2 kmol/(L*min), c_{A} =c_{A0} \times (1-x_{A} ),the residence time \tau is obtained by c_{A0}\times\int_{0}^{x_{f}}\frac{dx_{A}}{-r_{A}}. And the reactor volume is \tau \times Q The calculated reactor volume V is 0.68 Cubic Meters.</t>
  </si>
  <si>
    <t>For the PFR reactor,-r_{A} =k\times c_{A}^2 kmol/(L*min), c_{A} =c_{A0} \times (1-x_{A} ),the residence time \tau is obtained by c_{A0}\times\int_{0}^{x_{f}}\frac{dx_{A}}{-r_{A}}. And the reactor volume is \tau \times Q The calculated reactor volume V is 0.32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</si>
  <si>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kmol/m3.&lt;|eot_id|&gt;&lt;|start_header_id|&gt;assistant&lt;|end_header_id|&gt;
</t>
  </si>
  <si>
    <t>For the PFR reactor,-r_{A} =k\times c_{A}^2 kmol/(L*min), c_{A} =c_{A0} \times (1-x_{A} ),the residence time \tau is obtained by c_{A0}\times\int_{0}^{x_{f}}\frac{dx_{A}}{-r_{A}}. And the reactor volume is \tau \times Q The calculated reactor volume V is 2.84 Cubic Meters.</t>
  </si>
  <si>
    <t>For the PFR reactor,-r_{A} =k\times c_{A}^2 kmol/(L*min), c_{A} =c_{A0} \times (1-x_{A} ),the residence time \tau is obtained by c_{A0}\times\int_{0}^{x_{f}}\frac{dx_{A}}{-r_{A}}. And the reactor volume is \tau \times Q The calculated reactor volume V is 5.6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</si>
  <si>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kmol/m3.&lt;|eot_id|&gt;&lt;|start_header_id|&gt;assistant&lt;|end_header_id|&gt;
</t>
  </si>
  <si>
    <t>For the BR reactor,-r_{A} =k\times c_{A}^2 kmol/(L*min), c_{A} =c_{A0} \times (1-x_{A} ),the residence time \tau is obtained by c_{A0}\times\int_{0}^{x_{f}}\frac{dx_{A}}{-r_{A}}. The residence time \tau of the BR reactor is 2.91 h.</t>
  </si>
  <si>
    <t>For the BR reactor,-r_{A} =k\times c_{A}^2 kmol/(L*min), c_{A} =c_{A0} \times (1-x_{A} ),the residence time \tau is obtained by c_{A0}\times\int_{0}^{x_{f}}\frac{dx_{A}}{-r_{A}}. The residence time \tau of the BR reactor is 1.95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</si>
  <si>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0.45.&lt;|eot_id|&gt;&lt;|start_header_id|&gt;assistant&lt;|end_header_id|&gt;
</t>
  </si>
  <si>
    <t>For the PFR reactor,-r_{A} =k\times c_{A}^2\times c_{B}^1 kmol/(L*min), c_{A} =c_{A0} \times (1-x_{A} ), c_{B} =c_{B0} - c_{A0} \times x_{A}, the residence time \tau is obtained by c_{A0}\times\int_{0}^{x_{f}}\frac{dx_{A}}{-r_{A}}. The residence time \tau of the PFR reactor is 4.77 h.</t>
  </si>
  <si>
    <t>For the PFR reactor,-r_{A} =k\times c_{A}^2\times c_{B}^1 kmol/(L*min), c_{A} =c_{A0} \times (1-x_{A} ), c_{B} =c_{B0} - c_{A0} \times x_{A}, the residence time \tau is obtained by c_{A0}\times\int_{0}^{x_{f}}\frac{dx_{A}}{-r_{A}}. The residence time \tau of the PFR reactor is 3.92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</si>
  <si>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kmol/m3.&lt;|eot_id|&gt;&lt;|start_header_id|&gt;assistant&lt;|end_header_id|&gt;
</t>
  </si>
  <si>
    <t>For the PFR reactor,-r_{A} =k\times c_{A}^3 kmol/(L*min), c_{A} =c_{A0} \times (1-x_{A} ),the residence time \tau is obtained by c_{A0}\times\int_{0}^{x_{f}}\frac{dx_{A}}{-r_{A}}. And the reactor volume is \tau \times Q The calculated reactor volume V is 0.42 Cubic Meters.</t>
  </si>
  <si>
    <t>For the PFR reactor,-r_{A} =k\times c_{A}^3 kmol/(L*min), c_{A} =c_{A0} \times (1-x_{A} ),the residence time \tau is obtained by c_{A0}\times\int_{0}^{x_{f}}\frac{dx_{A}}{-r_{A}}. And the reactor volume is \tau \times Q The calculated reactor volume V is 0.25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</si>
  <si>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kmol/m3.&lt;|eot_id|&gt;&lt;|start_header_id|&gt;assistant&lt;|end_header_id|&gt;
</t>
  </si>
  <si>
    <t>For the BR reactor,-r_{A} =k\times c_{A}^2\times c_{B}^3 kmol/(L*min), c_{A} =c_{A0} \times (1-x_{A} ), c_{B} =c_{B0}- c_{A0} \times x_{A}, the residence time \tau is obtained by c_{A0}\times\int_{0}^{x_{f}}\frac{dx_{A}}{-r_{A}}. And the reactor volume is \frac{(\tau + t_{assist} )\times Q}{f} The calculated reactor volume V is 0.01 Cubic Meters.</t>
  </si>
  <si>
    <t>For the BR reactor,-r_{A} =k\times c_{A}^2\times c_{B}^3 kmol/(L*min), c_{A} =c_{A0} \times (1-x_{A} ), c_{B} =c_{B0}- c_{A0} \times x_{A}, the residence time \tau is obtained by c_{A0}\times\int_{0}^{x_{f}}\frac{dx_{A}}{-r_{A}}. And the reactor volume is \frac{(\tau + t_{assist} )\times Q}{f} The calculated reactor volume V is 0.08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</si>
  <si>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0.55.&lt;|eot_id|&gt;&lt;|start_header_id|&gt;assistant&lt;|end_header_id|&gt;
</t>
  </si>
  <si>
    <t>For the CSTR reactor,-r_{A} =k\times c_{A}^1 kmol/(L*min), c_{A} =c_{A0} \times (1-x_{A} ) the residence time \tau is calculated by \frac{c_{A0} \times x_{f} }{-r_{A} }. The residence time \tau of the CSTR reactor is 2.53 h.</t>
  </si>
  <si>
    <t>For the CSTR reactor,-r_{A} =k\times c_{A}^1 kmol/(L*min), c_{A} =c_{A0} \times (1-x_{A} ) the residence time \tau is calculated by \frac{c_{A0} \times x_{f} }{-r_{A} }. The residence time \tau of the CSTR reactor is 2.22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</si>
  <si>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kmol/m3.&lt;|eot_id|&gt;&lt;|start_header_id|&gt;assistant&lt;|end_header_id|&gt;
</t>
  </si>
  <si>
    <t>For the CSTR reactor,-r_{A} =k\times c_{A}^1 kmol/(L*min), c_{A} =c_{A0} \times (1-x_{A} ) the residence time \tau is calculated by \frac{c_{A0} \times x_{f} }{-r_{A} }. And the reactor volume is \tau \times Q The calculated reactor volume V is 2.56 Cubic Meters.</t>
  </si>
  <si>
    <t>For the CSTR reactor,-r_{A} =k\times c_{A}^1 kmol/(L*min), c_{A} =c_{A0} \times (1-x_{A} ) the residence time \tau is calculated by \frac{c_{A0} \times x_{f} }{-r_{A} }. And the reactor volume is \tau \times Q The calculated reactor volume V is 1.44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</si>
  <si>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kmol/m3.&lt;|eot_id|&gt;&lt;|start_header_id|&gt;assistant&lt;|end_header_id|&gt;
</t>
  </si>
  <si>
    <t>For the BR reactor,-r_{A} =k\times c_{A}^1\times c_{B}^3 kmol/(L*min), c_{A} =c_{A0} \times (1-x_{A} ), c_{B} =c_{B0}- c_{A0} \times x_{A}, the residence time \tau is obtained by c_{A0}\times\int_{0}^{x_{f}}\frac{dx_{A}}{-r_{A}}. And the reactor volume is \frac{(\tau + t_{assist} )\times Q}{f} The calculated reactor volume V is 938051.65 Cubic Meters.</t>
  </si>
  <si>
    <t>For the BR reactor,-r_{A} =k\times c_{A}^1\times c_{B}^3 kmol/(L*min), c_{A} =c_{A0} \times (1-x_{A} ), c_{B} =c_{B0}- c_{A0} \times x_{A}, the residence time \tau is obtained by c_{A0}\times\int_{0}^{x_{f}}\frac{dx_{A}}{-r_{A}}. And the reactor volume is \frac{(\tau + t_{assist} )\times Q}{f} The calculated reactor volume V is 2.85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</si>
  <si>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0.42.&lt;|eot_id|&gt;&lt;|start_header_id|&gt;assistant&lt;|end_header_id|&gt;
</t>
  </si>
  <si>
    <t>For the CSTR reactor,-r_{A} =k\times c_{A}^3\times c_{B}^3 kmol/(L*min), c_{A} =c_{A0} \times (1-x_{A} ), c_{B} =c_{B0}- c_{A0} \times x_{A}, the residence time \tau is calculated by \frac{c_{A0} \times x_{f} }{-r_{A} }. The residence time \tau of the CSTR reactor is 3.63 h.</t>
  </si>
  <si>
    <t>For the CSTR reactor,-r_{A} =k\times c_{A}^3\times c_{B}^3 kmol/(L*min), c_{A} =c_{A0} \times (1-x_{A} ), c_{B} =c_{B0}- c_{A0} \times x_{A}, the residence time \tau is calculated by \frac{c_{A0} \times x_{f} }{-r_{A} }. The residence time \tau of the CSTR reactor is 2.94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</si>
  <si>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</si>
  <si>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9.03 h.</t>
  </si>
  <si>
    <t>For the BR reactor,-r_{A} =k\times c_{A}^1\times c_{B}^2 kmol/(L*min), c_{A} =c_{A0} \times (1-x_{A} ), c_{B} =c_{B0} - c_{A0} \times x_{A}, the residence time \tau is obtained by c_{A0}\times\int_{0}^{x_{f}}\frac{dx_{A}}{-r_{A}}. The residence time \tau of the BR reactor is 0.71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</si>
  <si>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0.61.&lt;|eot_id|&gt;&lt;|start_header_id|&gt;assistant&lt;|end_header_id|&gt;
</t>
  </si>
  <si>
    <t>For the PFR reactor,-r_{A} =k\times c_{A}^3\times c_{B}^3 kmol/(L*min), c_{A} =c_{A0} \times (1-x_{A} ), c_{B} =c_{B0} - c_{A0} \times x_{A}, the residence time \tau is obtained by c_{A0}\times\int_{0}^{x_{f}}\frac{dx_{A}}{-r_{A}}. The residence time \tau of the PFR reactor is 0.04 h.</t>
  </si>
  <si>
    <t>For the PFR reactor,-r_{A} =k\times c_{A}^3\times c_{B}^3 kmol/(L*min), c_{A} =c_{A0} \times (1-x_{A} ), c_{B} =c_{B0} - c_{A0} \times x_{A}, the residence time \tau is obtained by c_{A0}\times\int_{0}^{x_{f}}\frac{dx_{A}}{-r_{A}}. The residence time \tau of the PFR reactor is 0.15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</si>
  <si>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</si>
  <si>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1.93 Cubic Meters.</t>
  </si>
  <si>
    <t>For the BR reactor,-r_{A} =k\times c_{A}^2 kmol/(L*min), c_{A} =c_{A0} \times (1-x_{A} ),the residence time \tau is obtained by c_{A0}\times\int_{0}^{x_{f}}\frac{dx_{A}}{-r_{A}}. And the reactor volume is \frac{(\tau + t_{assist} )\times Q}{f} The calculated reactor volume V is 2.58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</si>
  <si>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0.48.&lt;|eot_id|&gt;&lt;|start_header_id|&gt;assistant&lt;|end_header_id|&gt;
</t>
  </si>
  <si>
    <t>For the CSTR reactor,-r_{A} =k\times c_{A}^3 kmol/(L*min), c_{A} =c_{A0} \times (1-x_{A} ) the residence time \tau is calculated by \frac{c_{A0} \times x_{f} }{-r_{A} }. And the reactor volume is \tau \times Q The calculated reactor volume V is 0.28 Cubic Meters.</t>
  </si>
  <si>
    <t>For the CSTR reactor,-r_{A} =k\times c_{A}^3 kmol/(L*min), c_{A} =c_{A0} \times (1-x_{A} ) the residence time \tau is calculated by \frac{c_{A0} \times x_{f} }{-r_{A} }. And the reactor volume is \tau \times Q The calculated reactor volume V is 0.64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</si>
  <si>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kmol/m3.&lt;|eot_id|&gt;&lt;|start_header_id|&gt;assistant&lt;|end_header_id|&gt;
</t>
  </si>
  <si>
    <t>For the CSTR reactor,-r_{A} =k\times c_{A}^1 kmol/(L*min), c_{A} =c_{A0} \times (1-x_{A} ) the residence time \tau is calculated by \frac{c_{A0} \times x_{f} }{-r_{A} }. And the reactor volume is \tau \times Q The calculated reactor volume V is 15.36 Cubic Meters.</t>
  </si>
  <si>
    <t>For the CSTR reactor,-r_{A} =k\times c_{A}^1 kmol/(L*min), c_{A} =c_{A0} \times (1-x_{A} ) the residence time \tau is calculated by \frac{c_{A0} \times x_{f} }{-r_{A} }. And the reactor volume is \tau \times Q The calculated reactor volume V is 9.39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</si>
  <si>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kmol/m3.&lt;|eot_id|&gt;&lt;|start_header_id|&gt;assistant&lt;|end_header_id|&gt;
</t>
  </si>
  <si>
    <t>For the PFR reactor,-r_{A} =k\times c_{A}^2 kmol/(L*min), c_{A} =c_{A0} \times (1-x_{A} ),the residence time \tau is obtained by c_{A0}\times\int_{0}^{x_{f}}\frac{dx_{A}}{-r_{A}}. And the reactor volume is \tau \times Q The calculated reactor volume V is 3.16 Cubic Meters.</t>
  </si>
  <si>
    <t>For the PFR reactor,-r_{A} =k\times c_{A}^2 kmol/(L*min), c_{A} =c_{A0} \times (1-x_{A} ),the residence time \tau is obtained by c_{A0}\times\int_{0}^{x_{f}}\frac{dx_{A}}{-r_{A}}. And the reactor volume is \tau \times Q The calculated reactor volume V is 14.51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</si>
  <si>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</si>
  <si>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0.03 h.</t>
  </si>
  <si>
    <t>For the BR reactor,-r_{A} =k\times c_{A}^1\times c_{B}^2 kmol/(L*min), c_{A} =c_{A0} \times (1-x_{A} ), c_{B} =c_{B0} - c_{A0} \times x_{A}, the residence time \tau is obtained by c_{A0}\times\int_{0}^{x_{f}}\frac{dx_{A}}{-r_{A}}. The residence time \tau of the BR reactor is 0.08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</si>
  <si>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0.64.&lt;|eot_id|&gt;&lt;|start_header_id|&gt;assistant&lt;|end_header_id|&gt;
</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</si>
  <si>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0.53.&lt;|eot_id|&gt;&lt;|start_header_id|&gt;assistant&lt;|end_header_id|&gt;
</t>
  </si>
  <si>
    <t>For the PFR reactor,-r_{A} =k\times c_{A}^3 kmol/(L*min), c_{A} =c_{A0} \times (1-x_{A} ),the residence time \tau is obtained by c_{A0}\times\int_{0}^{x_{f}}\frac{dx_{A}}{-r_{A}}. And the reactor volume is \tau \times Q The calculated reactor volume V is 84.49 Cubic Meters.</t>
  </si>
  <si>
    <t>For the PFR reactor,-r_{A} =k\times c_{A}^3 kmol/(L*min), c_{A} =c_{A0} \times (1-x_{A} ),the residence time \tau is obtained by c_{A0}\times\int_{0}^{x_{f}}\frac{dx_{A}}{-r_{A}}. And the reactor volume is \tau \times Q The calculated reactor volume V is 3.42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</si>
  <si>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kmol/m3.&lt;|eot_id|&gt;&lt;|start_header_id|&gt;assistant&lt;|end_header_id|&gt;
</t>
  </si>
  <si>
    <t>For the CSTR reactor,-r_{A} =k\times c_{A}^1 kmol/(L*min), c_{A} =c_{A0} \times (1-x_{A} ) the residence time \tau is calculated by \frac{c_{A0} \times x_{f} }{-r_{A} }. The residence time \tau of the CSTR reactor is 16.52 h.</t>
  </si>
  <si>
    <t>For the CSTR reactor,-r_{A} =k\times c_{A}^1 kmol/(L*min), c_{A} =c_{A0} \times (1-x_{A} ) the residence time \tau is calculated by \frac{c_{A0} \times x_{f} }{-r_{A} }. The residence time \tau of the CSTR reactor is 32.89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</si>
  <si>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kmol/m3.&lt;|eot_id|&gt;&lt;|start_header_id|&gt;assistant&lt;|end_header_id|&gt;
</t>
  </si>
  <si>
    <t>For the PFR reactor,-r_{A} =k\times c_{A}^3\times c_{B}^2 kmol/(L*min), c_{A} =c_{A0} \times (1-x_{A} ), c_{B} =c_{B0} - c_{A0} \times x_{A}, the residence time \tau is obtained by c_{A0}\times\int_{0}^{x_{f}}\frac{dx_{A}}{-r_{A}}. The residence time \tau of the PFR reactor is 0.29 h.</t>
  </si>
  <si>
    <t>For the PFR reactor,-r_{A} =k\times c_{A}^3\times c_{B}^2 kmol/(L*min), c_{A} =c_{A0} \times (1-x_{A} ), c_{B} =c_{B0} - c_{A0} \times x_{A}, the residence time \tau is obtained by c_{A0}\times\int_{0}^{x_{f}}\frac{dx_{A}}{-r_{A}}. The residence time \tau of the PFR reactor is 0.53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</si>
  <si>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kmol/m3.&lt;|eot_id|&gt;&lt;|start_header_id|&gt;assistant&lt;|end_header_id|&gt;
</t>
  </si>
  <si>
    <t>For the BR reactor,-r_{A} =k\times c_{A}^2\times c_{B}^2 kmol/(L*min), c_{A} =c_{A0} \times (1-x_{A} ), c_{B} =c_{B0} - c_{A0} \times x_{A}, the residence time \tau is obtained by c_{A0}\times\int_{0}^{x_{f}}\frac{dx_{A}}{-r_{A}}. The residence time \tau of the BR reactor is 245824486.11 h.</t>
  </si>
  <si>
    <t>For the BR reactor,-r_{A} =k\times c_{A}^2\times c_{B}^2 kmol/(L*min), c_{A} =c_{A0} \times (1-x_{A} ), c_{B} =c_{B0} - c_{A0} \times x_{A}, the residence time \tau is obtained by c_{A0}\times\int_{0}^{x_{f}}\frac{dx_{A}}{-r_{A}}. The residence time \tau of the BR reactor is 2.42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</si>
  <si>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0.7.&lt;|eot_id|&gt;&lt;|start_header_id|&gt;assistant&lt;|end_header_id|&gt;
</t>
  </si>
  <si>
    <t>For the BR reactor,-r_{A} =k\times c_{A}^2\times c_{B}^3 kmol/(L*min), c_{A} =c_{A0} \times (1-x_{A} ), c_{B} =c_{B0}- c_{A0} \times x_{A}, the residence time \tau is obtained by c_{A0}\times\int_{0}^{x_{f}}\frac{dx_{A}}{-r_{A}}. And the reactor volume is \frac{(\tau + t_{assist} )\times Q}{f} The calculated reactor volume V is 0.25 Cubic Meters.</t>
  </si>
  <si>
    <t>For the BR reactor,-r_{A} =k\times c_{A}^2\times c_{B}^3 kmol/(L*min), c_{A} =c_{A0} \times (1-x_{A} ), c_{B} =c_{B0}- c_{A0} \times x_{A}, the residence time \tau is obtained by c_{A0}\times\int_{0}^{x_{f}}\frac{dx_{A}}{-r_{A}}. And the reactor volume is \frac{(\tau + t_{assist} )\times Q}{f} The calculated reactor volume V is 0.86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</si>
  <si>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0.6.&lt;|eot_id|&gt;&lt;|start_header_id|&gt;assistant&lt;|end_header_id|&gt;
</t>
  </si>
  <si>
    <t>For the BR reactor,-r_{A} =k\times c_{A}^2 kmol/(L*min), c_{A} =c_{A0} \times (1-x_{A} ),the residence time \tau is obtained by c_{A0}\times\int_{0}^{x_{f}}\frac{dx_{A}}{-r_{A}}. The residence time \tau of the BR reactor is 0.53 h.</t>
  </si>
  <si>
    <t>For the BR reactor,-r_{A} =k\times c_{A}^2 kmol/(L*min), c_{A} =c_{A0} \times (1-x_{A} ),the residence time \tau is obtained by c_{A0}\times\int_{0}^{x_{f}}\frac{dx_{A}}{-r_{A}}. The residence time \tau of the BR reactor is 0.51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</si>
  <si>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0.71.&lt;|eot_id|&gt;&lt;|start_header_id|&gt;assistant&lt;|end_header_id|&gt;
</t>
  </si>
  <si>
    <t>For the CSTR reactor,-r_{A} =k\times c_{A}^1 kmol/(L*min), c_{A} =c_{A0} \times (1-x_{A} ) the residence time \tau is calculated by \frac{c_{A0} \times x_{f} }{-r_{A} }. And the reactor volume is \tau \times Q The calculated reactor volume V is 246.41 Cubic Meters.</t>
  </si>
  <si>
    <t>For the CSTR reactor,-r_{A} =k\times c_{A}^1 kmol/(L*min), c_{A} =c_{A0} \times (1-x_{A} ) the residence time \tau is calculated by \frac{c_{A0} \times x_{f} }{-r_{A} }. And the reactor volume is \tau \times Q The calculated reactor volume V is 469.66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</si>
  <si>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kmol/m3.&lt;|eot_id|&gt;&lt;|start_header_id|&gt;assistant&lt;|end_header_id|&gt;
</t>
  </si>
  <si>
    <t>For the CSTR reactor,-r_{A} =k\times c_{A}^3\times c_{B}^3 kmol/(L*min), c_{A} =c_{A0} \times (1-x_{A} ), c_{B} =c_{B0}- c_{A0} \times x_{A}, the residence time \tau is calculated by \frac{c_{A0} \times x_{f} }{-r_{A} }. And the reactor volume is \tau \times Q The calculated reactor volume V is 0.84 Cubic Meters.</t>
  </si>
  <si>
    <t>For the CSTR reactor,-r_{A} =k\times c_{A}^3\times c_{B}^3 kmol/(L*min), c_{A} =c_{A0} \times (1-x_{A} ), c_{B} =c_{B0}- c_{A0} \times x_{A}, the residence time \tau is calculated by \frac{c_{A0} \times x_{f} }{-r_{A} }. And the reactor volume is \tau \times Q The calculated reactor volume V is 0.93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</si>
  <si>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kmol/m3.&lt;|eot_id|&gt;&lt;|start_header_id|&gt;assistant&lt;|end_header_id|&gt;
</t>
  </si>
  <si>
    <t>For the PFR reactor,-r_{A} =k\times c_{A}^2 kmol/(L*min), c_{A} =c_{A0} \times (1-x_{A} ),the residence time \tau is obtained by c_{A0}\times\int_{0}^{x_{f}}\frac{dx_{A}}{-r_{A}}. And the reactor volume is \tau \times Q The calculated reactor volume V is 104.45 Cubic Meters.</t>
  </si>
  <si>
    <t>For the PFR reactor,-r_{A} =k\times c_{A}^2 kmol/(L*min), c_{A} =c_{A0} \times (1-x_{A} ),the residence time \tau is obtained by c_{A0}\times\int_{0}^{x_{f}}\frac{dx_{A}}{-r_{A}}. And the reactor volume is \tau \times Q The calculated reactor volume V is 450.62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</si>
  <si>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</si>
  <si>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4.49 Cubic Meters.</t>
  </si>
  <si>
    <t>For the BR reactor,-r_{A} =k\times c_{A}^2 kmol/(L*min), c_{A} =c_{A0} \times (1-x_{A} ),the residence time \tau is obtained by c_{A0}\times\int_{0}^{x_{f}}\frac{dx_{A}}{-r_{A}}. And the reactor volume is \frac{(\tau + t_{assist} )\times Q}{f} The calculated reactor volume V is 24.2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</si>
  <si>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0.72.&lt;|eot_id|&gt;&lt;|start_header_id|&gt;assistant&lt;|end_header_id|&gt;
</t>
  </si>
  <si>
    <t>For the PFR reactor,-r_{A} =k\times c_{A}^2 kmol/(L*min), c_{A} =c_{A0} \times (1-x_{A} ),the residence time \tau is obtained by c_{A0}\times\int_{0}^{x_{f}}\frac{dx_{A}}{-r_{A}}. The residence time \tau of the PFR reactor is 0.86 h.</t>
  </si>
  <si>
    <t>For the PFR reactor,-r_{A} =k\times c_{A}^2 kmol/(L*min), c_{A} =c_{A0} \times (1-x_{A} ),the residence time \tau is obtained by c_{A0}\times\int_{0}^{x_{f}}\frac{dx_{A}}{-r_{A}}. The residence time \tau of the PFR reactor is 0.49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</si>
  <si>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kmol/m3.&lt;|eot_id|&gt;&lt;|start_header_id|&gt;assistant&lt;|end_header_id|&gt;
</t>
  </si>
  <si>
    <t>For the CSTR reactor,-r_{A} =k\times c_{A}^2 kmol/(L*min), c_{A} =c_{A0} \times (1-x_{A} ) the residence time \tau is calculated by \frac{c_{A0} \times x_{f} }{-r_{A} }. The residence time \tau of the CSTR reactor is 12.11 h.</t>
  </si>
  <si>
    <t>For the CSTR reactor,-r_{A} =k\times c_{A}^2 kmol/(L*min), c_{A} =c_{A0} \times (1-x_{A} ) the residence time \tau is calculated by \frac{c_{A0} \times x_{f} }{-r_{A} }. The residence time \tau of the CSTR reactor is 15.76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</si>
  <si>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kmol/m3.&lt;|eot_id|&gt;&lt;|start_header_id|&gt;assistant&lt;|end_header_id|&gt;
</t>
  </si>
  <si>
    <t>For the PFR reactor,-r_{A} =k\times c_{A}^3 kmol/(L*min), c_{A} =c_{A0} \times (1-x_{A} ),the residence time \tau is obtained by c_{A0}\times\int_{0}^{x_{f}}\frac{dx_{A}}{-r_{A}}. The residence time \tau of the PFR reactor is 68.15 h.</t>
  </si>
  <si>
    <t>For the PFR reactor,-r_{A} =k\times c_{A}^3 kmol/(L*min), c_{A} =c_{A0} \times (1-x_{A} ),the residence time \tau is obtained by c_{A0}\times\int_{0}^{x_{f}}\frac{dx_{A}}{-r_{A}}. The residence time \tau of the PFR reactor is 4.76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</si>
  <si>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kmol/m3.&lt;|eot_id|&gt;&lt;|start_header_id|&gt;assistant&lt;|end_header_id|&gt;
</t>
  </si>
  <si>
    <t>For the BR reactor,-r_{A} =k\times c_{A}^2\times c_{B}^2 kmol/(L*min), c_{A} =c_{A0} \times (1-x_{A} ), c_{B} =c_{B0} - c_{A0} \times x_{A}, the residence time \tau is obtained by c_{A0}\times\int_{0}^{x_{f}}\frac{dx_{A}}{-r_{A}}. The residence time \tau of the BR reactor is 0.08 h.</t>
  </si>
  <si>
    <t>For the BR reactor,-r_{A} =k\times c_{A}^2\times c_{B}^2 kmol/(L*min), c_{A} =c_{A0} \times (1-x_{A} ), c_{B} =c_{B0} - c_{A0} \times x_{A}, the residence time \tau is obtained by c_{A0}\times\int_{0}^{x_{f}}\frac{dx_{A}}{-r_{A}}. The residence time \tau of the BR reactor is 0.09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</si>
  <si>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0.74.&lt;|eot_id|&gt;&lt;|start_header_id|&gt;assistant&lt;|end_header_id|&gt;
</t>
  </si>
  <si>
    <t>For the CSTR reactor,-r_{A} =k\times c_{A}^3\times c_{B}^2 kmol/(L*min), c_{A} =c_{A0} \times (1-x_{A} ), c_{B} =c_{B0}- c_{A0} \times x_{A}, the residence time \tau is calculated by \frac{c_{A0} \times x_{f} }{-r_{A} }. The residence time \tau of the CSTR reactor is 1453.49 h.</t>
  </si>
  <si>
    <t>For the CSTR reactor,-r_{A} =k\times c_{A}^3\times c_{B}^2 kmol/(L*min), c_{A} =c_{A0} \times (1-x_{A} ), c_{B} =c_{B0}- c_{A0} \times x_{A}, the residence time \tau is calculated by \frac{c_{A0} \times x_{f} }{-r_{A} }. The residence time \tau of the CSTR reactor is 12.63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</si>
  <si>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kmol/m3.&lt;|eot_id|&gt;&lt;|start_header_id|&gt;assistant&lt;|end_header_id|&gt;
</t>
  </si>
  <si>
    <t>For the BR reactor,-r_{A} =k\times c_{A}^2\times c_{B}^2 kmol/(L*min), c_{A} =c_{A0} \times (1-x_{A} ), c_{B} =c_{B0}- c_{A0} \times x_{A}, the residence time \tau is obtained by c_{A0}\times\int_{0}^{x_{f}}\frac{dx_{A}}{-r_{A}}. And the reactor volume is \frac{(\tau + t_{assist} )\times Q}{f} The calculated reactor volume V is 0.04 Cubic Meters.</t>
  </si>
  <si>
    <t>For the BR reactor,-r_{A} =k\times c_{A}^2\times c_{B}^2 kmol/(L*min), c_{A} =c_{A0} \times (1-x_{A} ), c_{B} =c_{B0}- c_{A0} \times x_{A}, the residence time \tau is obtained by c_{A0}\times\int_{0}^{x_{f}}\frac{dx_{A}}{-r_{A}}. And the reactor volume is \frac{(\tau + t_{assist} )\times Q}{f} The calculated reactor volume V is 174.61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</si>
  <si>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0.49.&lt;|eot_id|&gt;&lt;|start_header_id|&gt;assistant&lt;|end_header_id|&gt;
</t>
  </si>
  <si>
    <t>For the CSTR reactor,-r_{A} =k\times c_{A}^1\times c_{B}^2 kmol/(L*min), c_{A} =c_{A0} \times (1-x_{A} ), c_{B} =c_{B0}- c_{A0} \times x_{A}, the residence time \tau is calculated by \frac{c_{A0} \times x_{f} }{-r_{A} }. And the reactor volume is \tau \times Q The calculated reactor volume V is 11.92 Cubic Meters.</t>
  </si>
  <si>
    <t>For the CSTR reactor,-r_{A} =k\times c_{A}^1\times c_{B}^2 kmol/(L*min), c_{A} =c_{A0} \times (1-x_{A} ), c_{B} =c_{B0}- c_{A0} \times x_{A}, the residence time \tau is calculated by \frac{c_{A0} \times x_{f} }{-r_{A} }. And the reactor volume is \tau \times Q The calculated reactor volume V is 2.746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</si>
  <si>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kmol/m3.&lt;|eot_id|&gt;&lt;|start_header_id|&gt;assistant&lt;|end_header_id|&gt;
</t>
  </si>
  <si>
    <t>For the PFR reactor,-r_{A} =k\times c_{A}^2\times c_{B}^3 kmol/(L*min), c_{A} =c_{A0} \times (1-x_{A} ), c_{B} =c_{B0}- c_{A0} \times x_{A}, the residence time \tau is obtained by c_{A0}\times\int_{0}^{x_{f}}\frac{dx_{A}}{-r_{A}}. And the reactor volume is \tau \times Q The calculated reactor volume V is 2.63 Cubic Meters.</t>
  </si>
  <si>
    <t>For the PFR reactor,-r_{A} =k\times c_{A}^2\times c_{B}^3 kmol/(L*min), c_{A} =c_{A0} \times (1-x_{A} ), c_{B} =c_{B0}- c_{A0} \times x_{A}, the residence time \tau is obtained by c_{A0}\times\int_{0}^{x_{f}}\frac{dx_{A}}{-r_{A}}. And the reactor volume is \tau \times Q The calculated reactor volume V is 0.25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</si>
  <si>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kmol/m3.&lt;|eot_id|&gt;&lt;|start_header_id|&gt;assistant&lt;|end_header_id|&gt;
</t>
  </si>
  <si>
    <t>For the CSTR reactor,-r_{A} =k\times c_{A}^1 kmol/(L*min), c_{A} =c_{A0} \times (1-x_{A} ) the residence time \tau is calculated by \frac{c_{A0} \times x_{f} }{-r_{A} }. And the reactor volume is \tau \times Q The calculated reactor volume V is 0.29 Cubic Meters.</t>
  </si>
  <si>
    <t>For the CSTR reactor,-r_{A} =k\times c_{A}^1 kmol/(L*min), c_{A} =c_{A0} \times (1-x_{A} ) the residence time \tau is calculated by \frac{c_{A0} \times x_{f} }{-r_{A} }. And the reactor volume is \tau \times Q The calculated reactor volume V is 0.07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</si>
  <si>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kmol/m3.&lt;|eot_id|&gt;&lt;|start_header_id|&gt;assistant&lt;|end_header_id|&gt;
</t>
  </si>
  <si>
    <t>For the PFR reactor,-r_{A} =k\times c_{A}^3\times c_{B}^2 kmol/(L*min), c_{A} =c_{A0} \times (1-x_{A} ), c_{B} =c_{B0} - c_{A0} \times x_{A}, the residence time \tau is obtained by c_{A0}\times\int_{0}^{x_{f}}\frac{dx_{A}}{-r_{A}}. The residence time \tau of the PFR reactor is 3.36 h.</t>
  </si>
  <si>
    <t>For the PFR reactor,-r_{A} =k\times c_{A}^3\times c_{B}^2 kmol/(L*min), c_{A} =c_{A0} \times (1-x_{A} ), c_{B} =c_{B0} - c_{A0} \times x_{A}, the residence time \tau is obtained by c_{A0}\times\int_{0}^{x_{f}}\frac{dx_{A}}{-r_{A}}. The residence time \tau of the PFR reactor is 2.62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</si>
  <si>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kmol/m3.&lt;|eot_id|&gt;&lt;|start_header_id|&gt;assistant&lt;|end_header_id|&gt;
</t>
  </si>
  <si>
    <t>For the PFR reactor,-r_{A} =k\times c_{A}^3 kmol/(L*min), c_{A} =c_{A0} \times (1-x_{A} ),the residence time \tau is obtained by c_{A0}\times\int_{0}^{x_{f}}\frac{dx_{A}}{-r_{A}}. And the reactor volume is \tau \times Q The calculated reactor volume V is 0.07 Cubic Meters.</t>
  </si>
  <si>
    <t>For the PFR reactor,-r_{A} =k\times c_{A}^3 kmol/(L*min), c_{A} =c_{A0} \times (1-x_{A} ),the residence time \tau is obtained by c_{A0}\times\int_{0}^{x_{f}}\frac{dx_{A}}{-r_{A}}. And the reactor volume is \tau \times Q The calculated reactor volume V is 0.19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</si>
  <si>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kmol/m3.&lt;|eot_id|&gt;&lt;|start_header_id|&gt;assistant&lt;|end_header_id|&gt;
</t>
  </si>
  <si>
    <t>For the BR reactor,-r_{A} =k\times c_{A}^3\times c_{B}^2 kmol/(L*min), c_{A} =c_{A0} \times (1-x_{A} ), c_{B} =c_{B0} - c_{A0} \times x_{A}, the residence time \tau is obtained by c_{A0}\times\int_{0}^{x_{f}}\frac{dx_{A}}{-r_{A}}. The residence time \tau of the BR reactor is 26.13 h.</t>
  </si>
  <si>
    <t>For the BR reactor,-r_{A} =k\times c_{A}^3\times c_{B}^2 kmol/(L*min), c_{A} =c_{A0} \times (1-x_{A} ), c_{B} =c_{B0} - c_{A0} \times x_{A}, the residence time \tau is obtained by c_{A0}\times\int_{0}^{x_{f}}\frac{dx_{A}}{-r_{A}}. The residence time \tau of the BR reactor is 9818.76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</si>
  <si>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0.63.&lt;|eot_id|&gt;&lt;|start_header_id|&gt;assistant&lt;|end_header_id|&gt;
</t>
  </si>
  <si>
    <t>For the PFR reactor,-r_{A} =k\times c_{A}^2 kmol/(L*min), c_{A} =c_{A0} \times (1-x_{A} ),the residence time \tau is obtained by c_{A0}\times\int_{0}^{x_{f}}\frac{dx_{A}}{-r_{A}}. And the reactor volume is \tau \times Q The calculated reactor volume V is 1.06 Cubic Meters.</t>
  </si>
  <si>
    <t>For the PFR reactor,-r_{A} =k\times c_{A}^2 kmol/(L*min), c_{A} =c_{A0} \times (1-x_{A} ),the residence time \tau is obtained by c_{A0}\times\int_{0}^{x_{f}}\frac{dx_{A}}{-r_{A}}. And the reactor volume is \tau \times Q The calculated reactor volume V is 0.94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</si>
  <si>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kmol/m3.&lt;|eot_id|&gt;&lt;|start_header_id|&gt;assistant&lt;|end_header_id|&gt;
</t>
  </si>
  <si>
    <t>For the BR reactor,-r_{A} =k\times c_{A}^2 kmol/(L*min), c_{A} =c_{A0} \times (1-x_{A} ),the residence time \tau is obtained by c_{A0}\times\int_{0}^{x_{f}}\frac{dx_{A}}{-r_{A}}. The residence time \tau of the BR reactor is 33.21 h.</t>
  </si>
  <si>
    <t>For the BR reactor,-r_{A} =k\times c_{A}^2 kmol/(L*min), c_{A} =c_{A0} \times (1-x_{A} ),the residence time \tau is obtained by c_{A0}\times\int_{0}^{x_{f}}\frac{dx_{A}}{-r_{A}}. The residence time \tau of the BR reactor is 18.17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</si>
  <si>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0.43.&lt;|eot_id|&gt;&lt;|start_header_id|&gt;assistant&lt;|end_header_id|&gt;
</t>
  </si>
  <si>
    <t>For the PFR reactor,-r_{A} =k\times c_{A}^1\times c_{B}^1 kmol/(L*min), c_{A} =c_{A0} \times (1-x_{A} ), c_{B} =c_{B0}- c_{A0} \times x_{A}, the residence time \tau is obtained by c_{A0}\times\int_{0}^{x_{f}}\frac{dx_{A}}{-r_{A}}. And the reactor volume is \tau \times Q The calculated reactor volume V is 0.59 Cubic Meters.</t>
  </si>
  <si>
    <t>For the PFR reactor,-r_{A} =k\times c_{A}^1\times c_{B}^1 kmol/(L*min), c_{A} =c_{A0} \times (1-x_{A} ), c_{B} =c_{B0}- c_{A0} \times x_{A}, the residence time \tau is obtained by c_{A0}\times\int_{0}^{x_{f}}\frac{dx_{A}}{-r_{A}}. And the reactor volume is \tau \times Q The calculated reactor volume V is 0.72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</si>
  <si>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</si>
  <si>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5.84 Cubic Meters.</t>
  </si>
  <si>
    <t>For the BR reactor,-r_{A} =k\times c_{A}^2 kmol/(L*min), c_{A} =c_{A0} \times (1-x_{A} ),the residence time \tau is obtained by c_{A0}\times\int_{0}^{x_{f}}\frac{dx_{A}}{-r_{A}}. And the reactor volume is \frac{(\tau + t_{assist} )\times Q}{f} The calculated reactor volume V is 10.88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</si>
  <si>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0.54.&lt;|eot_id|&gt;&lt;|start_header_id|&gt;assistant&lt;|end_header_id|&gt;
</t>
  </si>
  <si>
    <t>For the PFR reactor,-r_{A} =k\times c_{A}^3\times c_{B}^3 kmol/(L*min), c_{A} =c_{A0} \times (1-x_{A} ), c_{B} =c_{B0} - c_{A0} \times x_{A}, the residence time \tau is obtained by c_{A0}\times\int_{0}^{x_{f}}\frac{dx_{A}}{-r_{A}}. The residence time \tau of the PFR reactor is 0.03 h.</t>
  </si>
  <si>
    <t>For the PFR reactor,-r_{A} =k\times c_{A}^3\times c_{B}^3 kmol/(L*min), c_{A} =c_{A0} \times (1-x_{A} ), c_{B} =c_{B0} - c_{A0} \times x_{A}, the residence time \tau is obtained by c_{A0}\times\int_{0}^{x_{f}}\frac{dx_{A}}{-r_{A}}. The residence time \tau of the PFR reactor is 0.18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</si>
  <si>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kmol/m3.&lt;|eot_id|&gt;&lt;|start_header_id|&gt;assistant&lt;|end_header_id|&gt;
</t>
  </si>
  <si>
    <t>For the CSTR reactor,-r_{A} =k\times c_{A}^2\times c_{B}^2 kmol/(L*min), c_{A} =c_{A0} \times (1-x_{A} ), c_{B} =c_{B0}- c_{A0} \times x_{A}, the residence time \tau is calculated by \frac{c_{A0} \times x_{f} }{-r_{A} }. The residence time \tau of the CSTR reactor is 6.2 h.</t>
  </si>
  <si>
    <t>For the CSTR reactor,-r_{A} =k\times c_{A}^2\times c_{B}^2 kmol/(L*min), c_{A} =c_{A0} \times (1-x_{A} ), c_{B} =c_{B0}- c_{A0} \times x_{A}, the residence time \tau is calculated by \frac{c_{A0} \times x_{f} }{-r_{A} }. The residence time \tau of the CSTR reactor is 24.79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</si>
  <si>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kmol/m3.&lt;|eot_id|&gt;&lt;|start_header_id|&gt;assistant&lt;|end_header_id|&gt;
</t>
  </si>
  <si>
    <t>For the CSTR reactor,-r_{A} =k\times c_{A}^3\times c_{B}^3 kmol/(L*min), c_{A} =c_{A0} \times (1-x_{A} ), c_{B} =c_{B0}- c_{A0} \times x_{A}, the residence time \tau is calculated by \frac{c_{A0} \times x_{f} }{-r_{A} }. The residence time \tau of the CSTR reactor is 9.53 h.</t>
  </si>
  <si>
    <t>For the CSTR reactor,-r_{A} =k\times c_{A}^3\times c_{B}^3 kmol/(L*min), c_{A} =c_{A0} \times (1-x_{A} ), c_{B} =c_{B0}- c_{A0} \times x_{A}, the residence time \tau is calculated by \frac{c_{A0} \times x_{f} }{-r_{A} }. The residence time \tau of the CSTR reactor is 5.54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</si>
  <si>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kmol/m3.&lt;|eot_id|&gt;&lt;|start_header_id|&gt;assistant&lt;|end_header_id|&gt;
</t>
  </si>
  <si>
    <t>For the PFR reactor,-r_{A} =k\times c_{A}^2 kmol/(L*min), c_{A} =c_{A0} \times (1-x_{A} ),the residence time \tau is obtained by c_{A0}\times\int_{0}^{x_{f}}\frac{dx_{A}}{-r_{A}}. The residence time \tau of the PFR reactor is 1.21 h.</t>
  </si>
  <si>
    <t>For the PFR reactor,-r_{A} =k\times c_{A}^2 kmol/(L*min), c_{A} =c_{A0} \times (1-x_{A} ),the residence time \tau is obtained by c_{A0}\times\int_{0}^{x_{f}}\frac{dx_{A}}{-r_{A}}. The residence time \tau of the PFR reactor is 3.79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</si>
  <si>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kmol/m3.&lt;|eot_id|&gt;&lt;|start_header_id|&gt;assistant&lt;|end_header_id|&gt;
</t>
  </si>
  <si>
    <t>For the PFR reactor,-r_{A} =k\times c_{A}^2 kmol/(L*min), c_{A} =c_{A0} \times (1-x_{A} ),the residence time \tau is obtained by c_{A0}\times\int_{0}^{x_{f}}\frac{dx_{A}}{-r_{A}}. And the reactor volume is \tau \times Q The calculated reactor volume V is 0.52 Cubic Meters.</t>
  </si>
  <si>
    <t>For the PFR reactor,-r_{A} =k\times c_{A}^2 kmol/(L*min), c_{A} =c_{A0} \times (1-x_{A} ),the residence time \tau is obtained by c_{A0}\times\int_{0}^{x_{f}}\frac{dx_{A}}{-r_{A}}. And the reactor volume is \tau \times Q The calculated reactor volume V is 0.2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</si>
  <si>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kmol/m3.&lt;|eot_id|&gt;&lt;|start_header_id|&gt;assistant&lt;|end_header_id|&gt;
</t>
  </si>
  <si>
    <t>For the BR reactor,-r_{A} =k\times c_{A}^1 kmol/(L*min), c_{A} =c_{A0} \times (1-x_{A} ),the residence time \tau is obtained by c_{A0}\times\int_{0}^{x_{f}}\frac{dx_{A}}{-r_{A}}. And the reactor volume is \frac{(\tau + t_{assist} )\times Q}{f} The calculated reactor volume V is 2.43 Cubic Meters.</t>
  </si>
  <si>
    <t>For the BR reactor,-r_{A} =k\times c_{A}^1 kmol/(L*min), c_{A} =c_{A0} \times (1-x_{A} ),the residence time \tau is obtained by c_{A0}\times\int_{0}^{x_{f}}\frac{dx_{A}}{-r_{A}}. And the reactor volume is \frac{(\tau + t_{assist} )\times Q}{f} The calculated reactor volume V is 5.13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</si>
  <si>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0.77.&lt;|eot_id|&gt;&lt;|start_header_id|&gt;assistant&lt;|end_header_id|&gt;
</t>
  </si>
  <si>
    <t>For the PFR reactor,-r_{A} =k\times c_{A}^3 kmol/(L*min), c_{A} =c_{A0} \times (1-x_{A} ),the residence time \tau is obtained by c_{A0}\times\int_{0}^{x_{f}}\frac{dx_{A}}{-r_{A}}. The residence time \tau of the PFR reactor is 0.24 h.</t>
  </si>
  <si>
    <t>For the PFR reactor,-r_{A} =k\times c_{A}^3 kmol/(L*min), c_{A} =c_{A0} \times (1-x_{A} ),the residence time \tau is obtained by c_{A0}\times\int_{0}^{x_{f}}\frac{dx_{A}}{-r_{A}}. The residence time \tau of the PFR reactor is 0.7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</si>
  <si>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</si>
  <si>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10.33 h.</t>
  </si>
  <si>
    <t>For the BR reactor,-r_{A} =k\times c_{A}^1\times c_{B}^2 kmol/(L*min), c_{A} =c_{A0} \times (1-x_{A} ), c_{B} =c_{B0} - c_{A0} \times x_{A}, the residence time \tau is obtained by c_{A0}\times\int_{0}^{x_{f}}\frac{dx_{A}}{-r_{A}}. The residence time \tau of the BR reactor is 3.33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</si>
  <si>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0.67.&lt;|eot_id|&gt;&lt;|start_header_id|&gt;assistant&lt;|end_header_id|&gt;
</t>
  </si>
  <si>
    <t>For the PFR reactor,-r_{A} =k\times c_{A}^3 kmol/(L*min), c_{A} =c_{A0} \times (1-x_{A} ),the residence time \tau is obtained by c_{A0}\times\int_{0}^{x_{f}}\frac{dx_{A}}{-r_{A}}. And the reactor volume is \tau \times Q The calculated reactor volume V is 0.36 Cubic Meters.</t>
  </si>
  <si>
    <t>For the PFR reactor,-r_{A} =k\times c_{A}^3 kmol/(L*min), c_{A} =c_{A0} \times (1-x_{A} ),the residence time \tau is obtained by c_{A0}\times\int_{0}^{x_{f}}\frac{dx_{A}}{-r_{A}}. And the reactor volume is \tau \times Q The calculated reactor volume V is 1.61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</si>
  <si>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kmol/m3.&lt;|eot_id|&gt;&lt;|start_header_id|&gt;assistant&lt;|end_header_id|&gt;
</t>
  </si>
  <si>
    <t>For the CSTR reactor,-r_{A} =k\times c_{A}^2 kmol/(L*min), c_{A} =c_{A0} \times (1-x_{A} ) the residence time \tau is calculated by \frac{c_{A0} \times x_{f} }{-r_{A} }. And the reactor volume is \tau \times Q The calculated reactor volume V is 31.94 Cubic Meters.</t>
  </si>
  <si>
    <t>For the CSTR reactor,-r_{A} =k\times c_{A}^2 kmol/(L*min), c_{A} =c_{A0} \times (1-x_{A} ) the residence time \tau is calculated by \frac{c_{A0} \times x_{f} }{-r_{A} }. And the reactor volume is \tau \times Q The calculated reactor volume V is 144.81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</si>
  <si>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kmol/m3.&lt;|eot_id|&gt;&lt;|start_header_id|&gt;assistant&lt;|end_header_id|&gt;
</t>
  </si>
  <si>
    <t>For the CSTR reactor,-r_{A} =k\times c_{A}^1 kmol/(L*min), c_{A} =c_{A0} \times (1-x_{A} ) the residence time \tau is calculated by \frac{c_{A0} \times x_{f} }{-r_{A} }. The residence time \tau of the CSTR reactor is 29.55 h.</t>
  </si>
  <si>
    <t>For the CSTR reactor,-r_{A} =k\times c_{A}^1 kmol/(L*min), c_{A} =c_{A0} \times (1-x_{A} ) the residence time \tau is calculated by \frac{c_{A0} \times x_{f} }{-r_{A} }. The residence time \tau of the CSTR reactor is 26.91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</si>
  <si>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kmol/m3.&lt;|eot_id|&gt;&lt;|start_header_id|&gt;assistant&lt;|end_header_id|&gt;
</t>
  </si>
  <si>
    <t>For the CSTR reactor,-r_{A} =k\times c_{A}^2\times c_{B}^1 kmol/(L*min), c_{A} =c_{A0} \times (1-x_{A} ), c_{B} =c_{B0}- c_{A0} \times x_{A}, the residence time \tau is calculated by \frac{c_{A0} \times x_{f} }{-r_{A} }. And the reactor volume is \tau \times Q The calculated reactor volume V is 3.29 Cubic Meters.</t>
  </si>
  <si>
    <t>For the CSTR reactor,-r_{A} =k\times c_{A}^2\times c_{B}^1 kmol/(L*min), c_{A} =c_{A0} \times (1-x_{A} ), c_{B} =c_{B0}- c_{A0} \times x_{A}, the residence time \tau is calculated by \frac{c_{A0} \times x_{f} }{-r_{A} }. And the reactor volume is \tau \times Q The calculated reactor volume V is 0.21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</si>
  <si>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kmol/m3.&lt;|eot_id|&gt;&lt;|start_header_id|&gt;assistant&lt;|end_header_id|&gt;
</t>
  </si>
  <si>
    <t>For the CSTR reactor,-r_{A} =k\times c_{A}^2\times c_{B}^2 kmol/(L*min), c_{A} =c_{A0} \times (1-x_{A} ), c_{B} =c_{B0}- c_{A0} \times x_{A}, the residence time \tau is calculated by \frac{c_{A0} \times x_{f} }{-r_{A} }. And the reactor volume is \tau \times Q The calculated reactor volume V is 9.62 Cubic Meters.</t>
  </si>
  <si>
    <t>For the CSTR reactor,-r_{A} =k\times c_{A}^2\times c_{B}^2 kmol/(L*min), c_{A} =c_{A0} \times (1-x_{A} ), c_{B} =c_{B0}- c_{A0} \times x_{A}, the residence time \tau is calculated by \frac{c_{A0} \times x_{f} }{-r_{A} }. And the reactor volume is \tau \times Q The calculated reactor volume V is 0.34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</si>
  <si>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kmol/m3.&lt;|eot_id|&gt;&lt;|start_header_id|&gt;assistant&lt;|end_header_id|&gt;
</t>
  </si>
  <si>
    <t>For the PFR reactor,-r_{A} =k\times c_{A}^1 kmol/(L*min), c_{A} =c_{A0} \times (1-x_{A} ),the residence time \tau is obtained by c_{A0}\times\int_{0}^{x_{f}}\frac{dx_{A}}{-r_{A}}. The residence time \tau of the PFR reactor is 1.23 h.</t>
  </si>
  <si>
    <t>For the PFR reactor,-r_{A} =k\times c_{A}^1 kmol/(L*min), c_{A} =c_{A0} \times (1-x_{A} ),the residence time \tau is obtained by c_{A0}\times\int_{0}^{x_{f}}\frac{dx_{A}}{-r_{A}}. The residence time \tau of the PFR reactor is 1.35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</si>
  <si>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kmol/m3.&lt;|eot_id|&gt;&lt;|start_header_id|&gt;assistant&lt;|end_header_id|&gt;
</t>
  </si>
  <si>
    <t>For the BR reactor,-r_{A} =k\times c_{A}^1 kmol/(L*min), c_{A} =c_{A0} \times (1-x_{A} ),the residence time \tau is obtained by c_{A0}\times\int_{0}^{x_{f}}\frac{dx_{A}}{-r_{A}}. The residence time \tau of the BR reactor is 2.15 h.</t>
  </si>
  <si>
    <t>For the BR reactor,-r_{A} =k\times c_{A}^1 kmol/(L*min), c_{A} =c_{A0} \times (1-x_{A} ),the residence time \tau is obtained by c_{A0}\times\int_{0}^{x_{f}}\frac{dx_{A}}{-r_{A}}. The residence time \tau of the BR reactor is 2.92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</si>
  <si>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0.57.&lt;|eot_id|&gt;&lt;|start_header_id|&gt;assistant&lt;|end_header_id|&gt;
</t>
  </si>
  <si>
    <t>For the CSTR reactor,-r_{A} =k\times c_{A}^3\times c_{B}^2 kmol/(L*min), c_{A} =c_{A0} \times (1-x_{A} ), c_{B} =c_{B0}- c_{A0} \times x_{A}, the residence time \tau is calculated by \frac{c_{A0} \times x_{f} }{-r_{A} }. And the reactor volume is \tau \times Q The calculated reactor volume V is 0.86 Cubic Meters.</t>
  </si>
  <si>
    <t>For the CSTR reactor,-r_{A} =k\times c_{A}^3\times c_{B}^2 kmol/(L*min), c_{A} =c_{A0} \times (1-x_{A} ), c_{B} =c_{B0}- c_{A0} \times x_{A}, the residence time \tau is calculated by \frac{c_{A0} \times x_{f} }{-r_{A} }. And the reactor volume is \tau \times Q The calculated reactor volume V is 0.18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</si>
  <si>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kmol/m3.&lt;|eot_id|&gt;&lt;|start_header_id|&gt;assistant&lt;|end_header_id|&gt;
</t>
  </si>
  <si>
    <t>For the CSTR reactor,-r_{A} =k\times c_{A}^2 kmol/(L*min), c_{A} =c_{A0} \times (1-x_{A} ) the residence time \tau is calculated by \frac{c_{A0} \times x_{f} }{-r_{A} }. And the reactor volume is \tau \times Q The calculated reactor volume V is 11462.34 Cubic Meters.</t>
  </si>
  <si>
    <t>For the CSTR reactor,-r_{A} =k\times c_{A}^2 kmol/(L*min), c_{A} =c_{A0} \times (1-x_{A} ) the residence time \tau is calculated by \frac{c_{A0} \times x_{f} }{-r_{A} }. And the reactor volume is \tau \times Q The calculated reactor volume V is 484.24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</si>
  <si>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kmol/m3.&lt;|eot_id|&gt;&lt;|start_header_id|&gt;assistant&lt;|end_header_id|&gt;
</t>
  </si>
  <si>
    <t>For the PFR reactor,-r_{A} =k\times c_{A}^1\times c_{B}^2 kmol/(L*min), c_{A} =c_{A0} \times (1-x_{A} ), c_{B} =c_{B0} - c_{A0} \times x_{A}, the residence time \tau is obtained by c_{A0}\times\int_{0}^{x_{f}}\frac{dx_{A}}{-r_{A}}. The residence time \tau of the PFR reactor is 0.43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</si>
  <si>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kmol/m3.&lt;|eot_id|&gt;&lt;|start_header_id|&gt;assistant&lt;|end_header_id|&gt;
</t>
  </si>
  <si>
    <t>For the BR reactor,-r_{A} =k\times c_{A}^1 kmol/(L*min), c_{A} =c_{A0} \times (1-x_{A} ),the residence time \tau is obtained by c_{A0}\times\int_{0}^{x_{f}}\frac{dx_{A}}{-r_{A}}. The residence time \tau of the BR reactor is 3.21 h.</t>
  </si>
  <si>
    <t>For the BR reactor,-r_{A} =k\times c_{A}^1 kmol/(L*min), c_{A} =c_{A0} \times (1-x_{A} ),the residence time \tau is obtained by c_{A0}\times\int_{0}^{x_{f}}\frac{dx_{A}}{-r_{A}}. The residence time \tau of the BR reactor is 2.32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</si>
  <si>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0.57.&lt;|eot_id|&gt;&lt;|start_header_id|&gt;assistant&lt;|end_header_id|&gt;
</t>
  </si>
  <si>
    <t>For the CSTR reactor,-r_{A} =k\times c_{A}^3 kmol/(L*min), c_{A} =c_{A0} \times (1-x_{A} ) the residence time \tau is calculated by \frac{c_{A0} \times x_{f} }{-r_{A} }. And the reactor volume is \tau \times Q The calculated reactor volume V is 4.06 Cubic Meters.</t>
  </si>
  <si>
    <t>For the CSTR reactor,-r_{A} =k\times c_{A}^3 kmol/(L*min), c_{A} =c_{A0} \times (1-x_{A} ) the residence time \tau is calculated by \frac{c_{A0} \times x_{f} }{-r_{A} }. And the reactor volume is \tau \times Q The calculated reactor volume V is 2.82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</si>
  <si>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kmol/m3.&lt;|eot_id|&gt;&lt;|start_header_id|&gt;assistant&lt;|end_header_id|&gt;
</t>
  </si>
  <si>
    <t>For the CSTR reactor,-r_{A} =k\times c_{A}^2 kmol/(L*min), c_{A} =c_{A0} \times (1-x_{A} ) the residence time \tau is calculated by \frac{c_{A0} \times x_{f} }{-r_{A} }. The residence time \tau of the CSTR reactor is 150.9 h.</t>
  </si>
  <si>
    <t>For the CSTR reactor,-r_{A} =k\times c_{A}^2 kmol/(L*min), c_{A} =c_{A0} \times (1-x_{A} ) the residence time \tau is calculated by \frac{c_{A0} \times x_{f} }{-r_{A} }. The residence time \tau of the CSTR reactor is 224.19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</si>
  <si>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kmol/m3.&lt;|eot_id|&gt;&lt;|start_header_id|&gt;assistant&lt;|end_header_id|&gt;
</t>
  </si>
  <si>
    <t>For the CSTR reactor,-r_{A} =k\times c_{A}^3 kmol/(L*min), c_{A} =c_{A0} \times (1-x_{A} ) the residence time \tau is calculated by \frac{c_{A0} \times x_{f} }{-r_{A} }. And the reactor volume is \tau \times Q The calculated reactor volume V is 0.26 Cubic Meters.</t>
  </si>
  <si>
    <t>For the CSTR reactor,-r_{A} =k\times c_{A}^3 kmol/(L*min), c_{A} =c_{A0} \times (1-x_{A} ) the residence time \tau is calculated by \frac{c_{A0} \times x_{f} }{-r_{A} }. And the reactor volume is \tau \times Q The calculated reactor volume V is 0.34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</si>
  <si>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kmol/m3.&lt;|eot_id|&gt;&lt;|start_header_id|&gt;assistant&lt;|end_header_id|&gt;
</t>
  </si>
  <si>
    <t>For the CSTR reactor,-r_{A} =k\times c_{A}^2 kmol/(L*min), c_{A} =c_{A0} \times (1-x_{A} ) the residence time \tau is calculated by \frac{c_{A0} \times x_{f} }{-r_{A} }. The residence time \tau of the CSTR reactor is 24.13 h.</t>
  </si>
  <si>
    <t>For the CSTR reactor,-r_{A} =k\times c_{A}^2 kmol/(L*min), c_{A} =c_{A0} \times (1-x_{A} ) the residence time \tau is calculated by \frac{c_{A0} \times x_{f} }{-r_{A} }. The residence time \tau of the CSTR reactor is 12.23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</si>
  <si>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kmol/m3.&lt;|eot_id|&gt;&lt;|start_header_id|&gt;assistant&lt;|end_header_id|&gt;
</t>
  </si>
  <si>
    <t>For the CSTR reactor,-r_{A} =k\times c_{A}^2 kmol/(L*min), c_{A} =c_{A0} \times (1-x_{A} ) the residence time \tau is calculated by \frac{c_{A0} \times x_{f} }{-r_{A} }. The residence time \tau of the CSTR reactor is 1828.26 h.</t>
  </si>
  <si>
    <t>For the CSTR reactor,-r_{A} =k\times c_{A}^2 kmol/(L*min), c_{A} =c_{A0} \times (1-x_{A} ) the residence time \tau is calculated by \frac{c_{A0} \times x_{f} }{-r_{A} }. The residence time \tau of the CSTR reactor is 288.79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</si>
  <si>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kmol/m3.&lt;|eot_id|&gt;&lt;|start_header_id|&gt;assistant&lt;|end_header_id|&gt;
</t>
  </si>
  <si>
    <t>For the PFR reactor,-r_{A} =k\times c_{A}^3\times c_{B}^2 kmol/(L*min), c_{A} =c_{A0} \times (1-x_{A} ), c_{B} =c_{B0}- c_{A0} \times x_{A}, the residence time \tau is obtained by c_{A0}\times\int_{0}^{x_{f}}\frac{dx_{A}}{-r_{A}}. And the reactor volume is \tau \times Q The calculated reactor volume V is 0.07 Cubic Meters.</t>
  </si>
  <si>
    <t>For the PFR reactor,-r_{A} =k\times c_{A}^3\times c_{B}^2 kmol/(L*min), c_{A} =c_{A0} \times (1-x_{A} ), c_{B} =c_{B0}- c_{A0} \times x_{A}, the residence time \tau is obtained by c_{A0}\times\int_{0}^{x_{f}}\frac{dx_{A}}{-r_{A}}. And the reactor volume is \tau \times Q The calculated reactor volume V is 0.12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</si>
  <si>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kmol/m3.&lt;|eot_id|&gt;&lt;|start_header_id|&gt;assistant&lt;|end_header_id|&gt;
</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</si>
  <si>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0.62.&lt;|eot_id|&gt;&lt;|start_header_id|&gt;assistant&lt;|end_header_id|&gt;
</t>
  </si>
  <si>
    <t>For the PFR reactor,-r_{A} =k\times c_{A}^3\times c_{B}^2 kmol/(L*min), c_{A} =c_{A0} \times (1-x_{A} ), c_{B} =c_{B0}- c_{A0} \times x_{A}, the residence time \tau is obtained by c_{A0}\times\int_{0}^{x_{f}}\frac{dx_{A}}{-r_{A}}. And the reactor volume is \tau \times Q The calculated reactor volume V is 0.15 Cubic Meters.</t>
  </si>
  <si>
    <t>For the PFR reactor,-r_{A} =k\times c_{A}^3\times c_{B}^2 kmol/(L*min), c_{A} =c_{A0} \times (1-x_{A} ), c_{B} =c_{B0}- c_{A0} \times x_{A}, the residence time \tau is obtained by c_{A0}\times\int_{0}^{x_{f}}\frac{dx_{A}}{-r_{A}}. And the reactor volume is \tau \times Q The calculated reactor volume V is 3.41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</si>
  <si>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kmol/m3.&lt;|eot_id|&gt;&lt;|start_header_id|&gt;assistant&lt;|end_header_id|&gt;
</t>
  </si>
  <si>
    <t>For the CSTR reactor,-r_{A} =k\times c_{A}^1 kmol/(L*min), c_{A} =c_{A0} \times (1-x_{A} ) the residence time \tau is calculated by \frac{c_{A0} \times x_{f} }{-r_{A} }. The residence time \tau of the CSTR reactor is 11.23 h.</t>
  </si>
  <si>
    <t>For the CSTR reactor,-r_{A} =k\times c_{A}^1 kmol/(L*min), c_{A} =c_{A0} \times (1-x_{A} ) the residence time \tau is calculated by \frac{c_{A0} \times x_{f} }{-r_{A} }. The residence time \tau of the CSTR reactor is 5.62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</si>
  <si>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kmol/m3.&lt;|eot_id|&gt;&lt;|start_header_id|&gt;assistant&lt;|end_header_id|&gt;
</t>
  </si>
  <si>
    <t>For the PFR reactor,-r_{A} =k\times c_{A}^2 kmol/(L*min), c_{A} =c_{A0} \times (1-x_{A} ),the residence time \tau is obtained by c_{A0}\times\int_{0}^{x_{f}}\frac{dx_{A}}{-r_{A}}. And the reactor volume is \tau \times Q The calculated reactor volume V is 0.03 Cubic Meters.</t>
  </si>
  <si>
    <t>For the PFR reactor,-r_{A} =k\times c_{A}^2 kmol/(L*min), c_{A} =c_{A0} \times (1-x_{A} ),the residence time \tau is obtained by c_{A0}\times\int_{0}^{x_{f}}\frac{dx_{A}}{-r_{A}}. And the reactor volume is \tau \times Q The calculated reactor volume V is 0.02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</si>
  <si>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</si>
  <si>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0.86 h.</t>
  </si>
  <si>
    <t>For the BR reactor,-r_{A} =k\times c_{A}^1\times c_{B}^2 kmol/(L*min), c_{A} =c_{A0} \times (1-x_{A} ), c_{B} =c_{B0} - c_{A0} \times x_{A}, the residence time \tau is obtained by c_{A0}\times\int_{0}^{x_{f}}\frac{dx_{A}}{-r_{A}}. The residence time \tau of the BR reactor is 0.62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</si>
  <si>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0.78.&lt;|eot_id|&gt;&lt;|start_header_id|&gt;assistant&lt;|end_header_id|&gt;
</t>
  </si>
  <si>
    <t>For the BR reactor,-r_{A} =k\times c_{A}^2\times c_{B}^3 kmol/(L*min), c_{A} =c_{A0} \times (1-x_{A} ), c_{B} =c_{B0} - c_{A0} \times x_{A}, the residence time \tau is obtained by c_{A0}\times\int_{0}^{x_{f}}\frac{dx_{A}}{-r_{A}}. The residence time \tau of the BR reactor is 6.2551629076950104e+16 h.</t>
  </si>
  <si>
    <t>For the BR reactor,-r_{A} =k\times c_{A}^2\times c_{B}^3 kmol/(L*min), c_{A} =c_{A0} \times (1-x_{A} ), c_{B} =c_{B0} - c_{A0} \times x_{A}, the residence time \tau is obtained by c_{A0}\times\int_{0}^{x_{f}}\frac{dx_{A}}{-r_{A}}. The residence time \tau of the BR reactor is 0.04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</si>
  <si>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0.47.&lt;|eot_id|&gt;&lt;|start_header_id|&gt;assistant&lt;|end_header_id|&gt;
</t>
  </si>
  <si>
    <t>For the PFR reactor,-r_{A} =k\times c_{A}^2\times c_{B}^2 kmol/(L*min), c_{A} =c_{A0} \times (1-x_{A} ), c_{B} =c_{B0} - c_{A0} \times x_{A}, the residence time \tau is obtained by c_{A0}\times\int_{0}^{x_{f}}\frac{dx_{A}}{-r_{A}}. The residence time \tau of the PFR reactor is 0.37 h.</t>
  </si>
  <si>
    <t>For the PFR reactor,-r_{A} =k\times c_{A}^2\times c_{B}^2 kmol/(L*min), c_{A} =c_{A0} \times (1-x_{A} ), c_{B} =c_{B0} - c_{A0} \times x_{A}, the residence time \tau is obtained by c_{A0}\times\int_{0}^{x_{f}}\frac{dx_{A}}{-r_{A}}. The residence time \tau of the PFR reactor is 0.16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</si>
  <si>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kmol/m3.&lt;|eot_id|&gt;&lt;|start_header_id|&gt;assistant&lt;|end_header_id|&gt;
</t>
  </si>
  <si>
    <t>For the PFR reactor,-r_{A} =k\times c_{A}^3\times c_{B}^1 kmol/(L*min), c_{A} =c_{A0} \times (1-x_{A} ), c_{B} =c_{B0} - c_{A0} \times x_{A}, the residence time \tau is obtained by c_{A0}\times\int_{0}^{x_{f}}\frac{dx_{A}}{-r_{A}}. The residence time \tau of the PFR reactor is 0.88 h.</t>
  </si>
  <si>
    <t>For the PFR reactor,-r_{A} =k\times c_{A}^3\times c_{B}^1 kmol/(L*min), c_{A} =c_{A0} \times (1-x_{A} ), c_{B} =c_{B0} - c_{A0} \times x_{A}, the residence time \tau is obtained by c_{A0}\times\int_{0}^{x_{f}}\frac{dx_{A}}{-r_{A}}. The residence time \tau of the PFR reactor is 1.92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</si>
  <si>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kmol/m3.&lt;|eot_id|&gt;&lt;|start_header_id|&gt;assistant&lt;|end_header_id|&gt;
</t>
  </si>
  <si>
    <t>For the CSTR reactor,-r_{A} =k\times c_{A}^3\times c_{B}^3 kmol/(L*min), c_{A} =c_{A0} \times (1-x_{A} ), c_{B} =c_{B0}- c_{A0} \times x_{A}, the residence time \tau is calculated by \frac{c_{A0} \times x_{f} }{-r_{A} }. The residence time \tau of the CSTR reactor is 5.67 h.</t>
  </si>
  <si>
    <t>For the CSTR reactor,-r_{A} =k\times c_{A}^3\times c_{B}^3 kmol/(L*min), c_{A} =c_{A0} \times (1-x_{A} ), c_{B} =c_{B0}- c_{A0} \times x_{A}, the residence time \tau is calculated by \frac{c_{A0} \times x_{f} }{-r_{A} }. The residence time \tau of the CSTR reactor is 0.13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</si>
  <si>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kmol/m3.&lt;|eot_id|&gt;&lt;|start_header_id|&gt;assistant&lt;|end_header_id|&gt;
</t>
  </si>
  <si>
    <t>For the CSTR reactor,-r_{A} =k\times c_{A}^2 kmol/(L*min), c_{A} =c_{A0} \times (1-x_{A} ) the residence time \tau is calculated by \frac{c_{A0} \times x_{f} }{-r_{A} }. And the reactor volume is \tau \times Q The calculated reactor volume V is 134.87 Cubic Meters.</t>
  </si>
  <si>
    <t>For the CSTR reactor,-r_{A} =k\times c_{A}^2 kmol/(L*min), c_{A} =c_{A0} \times (1-x_{A} ) the residence time \tau is calculated by \frac{c_{A0} \times x_{f} }{-r_{A} }. And the reactor volume is \tau \times Q The calculated reactor volume V is 19.01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</si>
  <si>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kmol/m3.&lt;|eot_id|&gt;&lt;|start_header_id|&gt;assistant&lt;|end_header_id|&gt;
</t>
  </si>
  <si>
    <t>For the CSTR reactor,-r_{A} =k\times c_{A}^1 kmol/(L*min), c_{A} =c_{A0} \times (1-x_{A} ) the residence time \tau is calculated by \frac{c_{A0} \times x_{f} }{-r_{A} }. The residence time \tau of the CSTR reactor is 5.56 h.</t>
  </si>
  <si>
    <t>For the CSTR reactor,-r_{A} =k\times c_{A}^1 kmol/(L*min), c_{A} =c_{A0} \times (1-x_{A} ) the residence time \tau is calculated by \frac{c_{A0} \times x_{f} }{-r_{A} }. The residence time \tau of the CSTR reactor is 4.16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</si>
  <si>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kmol/m3.&lt;|eot_id|&gt;&lt;|start_header_id|&gt;assistant&lt;|end_header_id|&gt;
</t>
  </si>
  <si>
    <t>For the CSTR reactor,-r_{A} =k\times c_{A}^1\times c_{B}^2 kmol/(L*min), c_{A} =c_{A0} \times (1-x_{A} ), c_{B} =c_{B0}- c_{A0} \times x_{A}, the residence time \tau is calculated by \frac{c_{A0} \times x_{f} }{-r_{A} }. The residence time \tau of the CSTR reactor is 0.34 h.</t>
  </si>
  <si>
    <t>For the CSTR reactor,-r_{A} =k\times c_{A}^1\times c_{B}^2 kmol/(L*min), c_{A} =c_{A0} \times (1-x_{A} ), c_{B} =c_{B0}- c_{A0} \times x_{A}, the residence time \tau is calculated by \frac{c_{A0} \times x_{f} }{-r_{A} }. The residence time \tau of the CSTR reactor is 0.24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</si>
  <si>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kmol/m3.&lt;|eot_id|&gt;&lt;|start_header_id|&gt;assistant&lt;|end_header_id|&gt;
</t>
  </si>
  <si>
    <t>For the BR reactor,-r_{A} =k\times c_{A}^1 kmol/(L*min), c_{A} =c_{A0} \times (1-x_{A} ),the residence time \tau is obtained by c_{A0}\times\int_{0}^{x_{f}}\frac{dx_{A}}{-r_{A}}. The residence time \tau of the BR reactor is 1.42 h.</t>
  </si>
  <si>
    <t>For the BR reactor,-r_{A} =k\times c_{A}^1 kmol/(L*min), c_{A} =c_{A0} \times (1-x_{A} ),the residence time \tau is obtained by c_{A0}\times\int_{0}^{x_{f}}\frac{dx_{A}}{-r_{A}}. The residence time \tau of the BR reactor is 3.63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</si>
  <si>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0.68.&lt;|eot_id|&gt;&lt;|start_header_id|&gt;assistant&lt;|end_header_id|&gt;
</t>
  </si>
  <si>
    <t>For the BR reactor,-r_{A} =k\times c_{A}^1\times c_{B}^1 kmol/(L*min), c_{A} =c_{A0} \times (1-x_{A} ), c_{B} =c_{B0}- c_{A0} \times x_{A}, the residence time \tau is obtained by c_{A0}\times\int_{0}^{x_{f}}\frac{dx_{A}}{-r_{A}}. And the reactor volume is \frac{(\tau + t_{assist} )\times Q}{f} The calculated reactor volume V is 3.66 Cubic Meters.</t>
  </si>
  <si>
    <t>For the BR reactor,-r_{A} =k\times c_{A}^1\times c_{B}^1 kmol/(L*min), c_{A} =c_{A0} \times (1-x_{A} ), c_{B} =c_{B0}- c_{A0} \times x_{A}, the residence time \tau is obtained by c_{A0}\times\int_{0}^{x_{f}}\frac{dx_{A}}{-r_{A}}. And the reactor volume is \frac{(\tau + t_{assist} )\times Q}{f} The calculated reactor volume V is 2.94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</si>
  <si>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0.69.&lt;|eot_id|&gt;&lt;|start_header_id|&gt;assistant&lt;|end_header_id|&gt;
</t>
  </si>
  <si>
    <t>For the CSTR reactor,-r_{A} =k\times c_{A}^1\times c_{B}^1 kmol/(L*min), c_{A} =c_{A0} \times (1-x_{A} ), c_{B} =c_{B0}- c_{A0} \times x_{A}, the residence time \tau is calculated by \frac{c_{A0} \times x_{f} }{-r_{A} }. And the reactor volume is \tau \times Q The calculated reactor volume V is 0.07 Cubic Meters.</t>
  </si>
  <si>
    <t>For the CSTR reactor,-r_{A} =k\times c_{A}^1\times c_{B}^1 kmol/(L*min), c_{A} =c_{A0} \times (1-x_{A} ), c_{B} =c_{B0}- c_{A0} \times x_{A}, the residence time \tau is calculated by \frac{c_{A0} \times x_{f} }{-r_{A} }. And the reactor volume is \tau \times Q The calculated reactor volume V is 0.12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</si>
  <si>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kmol/m3.&lt;|eot_id|&gt;&lt;|start_header_id|&gt;assistant&lt;|end_header_id|&gt;
</t>
  </si>
  <si>
    <t>For the BR reactor,-r_{A} =k\times c_{A}^3\times c_{B}^2 kmol/(L*min), c_{A} =c_{A0} \times (1-x_{A} ), c_{B} =c_{B0} - c_{A0} \times x_{A}, the residence time \tau is obtained by c_{A0}\times\int_{0}^{x_{f}}\frac{dx_{A}}{-r_{A}}. The residence time \tau of the BR reactor is 30944864452772.26 h.</t>
  </si>
  <si>
    <t xml:space="preserve">&lt;bos&gt;&lt;start_of_turn&gt;user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0.63.&lt;end_of_turn&gt;
&lt;start_of_turn&gt;model
</t>
  </si>
  <si>
    <t>For the PFR reactor,-r_{A} =k\times c_{A}^2 kmol/(L*min), c_{A} =c_{A0} \times (1-x_{A} ) ,the residence time \tau is obtained by c_{A0}\times\int_{0}^{x_{f}}\frac{dx_{A}}{-r_{A}}. And the reactor volume is \tau \times Q The calculated reactor volume V is 0.45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</si>
  <si>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kmol/m3.&lt;end_of_turn&gt;
&lt;start_of_turn&gt;model
</t>
  </si>
  <si>
    <t>For the BR reactor,-r_{A} =k\times c_{A}^2 kmol/(L*min), c_{A} =c_{A0} \times (1-x_{A} ) ,the residence time \tau is obtained by c_{A0}\times\int_{0}^{x_{f}}\frac{dx_{A}}{-r_{A}}. The residence time \tau of the BR reactor is 45.34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</si>
  <si>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0.43.&lt;end_of_turn&gt;
&lt;start_of_turn&gt;model
</t>
  </si>
  <si>
    <t>For the PFR reactor,-r_{A} =k\times c_{A}^1\times c_{B}^1 kmol/(L*min), c_{A} =c_{A0} \times (1-x_{A} ), c_{B} =c_{B0}- c_{A0} \times x_{A}, the residence time \tau is obtained by c_{A0}\times\int_{0}^{x_{f}}\frac{dx_{A}}{-r_{A}}. And the reactor volume is \tau \times Q The calculated reactor volume V is 1.13 Cubic Meters.</t>
  </si>
  <si>
    <t xml:space="preserve">&lt;bos&gt;&lt;start_of_turn&gt;user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kmol/m3.&lt;end_of_turn&gt;
&lt;start_of_turn&gt;model
</t>
  </si>
  <si>
    <t>For the BR reactor,-r_{A} =k\times c_{A}^2 kmol/(L*min), c_{A} =c_{A0} \times (1-x_{A} ) ,the residence time \tau is obtained by c_{A0}\times\int_{0}^{x_{f}}\frac{dx_{A}}{-r_{A}}. And the reactor volume is \frac{(\tau + t_{assist} )\times Q}{f} The calculated reactor volume V is 27.38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</si>
  <si>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0.54.&lt;end_of_turn&gt;
&lt;start_of_turn&gt;model
</t>
  </si>
  <si>
    <t>For the PFR reactor,-r_{A} =k\times c_{A}^3\times c_{B}^3 kmol/(L*min), c_{A} =c_{A0} \times (1-x_{A} ), c_{B} =c_{B0} - c_{A0} \times x_{A}, the residence time \tau is obtained by c_{A0}\times\int_{0}^{x_{f}}\frac{dx_{A}}{-r_{A}}. The residence time \tau of the PFR reactor is 0.16 h.</t>
  </si>
  <si>
    <t xml:space="preserve">&lt;bos&gt;&lt;start_of_turn&gt;user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kmol/m3.&lt;end_of_turn&gt;
&lt;start_of_turn&gt;model
</t>
  </si>
  <si>
    <t>For the CSTR reactor,-r_{A} =k\times c_{A}^2\times c_{B}^2 kmol/(L*min), c_{A} =c_{A0} \times (1-x_{A} ), c_{B} =c_{B0}- c_{A0} \times x_{A}, the residence time \tau is calculated by \frac{c_{A0} \times x_{f} }{-r_{A} }. The residence time \tau of the CSTR reactor is 22.99 h.</t>
  </si>
  <si>
    <t xml:space="preserve">&lt;bos&gt;&lt;start_of_turn&gt;user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kmol/m3.&lt;end_of_turn&gt;
&lt;start_of_turn&gt;model
</t>
  </si>
  <si>
    <t>For the CSTR reactor,-r_{A} =k\times c_{A}^3\times c_{B}^3 kmol/(L*min), c_{A} =c_{A0} \times (1-x_{A} ), c_{B} =c_{B0}- c_{A0} \times x_{A}, the residence time \tau is calculated by \frac{c_{A0} \times x_{f} }{-r_{A} }. The residence time \tau of the CSTR reactor is 2.61 h.</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</si>
  <si>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kmol/m3.&lt;end_of_turn&gt;
&lt;start_of_turn&gt;model
</t>
  </si>
  <si>
    <t>For the PFR reactor,-r_{A} =k\times c_{A}^2 kmol/(L*min), c_{A} =c_{A0} \times (1-x_{A} ) ,the residence time \tau is obtained by c_{A0}\times\int_{0}^{x_{f}}\frac{dx_{A}}{-r_{A}}. The residence time \tau of the PFR reactor is 0.2 h.</t>
  </si>
  <si>
    <t xml:space="preserve">&lt;bos&gt;&lt;start_of_turn&gt;user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kmol/m3.&lt;end_of_turn&gt;
&lt;start_of_turn&gt;model
</t>
  </si>
  <si>
    <t>For the PFR reactor,-r_{A} =k\times c_{A}^2 kmol/(L*min), c_{A} =c_{A0} \times (1-x_{A} ) ,the residence time \tau is obtained by c_{A0}\times\int_{0}^{x_{f}}\frac{dx_{A}}{-r_{A}}. And the reactor volume is \tau \times Q The calculated reactor volume V is 0.49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</si>
  <si>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kmol/m3.&lt;end_of_turn&gt;
&lt;start_of_turn&gt;model
</t>
  </si>
  <si>
    <t>For the BR reactor,-r_{A} =k\times c_{A}^1 kmol/(L*min), c_{A} =c_{A0} \times (1-x_{A} ) ,the residence time \tau is obtained by c_{A0}\times\int_{0}^{x_{f}}\frac{dx_{A}}{-r_{A}}. And the reactor volume is \frac{(\tau + t_{assist} )\times Q}{f} The calculated reactor volume V is 4.83 Cubic Meters.</t>
  </si>
  <si>
    <t xml:space="preserve">&lt;bos&gt;&lt;start_of_turn&gt;user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0.77.&lt;end_of_turn&gt;
&lt;start_of_turn&gt;model
</t>
  </si>
  <si>
    <t>For the PFR reactor,-r_{A} =k\times c_{A}^3 kmol/(L*min), c_{A} =c_{A0} \times (1-x_{A} ) ,the residence time \tau is obtained by c_{A0}\times\int_{0}^{x_{f}}\frac{dx_{A}}{-r_{A}}. The residence time \tau of the PFR reactor is 0.24 h.</t>
  </si>
  <si>
    <t xml:space="preserve">&lt;bos&gt;&lt;start_of_turn&gt;user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kmol/m3.&lt;end_of_turn&gt;
&lt;start_of_turn&gt;model
</t>
  </si>
  <si>
    <t>For the BR reactor,-r_{A} =k\times c_{A}^1\times c_{B}^2 kmol/(L*min), c_{A} =c_{A0} \times (1-x_{A} ), c_{B} =c_{B0} - c_{A0} \times x_{A}, the residence time \tau is obtained by c_{A0}\times\int_{0}^{x_{f}}\frac{dx_{A}}{-r_{A}}. The residence time \tau of the BR reactor is 15.99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</si>
  <si>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0.67.&lt;end_of_turn&gt;
&lt;start_of_turn&gt;model
</t>
  </si>
  <si>
    <t>For the PFR reactor,-r_{A} =k\times c_{A}^3 kmol/(L*min), c_{A} =c_{A0} \times (1-x_{A} ) ,the residence time \tau is obtained by c_{A0}\times\int_{0}^{x_{f}}\frac{dx_{A}}{-r_{A}}. And the reactor volume is \tau \times Q The calculated reactor volume V is 0.31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</si>
  <si>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kmol/m3.&lt;end_of_turn&gt;
&lt;start_of_turn&gt;model
</t>
  </si>
  <si>
    <t>For the CSTR reactor,-r_{A} =k\times c_{A}^2 kmol/(L*min), c_{A} =c_{A0} \times (1-x_{A} ) the residence time \tau is calculated by \frac{c_{A0} \times x_{f} }{-r_{A} }. And the reactor volume is \tau \times Q The calculated reactor volume V is 11.07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</si>
  <si>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kmol/m3.&lt;end_of_turn&gt;
&lt;start_of_turn&gt;model
</t>
  </si>
  <si>
    <t>For the CSTR reactor,-r_{A} =k\times c_{A}^1 kmol/(L*min), c_{A} =c_{A0} \times (1-x_{A} ) the residence time \tau is calculated by \frac{c_{A0} \times x_{f} }{-r_{A} } . The residence time \tau of the CSTR reactor is 23.97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</si>
  <si>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kmol/m3.&lt;end_of_turn&gt;
&lt;start_of_turn&gt;model
</t>
  </si>
  <si>
    <t>For the CSTR reactor,-r_{A} =k\times c_{A}^2\times c_{B}^1 kmol/(L*min), c_{A} =c_{A0} \times (1-x_{A} ), c_{B} =c_{B0}- c_{A0} \times x_{A}, the residence time \tau is calculated by \frac{c_{A0} \times x_{f} }{-r_{A} }. And the reactor volume is \tau \times Q The calculated reactor volume V is 0.64 Cubic Meters.</t>
  </si>
  <si>
    <t xml:space="preserve">&lt;bos&gt;&lt;start_of_turn&gt;user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kmol/m3.&lt;end_of_turn&gt;
&lt;start_of_turn&gt;model
</t>
  </si>
  <si>
    <t>For the CSTR reactor,-r_{A} =k\times c_{A}^2\times c_{B}^2 kmol/(L*min), c_{A} =c_{A0} \times (1-x_{A} ), c_{B} =c_{B0}- c_{A0} \times x_{A}, the residence time \tau is calculated by \frac{c_{A0} \times x_{f} }{-r_{A} }. And the reactor volume is \tau \times Q The calculated reactor volume V is 0.42 Cubic Meters.</t>
  </si>
  <si>
    <t xml:space="preserve">&lt;bos&gt;&lt;start_of_turn&gt;user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kmol/m3.&lt;end_of_turn&gt;
&lt;start_of_turn&gt;model
</t>
  </si>
  <si>
    <t>For the PFR reactor,-r_{A} =k\times c_{A}^1 kmol/(L*min), c_{A} =c_{A0} \times (1-x_{A} ) ,the residence time \tau is obtained by c_{A0}\times\int_{0}^{x_{f}}\frac{dx_{A}}{-r_{A}}. The residence time \tau of the PFR reactor is 2.35 h.</t>
  </si>
  <si>
    <t xml:space="preserve">&lt;bos&gt;&lt;start_of_turn&gt;user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kmol/m3.&lt;end_of_turn&gt;
&lt;start_of_turn&gt;model
</t>
  </si>
  <si>
    <t>For the BR reactor,-r_{A} =k\times c_{A}^1 kmol/(L*min), c_{A} =c_{A0} \times (1-x_{A} ) ,the residence time \tau is obtained by c_{A0}\times\int_{0}^{x_{f}}\frac{dx_{A}}{-r_{A}}. The residence time \tau of the BR reactor is 2.5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</si>
  <si>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0.57.&lt;end_of_turn&gt;
&lt;start_of_turn&gt;model
</t>
  </si>
  <si>
    <t>For the CSTR reactor,-r_{A} =k\times c_{A}^3\times c_{B}^2 kmol/(L*min), c_{A} =c_{A0} \times (1-x_{A} ), c_{B} =c_{B0}- c_{A0} \times x_{A}, the residence time \tau is calculated by \frac{c_{A0} \times x_{f} }{-r_{A} }. And the reactor volume is \tau \times Q The calculated reactor volume V is 0.17 Cubic Meters.</t>
  </si>
  <si>
    <t xml:space="preserve">&lt;bos&gt;&lt;start_of_turn&gt;user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kmol/m3.&lt;end_of_turn&gt;
&lt;start_of_turn&gt;model
</t>
  </si>
  <si>
    <t>For the CSTR reactor,-r_{A} =k\times c_{A}^2 kmol/(L*min), c_{A} =c_{A0} \times (1-x_{A} ) the residence time \tau is calculated by \frac{c_{A0} \times x_{f} }{-r_{A} }. And the reactor volume is \tau \times Q The calculated reactor volume V is 38.68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</si>
  <si>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kmol/m3.&lt;end_of_turn&gt;
&lt;start_of_turn&gt;model
</t>
  </si>
  <si>
    <t>For the PFR reactor,-r_{A} =k\times c_{A}^1\times c_{B}^2 kmol/(L*min), c_{A} =c_{A0} \times (1-x_{A} ), c_{B} =c_{B0} - c_{A0} \times x_{A}, the residence time \tau is obtained by c_{A0}\times\int_{0}^{x_{f}}\frac{dx_{A}}{-r_{A}}. The residence time \tau of the PFR reactor is 0.07 h.</t>
  </si>
  <si>
    <t xml:space="preserve">&lt;bos&gt;&lt;start_of_turn&gt;user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kmol/m3.&lt;end_of_turn&gt;
&lt;start_of_turn&gt;model
</t>
  </si>
  <si>
    <t>For the BR reactor,-r_{A} =k\times c_{A}^1 kmol/(L*min), c_{A} =c_{A0} \times (1-x_{A} ) ,the residence time \tau is obtained by c_{A0}\times\int_{0}^{x_{f}}\frac{dx_{A}}{-r_{A}}. The residence time \tau of the BR reactor is 2.36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</si>
  <si>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0.57.&lt;end_of_turn&gt;
&lt;start_of_turn&gt;model
</t>
  </si>
  <si>
    <t>For the CSTR reactor,-r_{A} =k\times c_{A}^3 kmol/(L*min), c_{A} =c_{A0} \times (1-x_{A} ) the residence time \tau is calculated by \frac{c_{A0} \times x_{f} }{-r_{A} }. And the reactor volume is \tau \times Q The calculated reactor volume V is 14.19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</si>
  <si>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kmol/m3.&lt;end_of_turn&gt;
&lt;start_of_turn&gt;model
</t>
  </si>
  <si>
    <t>For the CSTR reactor,-r_{A} =k\times c_{A}^2 kmol/(L*min), c_{A} =c_{A0} \times (1-x_{A} ) the residence time \tau is calculated by \frac{c_{A0} \times x_{f} }{-r_{A} } . The residence time \tau of the CSTR reactor is 224.19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</si>
  <si>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kmol/m3.&lt;end_of_turn&gt;
&lt;start_of_turn&gt;model
</t>
  </si>
  <si>
    <t>For the CSTR reactor,-r_{A} =k\times c_{A}^3 kmol/(L*min), c_{A} =c_{A0} \times (1-x_{A} ) the residence time \tau is calculated by \frac{c_{A0} \times x_{f} }{-r_{A} }. And the reactor volume is \tau \times Q The calculated reactor volume V is 1.13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</si>
  <si>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kmol/m3.&lt;end_of_turn&gt;
&lt;start_of_turn&gt;model
</t>
  </si>
  <si>
    <t>For the CSTR reactor,-r_{A} =k\times c_{A}^2 kmol/(L*min), c_{A} =c_{A0} \times (1-x_{A} ) the residence time \tau is calculated by \frac{c_{A0} \times x_{f} }{-r_{A} } . The residence time \tau of the CSTR reactor is 8.47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</si>
  <si>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kmol/m3.&lt;end_of_turn&gt;
&lt;start_of_turn&gt;model
</t>
  </si>
  <si>
    <t>For the CSTR reactor,-r_{A} =k\times c_{A}^2 kmol/(L*min), c_{A} =c_{A0} \times (1-x_{A} ) the residence time \tau is calculated by \frac{c_{A0} \times x_{f} }{-r_{A} } . The residence time \tau of the CSTR reactor is 1002.19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</si>
  <si>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</si>
  <si>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kmol/m3.&lt;end_of_turn&gt;
&lt;start_of_turn&gt;model
</t>
  </si>
  <si>
    <t>For the BR reactor,-r_{A} =k\times c_{A}^3\times c_{B}^2 kmol/(L*min), c_{A} =c_{A0} \times (1-x_{A} ), c_{B} =c_{B0}- c_{A0} \times x_{A}, the residence time \tau is obtained by c_{A0}\times\int_{0}^{x_{f}}\frac{dx_{A}}{-r_{A}}. And the reactor volume is \frac{(\tau + t_{assist} )\times Q}{f} The calculated reactor volume V is 4.34 Cubic Meters.</t>
  </si>
  <si>
    <t xml:space="preserve">&lt;bos&gt;&lt;start_of_turn&gt;user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</si>
  <si>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kmol/m3.&lt;end_of_turn&gt;
&lt;start_of_turn&gt;model
</t>
  </si>
  <si>
    <t>For the CSTR reactor,-r_{A} =k\times c_{A}^1 kmol/(L*min), c_{A} =c_{A0} \times (1-x_{A} ) the residence time \tau is calculated by \frac{c_{A0} \times x_{f} }{-r_{A} } . The residence time \tau of the CSTR reactor is 18.27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</si>
  <si>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kmol/m3.&lt;end_of_turn&gt;
&lt;start_of_turn&gt;model
</t>
  </si>
  <si>
    <t>For the PFR reactor,-r_{A} =k\times c_{A}^2 kmol/(L*min), c_{A} =c_{A0} \times (1-x_{A} ) ,the residence time \tau is obtained by c_{A0}\times\int_{0}^{x_{f}}\frac{dx_{A}}{-r_{A}}. And the reactor volume is \tau \times Q The calculated reactor volume V is 0.17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</si>
  <si>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kmol/m3.&lt;end_of_turn&gt;
&lt;start_of_turn&gt;model
</t>
  </si>
  <si>
    <t>For the BR reactor,-r_{A} =k\times c_{A}^1\times c_{B}^2 kmol/(L*min), c_{A} =c_{A0} \times (1-x_{A} ), c_{B} =c_{B0} - c_{A0} \times x_{A}, the residence time \tau is obtained by c_{A0}\times\int_{0}^{x_{f}}\frac{dx_{A}}{-r_{A}}. The residence time \tau of the BR reactor is 0.34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</si>
  <si>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0.78.&lt;end_of_turn&gt;
&lt;start_of_turn&gt;model
</t>
  </si>
  <si>
    <t>For the BR reactor,-r_{A} =k\times c_{A}^2\times c_{B}^3 kmol/(L*min), c_{A} =c_{A0} \times (1-x_{A} ), c_{B} =c_{B0} - c_{A0} \times x_{A}, the residence time \tau is obtained by c_{A0}\times\int_{0}^{x_{f}}\frac{dx_{A}}{-r_{A}}. The residence time \tau of the BR reactor is 0.73 h.</t>
  </si>
  <si>
    <t xml:space="preserve">&lt;bos&gt;&lt;start_of_turn&gt;user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0.47.&lt;end_of_turn&gt;
&lt;start_of_turn&gt;model
</t>
  </si>
  <si>
    <t>For the PFR reactor,-r_{A} =k\times c_{A}^2\times c_{B}^2 kmol/(L*min), c_{A} =c_{A0} \times (1-x_{A} ), c_{B} =c_{B0} - c_{A0} \times x_{A}, the residence time \tau is obtained by c_{A0}\times\int_{0}^{x_{f}}\frac{dx_{A}}{-r_{A}}. The residence time \tau of the PFR reactor is 0.18 h.</t>
  </si>
  <si>
    <t xml:space="preserve">&lt;bos&gt;&lt;start_of_turn&gt;user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kmol/m3.&lt;end_of_turn&gt;
&lt;start_of_turn&gt;model
</t>
  </si>
  <si>
    <t>For the PFR reactor,-r_{A} =k\times c_{A}^3\times c_{B}^1 kmol/(L*min), c_{A} =c_{A0} \times (1-x_{A} ), c_{B} =c_{B0} - c_{A0} \times x_{A}, the residence time \tau is obtained by c_{A0}\times\int_{0}^{x_{f}}\frac{dx_{A}}{-r_{A}}. The residence time \tau of the PFR reactor is 1.47 h.</t>
  </si>
  <si>
    <t xml:space="preserve">&lt;bos&gt;&lt;start_of_turn&gt;user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kmol/m3.&lt;end_of_turn&gt;
&lt;start_of_turn&gt;model
</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</si>
  <si>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kmol/m3.&lt;end_of_turn&gt;
&lt;start_of_turn&gt;model
</t>
  </si>
  <si>
    <t>For the CSTR reactor,-r_{A} =k\times c_{A}^2 kmol/(L*min), c_{A} =c_{A0} \times (1-x_{A} ) the residence time \tau is calculated by \frac{c_{A0} \times x_{f} }{-r_{A} }. And the reactor volume is \tau \times Q The calculated reactor volume V is 18.07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</si>
  <si>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kmol/m3.&lt;end_of_turn&gt;
&lt;start_of_turn&gt;model
</t>
  </si>
  <si>
    <t>For the CSTR reactor,-r_{A} =k\times c_{A}^1 kmol/(L*min), c_{A} =c_{A0} \times (1-x_{A} ) the residence time \tau is calculated by \frac{c_{A0} \times x_{f} }{-r_{A} } . The residence time \tau of the CSTR reactor is 2.22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</si>
  <si>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kmol/m3.&lt;end_of_turn&gt;
&lt;start_of_turn&gt;model
</t>
  </si>
  <si>
    <t>For the CSTR reactor,-r_{A} =k\times c_{A}^1\times c_{B}^2 kmol/(L*min), c_{A} =c_{A0} \times (1-x_{A} ), c_{B} =c_{B0}- c_{A0} \times x_{A}, the residence time \tau is calculated by \frac{c_{A0} \times x_{f} }{-r_{A} }. The residence time \tau of the CSTR reactor is 0.81 h.</t>
  </si>
  <si>
    <t xml:space="preserve">&lt;bos&gt;&lt;start_of_turn&gt;user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kmol/m3.&lt;end_of_turn&gt;
&lt;start_of_turn&gt;model
</t>
  </si>
  <si>
    <t>For the BR reactor,-r_{A} =k\times c_{A}^1 kmol/(L*min), c_{A} =c_{A0} \times (1-x_{A} ) ,the residence time \tau is obtained by c_{A0}\times\int_{0}^{x_{f}}\frac{dx_{A}}{-r_{A}}. The residence time \tau of the BR reactor is 2.51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</si>
  <si>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0.68.&lt;end_of_turn&gt;
&lt;start_of_turn&gt;model
</t>
  </si>
  <si>
    <t>For the BR reactor,-r_{A} =k\times c_{A}^1\times c_{B}^1 kmol/(L*min), c_{A} =c_{A0} \times (1-x_{A} ), c_{B} =c_{B0}- c_{A0} \times x_{A}, the residence time \tau is obtained by c_{A0}\times\int_{0}^{x_{f}}\frac{dx_{A}}{-r_{A}}. And the reactor volume is \frac{(\tau + t_{assist} )\times Q}{f} The calculated reactor volume V is 4.85 Cubic Meters.</t>
  </si>
  <si>
    <t xml:space="preserve">&lt;bos&gt;&lt;start_of_turn&gt;user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0.69.&lt;end_of_turn&gt;
&lt;start_of_turn&gt;model
</t>
  </si>
  <si>
    <t>For the CSTR reactor,-r_{A} =k\times c_{A}^1\times c_{B}^1 kmol/(L*min), c_{A} =c_{A0} \times (1-x_{A} ), c_{B} =c_{B0}- c_{A0} \times x_{A}, the residence time \tau is calculated by \frac{c_{A0} \times x_{f} }{-r_{A} }. And the reactor volume is \tau \times Q The calculated reactor volume V is 0.00 Cubic Meters.</t>
  </si>
  <si>
    <t xml:space="preserve">&lt;bos&gt;&lt;start_of_turn&gt;user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kmol/m3.&lt;end_of_turn&gt;
&lt;start_of_turn&gt;model
</t>
  </si>
  <si>
    <t>For the CSTR reactor,-r_{A} =k\times c_{A}^3\times c_{B}^2 kmol/(L*min), c_{A} =c_{A0} \times (1-x_{A} ), c_{B} =c_{B0}- c_{A0} \times x_{A}, the residence time \tau is calculated by \frac{c_{A0} \times x_{f} }{-r_{A} }. The residence time \tau of the CSTR reactor is 44.69 h.</t>
  </si>
  <si>
    <t xml:space="preserve">&lt;bos&gt;&lt;start_of_turn&gt;user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kmol/m3.&lt;end_of_turn&gt;
&lt;start_of_turn&gt;model
</t>
  </si>
  <si>
    <t xml:space="preserve">&lt;bos&gt;&lt;start_of_turn&gt;user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0.64.&lt;end_of_turn&gt;
&lt;start_of_turn&gt;model
</t>
  </si>
  <si>
    <t>For the CSTR reactor,-r_{A} =k\times c_{A}^1\times c_{B}^1 kmol/(L*min), c_{A} =c_{A0} \times (1-x_{A} ), c_{B} =c_{B0}- c_{A0} \times x_{A}, the residence time \tau is calculated by \frac{c_{A0} \times x_{f} }{-r_{A} }. The residence time \tau of the CSTR reactor is 9.54 h.</t>
  </si>
  <si>
    <t xml:space="preserve">&lt;bos&gt;&lt;start_of_turn&gt;user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kmol/m3.&lt;end_of_turn&gt;
&lt;start_of_turn&gt;model
</t>
  </si>
  <si>
    <t>For the CSTR reactor,-r_{A} =k\times c_{A}^1\times c_{B}^1 kmol/(L*min), c_{A} =c_{A0} \times (1-x_{A} ), c_{B} =c_{B0}- c_{A0} \times x_{A}, the residence time \tau is calculated by \frac{c_{A0} \times x_{f} }{-r_{A} }. The residence time \tau of the CSTR reactor is 2.93 h.</t>
  </si>
  <si>
    <t xml:space="preserve">&lt;bos&gt;&lt;start_of_turn&gt;user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kmol/m3.&lt;end_of_turn&gt;
&lt;start_of_turn&gt;model
</t>
  </si>
  <si>
    <t>For the PFR reactor,-r_{A} =k\times c_{A}^3\times c_{B}^1 kmol/(L*min), c_{A} =c_{A0} \times (1-x_{A} ), c_{B} =c_{B0} - c_{A0} \times x_{A}, the residence time \tau is obtained by c_{A0}\times\int_{0}^{x_{f}}\frac{dx_{A}}{-r_{A}}. The residence time \tau of the PFR reactor is 3.83 h.</t>
  </si>
  <si>
    <t xml:space="preserve">&lt;bos&gt;&lt;start_of_turn&gt;user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kmol/m3.&lt;end_of_turn&gt;
&lt;start_of_turn&gt;model
</t>
  </si>
  <si>
    <t>For the CSTR reactor,-r_{A} =k\times c_{A}^3 kmol/(L*min), c_{A} =c_{A0} \times (1-x_{A} ) the residence time \tau is calculated by \frac{c_{A0} \times x_{f} }{-r_{A} }. And the reactor volume is \tau \times Q The calculated reactor volume V is 18.76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</si>
  <si>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</si>
  <si>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kmol/m3.&lt;end_of_turn&gt;
&lt;start_of_turn&gt;model
</t>
  </si>
  <si>
    <t>For the PFR reactor,-r_{A} =k\times c_{A}^2 kmol/(L*min), c_{A} =c_{A0} \times (1-x_{A} ) ,the residence time \tau is obtained by c_{A0}\times\int_{0}^{x_{f}}\frac{dx_{A}}{-r_{A}}. And the reactor volume is \tau \times Q The calculated reactor volume V is 10.58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</si>
  <si>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kmol/m3.&lt;end_of_turn&gt;
&lt;start_of_turn&gt;model
</t>
  </si>
  <si>
    <t>For the BR reactor,-r_{A} =k\times c_{A}^2 kmol/(L*min), c_{A} =c_{A0} \times (1-x_{A} ) ,the residence time \tau is obtained by c_{A0}\times\int_{0}^{x_{f}}\frac{dx_{A}}{-r_{A}}. The residence time \tau of the BR reactor is 2.35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</si>
  <si>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0.45.&lt;end_of_turn&gt;
&lt;start_of_turn&gt;model
</t>
  </si>
  <si>
    <t>For the PFR reactor,-r_{A} =k\times c_{A}^2\times c_{B}^1 kmol/(L*min), c_{A} =c_{A0} \times (1-x_{A} ), c_{B} =c_{B0} - c_{A0} \times x_{A}, the residence time \tau is obtained by c_{A0}\times\int_{0}^{x_{f}}\frac{dx_{A}}{-r_{A}}. The residence time \tau of the PFR reactor is 14.66 h.</t>
  </si>
  <si>
    <t xml:space="preserve">&lt;bos&gt;&lt;start_of_turn&gt;user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kmol/m3.&lt;end_of_turn&gt;
&lt;start_of_turn&gt;model
</t>
  </si>
  <si>
    <t>For the PFR reactor,-r_{A} =k\times c_{A}^3 kmol/(L*min), c_{A} =c_{A0} \times (1-x_{A} ) ,the residence time \tau is obtained by c_{A0}\times\int_{0}^{x_{f}}\frac{dx_{A}}{-r_{A}}. And the reactor volume is \tau \times Q The calculated reactor volume V is 0.76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</si>
  <si>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kmol/m3.&lt;end_of_turn&gt;
&lt;start_of_turn&gt;model
</t>
  </si>
  <si>
    <t>For the BR reactor,-r_{A} =k\times c_{A}^2\times c_{B}^3 kmol/(L*min), c_{A} =c_{A0} \times (1-x_{A} ), c_{B} =c_{B0}- c_{A0} \times x_{A}, the residence time \tau is obtained by c_{A0}\times\int_{0}^{x_{f}}\frac{dx_{A}}{-r_{A}}. And the reactor volume is \frac{(\tau + t_{assist} )\times Q}{f} The calculated reactor volume V is 0.48 Cubic Meters.</t>
  </si>
  <si>
    <t xml:space="preserve">&lt;bos&gt;&lt;start_of_turn&gt;user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0.55.&lt;end_of_turn&gt;
&lt;start_of_turn&gt;model
</t>
  </si>
  <si>
    <t>For the CSTR reactor,-r_{A} =k\times c_{A}^1 kmol/(L*min), c_{A} =c_{A0} \times (1-x_{A} ) the residence time \tau is calculated by \frac{c_{A0} \times x_{f} }{-r_{A} } . The residence time \tau of the CSTR reactor is 2.78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</si>
  <si>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kmol/m3.&lt;end_of_turn&gt;
&lt;start_of_turn&gt;model
</t>
  </si>
  <si>
    <t>For the CSTR reactor,-r_{A} =k\times c_{A}^1 kmol/(L*min), c_{A} =c_{A0} \times (1-x_{A} ) the residence time \tau is calculated by \frac{c_{A0} \times x_{f} }{-r_{A} }. And the reactor volume is \tau \times Q The calculated reactor volume V is 0.96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</si>
  <si>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kmol/m3.&lt;end_of_turn&gt;
&lt;start_of_turn&gt;model
</t>
  </si>
  <si>
    <t>For the BR reactor,-r_{A} =k\times c_{A}^1\times c_{B}^3 kmol/(L*min), c_{A} =c_{A0} \times (1-x_{A} ), c_{B} =c_{B0}- c_{A0} \times x_{A}, the residence time \tau is obtained by c_{A0}\times\int_{0}^{x_{f}}\frac{dx_{A}}{-r_{A}}. And the reactor volume is \frac{(\tau + t_{assist} )\times Q}{f} The calculated reactor volume V is 2.86 Cubic Meters.</t>
  </si>
  <si>
    <t xml:space="preserve">&lt;bos&gt;&lt;start_of_turn&gt;user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0.42.&lt;end_of_turn&gt;
&lt;start_of_turn&gt;model
</t>
  </si>
  <si>
    <t>For the CSTR reactor,-r_{A} =k\times c_{A}^3\times c_{B}^3 kmol/(L*min), c_{A} =c_{A0} \times (1-x_{A} ), c_{B} =c_{B0}- c_{A0} \times x_{A}, the residence time \tau is calculated by \frac{c_{A0} \times x_{f} }{-r_{A} }. The residence time \tau of the CSTR reactor is 2.1 h.</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</si>
  <si>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kmol/m3.&lt;end_of_turn&gt;
&lt;start_of_turn&gt;model
</t>
  </si>
  <si>
    <t>For the BR reactor,-r_{A} =k\times c_{A}^1\times c_{B}^2 kmol/(L*min), c_{A} =c_{A0} \times (1-x_{A} ), c_{B} =c_{B0} - c_{A0} \times x_{A}, the residence time \tau is obtained by c_{A0}\times\int_{0}^{x_{f}}\frac{dx_{A}}{-r_{A}}. The residence time \tau of the BR reactor is 15.3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</si>
  <si>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0.61.&lt;end_of_turn&gt;
&lt;start_of_turn&gt;model
</t>
  </si>
  <si>
    <t>For the PFR reactor,-r_{A} =k\times c_{A}^3\times c_{B}^3 kmol/(L*min), c_{A} =c_{A0} \times (1-x_{A} ), c_{B} =c_{B0} - c_{A0} \times x_{A}, the residence time \tau is obtained by c_{A0}\times\int_{0}^{x_{f}}\frac{dx_{A}}{-r_{A}}. The residence time \tau of the PFR reactor is 0.12 h.</t>
  </si>
  <si>
    <t xml:space="preserve">&lt;bos&gt;&lt;start_of_turn&gt;user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kmol/m3.&lt;end_of_turn&gt;
&lt;start_of_turn&gt;model
</t>
  </si>
  <si>
    <t>For the BR reactor,-r_{A} =k\times c_{A}^2 kmol/(L*min), c_{A} =c_{A0} \times (1-x_{A} ) ,the residence time \tau is obtained by c_{A0}\times\int_{0}^{x_{f}}\frac{dx_{A}}{-r_{A}}. And the reactor volume is \frac{(\tau + t_{assist} )\times Q}{f} The calculated reactor volume V is 2.56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</si>
  <si>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0.48.&lt;end_of_turn&gt;
&lt;start_of_turn&gt;model
</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</si>
  <si>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kmol/m3.&lt;end_of_turn&gt;
&lt;start_of_turn&gt;model
</t>
  </si>
  <si>
    <t>For the CSTR reactor,-r_{A} =k\times c_{A}^1 kmol/(L*min), c_{A} =c_{A0} \times (1-x_{A} ) the residence time \tau is calculated by \frac{c_{A0} \times x_{f} }{-r_{A} }. And the reactor volume is \tau \times Q The calculated reactor volume V is 9.18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</si>
  <si>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kmol/m3.&lt;end_of_turn&gt;
&lt;start_of_turn&gt;model
</t>
  </si>
  <si>
    <t>For the PFR reactor,-r_{A} =k\times c_{A}^2 kmol/(L*min), c_{A} =c_{A0} \times (1-x_{A} ) ,the residence time \tau is obtained by c_{A0}\times\int_{0}^{x_{f}}\frac{dx_{A}}{-r_{A}}. And the reactor volume is \tau \times Q The calculated reactor volume V is 2.29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</si>
  <si>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kmol/m3.&lt;end_of_turn&gt;
&lt;start_of_turn&gt;model
</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</si>
  <si>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0.64.&lt;end_of_turn&gt;
&lt;start_of_turn&gt;model
</t>
  </si>
  <si>
    <t xml:space="preserve">&lt;bos&gt;&lt;start_of_turn&gt;user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0.53.&lt;end_of_turn&gt;
&lt;start_of_turn&gt;model
</t>
  </si>
  <si>
    <t>For the PFR reactor,-r_{A} =k\times c_{A}^3 kmol/(L*min), c_{A} =c_{A0} \times (1-x_{A} ) ,the residence time \tau is obtained by c_{A0}\times\int_{0}^{x_{f}}\frac{dx_{A}}{-r_{A}}. And the reactor volume is \tau \times Q The calculated reactor volume V is 3.33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</si>
  <si>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kmol/m3.&lt;end_of_turn&gt;
&lt;start_of_turn&gt;model
</t>
  </si>
  <si>
    <t>For the CSTR reactor,-r_{A} =k\times c_{A}^1 kmol/(L*min), c_{A} =c_{A0} \times (1-x_{A} ) the residence time \tau is calculated by \frac{c_{A0} \times x_{f} }{-r_{A} } . The residence time \tau of the CSTR reactor is 18.74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</si>
  <si>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kmol/m3.&lt;end_of_turn&gt;
&lt;start_of_turn&gt;model
</t>
  </si>
  <si>
    <t>For the PFR reactor,-r_{A} =k\times c_{A}^3\times c_{B}^2 kmol/(L*min), c_{A} =c_{A0} \times (1-x_{A} ), c_{B} =c_{B0} - c_{A0} \times x_{A}, the residence time \tau is obtained by c_{A0}\times\int_{0}^{x_{f}}\frac{dx_{A}}{-r_{A}}. The residence time \tau of the PFR reactor is 0.07 h.</t>
  </si>
  <si>
    <t xml:space="preserve">&lt;bos&gt;&lt;start_of_turn&gt;user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kmol/m3.&lt;end_of_turn&gt;
&lt;start_of_turn&gt;model
</t>
  </si>
  <si>
    <t>For the BR reactor,-r_{A} =k\times c_{A}^2\times c_{B}^2 kmol/(L*min), c_{A} =c_{A0} \times (1-x_{A} ), c_{B} =c_{B0} - c_{A0} \times x_{A}, the residence time \tau is obtained by c_{A0}\times\int_{0}^{x_{f}}\frac{dx_{A}}{-r_{A}}. The residence time \tau of the BR reactor is 15987310.44 h.</t>
  </si>
  <si>
    <t xml:space="preserve">&lt;bos&gt;&lt;start_of_turn&gt;user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0.7.&lt;end_of_turn&gt;
&lt;start_of_turn&gt;model
</t>
  </si>
  <si>
    <t>For the BR reactor,-r_{A} =k\times c_{A}^2\times c_{B}^3 kmol/(L*min), c_{A} =c_{A0} \times (1-x_{A} ), c_{B} =c_{B0}- c_{A0} \times x_{A}, the residence time \tau is obtained by c_{A0}\times\int_{0}^{x_{f}}\frac{dx_{A}}{-r_{A}}. And the reactor volume is \frac{(\tau + t_{assist} )\times Q}{f} The calculated reactor volume V is 0.76 Cubic Meters.</t>
  </si>
  <si>
    <t xml:space="preserve">&lt;bos&gt;&lt;start_of_turn&gt;user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0.6.&lt;end_of_turn&gt;
&lt;start_of_turn&gt;model
</t>
  </si>
  <si>
    <t>For the BR reactor,-r_{A} =k\times c_{A}^2 kmol/(L*min), c_{A} =c_{A0} \times (1-x_{A} ) ,the residence time \tau is obtained by c_{A0}\times\int_{0}^{x_{f}}\frac{dx_{A}}{-r_{A}}. The residence time \tau of the BR reactor is 1.39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</si>
  <si>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0.71.&lt;end_of_turn&gt;
&lt;start_of_turn&gt;model
</t>
  </si>
  <si>
    <t>For the CSTR reactor,-r_{A} =k\times c_{A}^1 kmol/(L*min), c_{A} =c_{A0} \times (1-x_{A} ) the residence time \tau is calculated by \frac{c_{A0} \times x_{f} }{-r_{A} }. And the reactor volume is \tau \times Q The calculated reactor volume V is 82.66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</si>
  <si>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kmol/m3.&lt;end_of_turn&gt;
&lt;start_of_turn&gt;model
</t>
  </si>
  <si>
    <t>For the CSTR reactor,-r_{A} =k\times c_{A}^3\times c_{B}^3 kmol/(L*min), c_{A} =c_{A0} \times (1-x_{A} ), c_{B} =c_{B0}- c_{A0} \times x_{A}, the residence time \tau is calculated by \frac{c_{A0} \times x_{f} }{-r_{A} }. And the reactor volume is \tau \times Q The calculated reactor volume V is 3.09 Cubic Meters.</t>
  </si>
  <si>
    <t xml:space="preserve">&lt;bos&gt;&lt;start_of_turn&gt;user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kmol/m3.&lt;end_of_turn&gt;
&lt;start_of_turn&gt;model
</t>
  </si>
  <si>
    <t>For the PFR reactor,-r_{A} =k\times c_{A}^2 kmol/(L*min), c_{A} =c_{A0} \times (1-x_{A} ) ,the residence time \tau is obtained by c_{A0}\times\int_{0}^{x_{f}}\frac{dx_{A}}{-r_{A}}. And the reactor volume is \tau \times Q The calculated reactor volume V is 31.01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</si>
  <si>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kmol/m3.&lt;end_of_turn&gt;
&lt;start_of_turn&gt;model
</t>
  </si>
  <si>
    <t>For the BR reactor,-r_{A} =k\times c_{A}^2 kmol/(L*min), c_{A} =c_{A0} \times (1-x_{A} ) ,the residence time \tau is obtained by c_{A0}\times\int_{0}^{x_{f}}\frac{dx_{A}}{-r_{A}}. And the reactor volume is \frac{(\tau + t_{assist} )\times Q}{f} The calculated reactor volume V is 10.68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</si>
  <si>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0.72.&lt;end_of_turn&gt;
&lt;start_of_turn&gt;model
</t>
  </si>
  <si>
    <t>For the PFR reactor,-r_{A} =k\times c_{A}^2 kmol/(L*min), c_{A} =c_{A0} \times (1-x_{A} ) ,the residence time \tau is obtained by c_{A0}\times\int_{0}^{x_{f}}\frac{dx_{A}}{-r_{A}}. The residence time \tau of the PFR reactor is 0.53 h.</t>
  </si>
  <si>
    <t xml:space="preserve">&lt;bos&gt;&lt;start_of_turn&gt;user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kmol/m3.&lt;end_of_turn&gt;
&lt;start_of_turn&gt;model
</t>
  </si>
  <si>
    <t>For the CSTR reactor,-r_{A} =k\times c_{A}^2 kmol/(L*min), c_{A} =c_{A0} \times (1-x_{A} ) the residence time \tau is calculated by \frac{c_{A0} \times x_{f} }{-r_{A} } . The residence time \tau of the CSTR reactor is 2.78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</si>
  <si>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kmol/m3.&lt;end_of_turn&gt;
&lt;start_of_turn&gt;model
</t>
  </si>
  <si>
    <t>For the PFR reactor,-r_{A} =k\times c_{A}^3 kmol/(L*min), c_{A} =c_{A0} \times (1-x_{A} ) ,the residence time \tau is obtained by c_{A0}\times\int_{0}^{x_{f}}\frac{dx_{A}}{-r_{A}}. The residence time \tau of the PFR reactor is 2.17 h.</t>
  </si>
  <si>
    <t xml:space="preserve">&lt;bos&gt;&lt;start_of_turn&gt;user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kmol/m3.&lt;end_of_turn&gt;
&lt;start_of_turn&gt;model
</t>
  </si>
  <si>
    <t>For the BR reactor,-r_{A} =k\times c_{A}^2\times c_{B}^2 kmol/(L*min), c_{A} =c_{A0} \times (1-x_{A} ), c_{B} =c_{B0} - c_{A0} \times x_{A}, the residence time \tau is obtained by c_{A0}\times\int_{0}^{x_{f}}\frac{dx_{A}}{-r_{A}}. The residence time \tau of the BR reactor is 0.16 h.</t>
  </si>
  <si>
    <t xml:space="preserve">&lt;bos&gt;&lt;start_of_turn&gt;user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0.74.&lt;end_of_turn&gt;
&lt;start_of_turn&gt;model
</t>
  </si>
  <si>
    <t xml:space="preserve">&lt;bos&gt;&lt;start_of_turn&gt;user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kmol/m3.&lt;end_of_turn&gt;
&lt;start_of_turn&gt;model
</t>
  </si>
  <si>
    <t>For the BR reactor,-r_{A} =k\times c_{A}^2\times c_{B}^2 kmol/(L*min), c_{A} =c_{A0} \times (1-x_{A} ), c_{B} =c_{B0}- c_{A0} \times x_{A}, the residence time \tau is obtained by c_{A0}\times\int_{0}^{x_{f}}\frac{dx_{A}}{-r_{A}}. And the reactor volume is \frac{(\tau + t_{assist} )\times Q}{f} The calculated reactor volume V is 0.23 Cubic Meters.</t>
  </si>
  <si>
    <t xml:space="preserve">&lt;bos&gt;&lt;start_of_turn&gt;user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0.49.&lt;end_of_turn&gt;
&lt;start_of_turn&gt;model
</t>
  </si>
  <si>
    <t>For the CSTR reactor,-r_{A} =k\times c_{A}^1\times c_{B}^2 kmol/(L*min), c_{A} =c_{A0} \times (1-x_{A} ), c_{B} =c_{B0}- c_{A0} \times x_{A}, the residence time \tau is calculated by \frac{c_{A0} \times x_{f} }{-r_{A} }. And the reactor volume is \tau \times Q The calculated reactor volume V is 151230.82 Cubic Meters.</t>
  </si>
  <si>
    <t xml:space="preserve">&lt;bos&gt;&lt;start_of_turn&gt;user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kmol/m3.&lt;end_of_turn&gt;
&lt;start_of_turn&gt;model
</t>
  </si>
  <si>
    <t>For the PFR reactor,-r_{A} =k\times c_{A}^2\times c_{B}^3 kmol/(L*min), c_{A} =c_{A0} \times (1-x_{A} ), c_{B} =c_{B0}- c_{A0} \times x_{A}, the residence time \tau is obtained by c_{A0}\times\int_{0}^{x_{f}}\frac{dx_{A}}{-r_{A}}. And the reactor volume is \tau \times Q The calculated reactor volume V is 0.58 Cubic Meters.</t>
  </si>
  <si>
    <t xml:space="preserve">&lt;bos&gt;&lt;start_of_turn&gt;user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kmol/m3.&lt;end_of_turn&gt;
&lt;start_of_turn&gt;model
</t>
  </si>
  <si>
    <t>For the CSTR reactor,-r_{A} =k\times c_{A}^1 kmol/(L*min), c_{A} =c_{A0} \times (1-x_{A} ) the residence time \tau is calculated by \frac{c_{A0} \times x_{f} }{-r_{A} }. And the reactor volume is \tau \times Q The calculated reactor volume V is 0.39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</si>
  <si>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kmol/m3.&lt;end_of_turn&gt;
&lt;start_of_turn&gt;model
</t>
  </si>
  <si>
    <t>For the PFR reactor,-r_{A} =k\times c_{A}^3\times c_{B}^2 kmol/(L*min), c_{A} =c_{A0} \times (1-x_{A} ), c_{B} =c_{B0} - c_{A0} \times x_{A}, the residence time \tau is obtained by c_{A0}\times\int_{0}^{x_{f}}\frac{dx_{A}}{-r_{A}}. The residence time \tau of the PFR reactor is 2.3 h.</t>
  </si>
  <si>
    <t xml:space="preserve">&lt;bos&gt;&lt;start_of_turn&gt;user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kmol/m3.&lt;end_of_turn&gt;
&lt;start_of_turn&gt;model
</t>
  </si>
  <si>
    <t>For the PFR reactor,-r_{A} =k\times c_{A}^3 kmol/(L*min), c_{A} =c_{A0} \times (1-x_{A} ) ,the residence time \tau is obtained by c_{A0}\times\int_{0}^{x_{f}}\frac{dx_{A}}{-r_{A}}. And the reactor volume is \tau \times Q The calculated reactor volume V is 0.33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</si>
  <si>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kmol/m3.&lt;end_of_turn&gt;
&lt;start_of_turn&gt;model
</t>
  </si>
  <si>
    <t>&lt;think&gt;
&lt;/think&gt;
For the CSTR reactor,-r_{A} =k\times c_{A}^3\times c_{B}^2 kmol/(L*min), c_{A} =c_{A0} \times (1-x_{A} ), c_{B} =c_{B0}- c_{A0} \times x_{A}, the residence time \tau is calculated by \frac{c_{A0} \times x_{f} }{-r_{A} }. The residence time \tau of the CSTR reactor is 3.29 h.</t>
  </si>
  <si>
    <t>&lt;think&gt;
&lt;/think&gt;
For the CSTR reactor,-r_{A} =k\times c_{A}^3\times c_{B}^2 kmol/(L*min), c_{A} =c_{A0} \times (1-x_{A} ), c_{B} =c_{B0}, x_{f} =1-x_{A},the residence time \tau is calculated by \frac{c_{A0} \times x_{f} \times \int_{0}^{c_{A0}}\frac{dc_{A}}{c_{A0}^3 \times c_{B0}^2 \times k} - \frac{c_{A}}{c_{A0}^3 \times c_{B0}^2 \times k}}{ -r_{A} } }{-r_{A} } is obtained by the integral algorithm. The residence time \tau of the CSTR reactor is 0.07 h.</t>
  </si>
  <si>
    <t>&lt;｜begin▁of▁sentence｜&gt;&lt;｜User｜&gt;Please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kmol/m3.&lt;｜Assistant｜&gt;</t>
  </si>
  <si>
    <t>&lt;think&gt;
&lt;/think&gt;
For the BR reactor,-r_{A} =k\times c_{A}^2\times c_{B}^1 kmol/(L*min), c_{A} =c_{A0} \times (1-x_{A} ), c_{B} =c_{B0}- c_{A0} \times x_{A}, the residence time \tau is obtained by c_{A0}\times\int_{0}^{x_{f}}\frac{dx_{A}}{-r_{A}}. And the reactor volume is \frac{(\tau + t_{assist} )\times Q}{f} The calculated reactor volume V is 0.39 Cubic Meters.</t>
  </si>
  <si>
    <t>&lt;think&gt;
&lt;/think&gt;
For the BR reactor,-r_{A} =k\times c_{A}^2\times c_{B}^1 kmol/(L*min), c_{A} =c_{A0} \times (1-x_{A} ), c_{B} =c_{B0}- c_{A0} \times x_{A}, the residence time \tau is obtained by c_{A0}\times\int_{0}^{x_{f}}\frac{dx_{A}}{-r_{A}}. And the reactor volume is \frac{(\tau + t_{assist} )\times Q}{f} The calculated reactor volume V is 0.87 Cubic Meters.</t>
  </si>
  <si>
    <t>&lt;｜begin▁of▁sentence｜&gt;&lt;｜User｜&gt;Please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0.64.&lt;｜Assistant｜&gt;</t>
  </si>
  <si>
    <t>&lt;think&gt;
&lt;/think&gt;
For the CSTR reactor,-r_{A} =k\times c_{A}^1\times c_{B}^1 kmol/(L*min), c_{A} =c_{A0} \times (1-x_{A} ), c_{B} =c_{B0}- c_{A0} \times x_{A}, the residence time \tau is calculated by \frac{c_{A0} \times x_{f} }{-r_{A} }. The residence time \tau of the CSTR reactor is 11.42 h.</t>
  </si>
  <si>
    <t>&lt;think&gt;
&lt;/think&gt;
For the CSTR reactor,-r_{A} =k\times c_{A}^1\times c_{B}^1 kmol/(L*min), c_{A} =c_{A0} \times (1-x_{A} ), c_{B} =c_{B0}- c_{A0} \times x_{A}, the residence time \tau is calculated by \frac{c_{A0} \times x_{f} }{-r_{A} }. The residence time \tau of the CSTR reactor is 0.11 h.</t>
  </si>
  <si>
    <t>&lt;｜begin▁of▁sentence｜&gt;&lt;｜User｜&gt;Please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kmol/m3.&lt;｜Assistant｜&gt;</t>
  </si>
  <si>
    <t>&lt;think&gt;
&lt;/think&gt;
For the CSTR reactor,-r_{A} =k\times c_{A}^1\times c_{B}^1 kmol/(L*min), c_{A} =c_{A0} \times (1-x_{A} ), c_{B} =c_{B0}- c_{A0} \times x_{A}, the residence time \tau is calculated by \frac{c_{A0} \times x_{f} }{-r_{A} }. The residence time \tau of the CSTR reactor is 2.86 h.</t>
  </si>
  <si>
    <t>&lt;think&gt;
&lt;/think&gt;
For the CSTR reactor,-r_{A} =k\times c_{A}^1\times c_{B}^1 kmol/(L*min), c_{A} =c_{A0} \times (1-x_{A} ), c_{B} =c_{B0}- c_{A0} \times x_{A}, the residence time \tau is calculated by \frac{c_{A0} \times x_{f} }{-r_{A} }. The residence time \tau of the CSTR reactor is 3.01 h.</t>
  </si>
  <si>
    <t>&lt;｜begin▁of▁sentence｜&gt;&lt;｜User｜&gt;Please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kmol/m3.&lt;｜Assistant｜&gt;</t>
  </si>
  <si>
    <t>&lt;think&gt;
&lt;/think&gt;
For the PFR reactor,-r_{A} =k\times c_{A}^3\times c_{B}^1 kmol/(L*min), c_{A} =c_{A0} \times (1-x_{A} ), c_{B} =c_{B0} - c_{A0} \times x_{A}, the residence time \tau is obtained by c_{A0}\times\int_{0}^{x_{f}}\frac{dx_{A}}{-r_{A}}. The residence time \tau of the PFR reactor is 0.14 h.</t>
  </si>
  <si>
    <t>&lt;think&gt;
&lt;/think&gt;
For the PFR reactor,-r_{A} =k\times c_{A}^3\times c_{B}^1 kmol/(L*min), c_{A} =c_{A0} \times (1-x_{A} ), c_{B} =c_{B0} - c_{A0} \times x_{A}, the residence time \tau is obtained by c_{A0}\times\int_{0}^{x_{f}}\frac{dx_{A}}{-r_{A}}. The residence time \tau of the PFR reactor is 0.15 h.</t>
  </si>
  <si>
    <t>&lt;｜begin▁of▁sentence｜&gt;&lt;｜User｜&gt;Please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kmol/m3.&lt;｜Assistant｜&gt;</t>
  </si>
  <si>
    <t>&lt;think&gt;
&lt;/think&gt;
For the CSTR reactor,-r_{A} =k\times c_{A}^3 kmol/(L*min), c_{A} =c_{A0} \times (1-x_{A} ) the residence time \tau is calculated by \frac{c_{A0} \times x_{f} }{-r_{A} }. And the reactor volume is \tau \times Q The calculated reactor volume V is 109.1 Cubic Meters.</t>
  </si>
  <si>
    <t>&lt;think&gt;
&lt;/think&gt;
For the CSTR reactor,-r_{A} =k\times c_{A}^3 kmol/(L*min), c_{A} =c_{A0} \times (1-x_{A} ) the residence time \tau is calculated by \frac{c_{A0} \times x_{f} }{-r_{A} }. And the reactor volume is \tau \times Q The calculated reactor volume V is 285.72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</si>
  <si>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kmol/m3.&lt;｜Assistant｜&gt;</t>
  </si>
  <si>
    <t>&lt;think&gt;
&lt;/think&gt;
For the PFR reactor,-r_{A} =k\times c_{A}^2 kmol/(L*min), c_{A} =c_{A0} \times (1-x_{A} ) ,the residence time \tau is obtained by c_{A0}\times\int_{0}^{x_{f}}\frac{dx_{A}}{-r_{A}}. And the reactor volume is \tau \times Q The calculated reactor volume V is 0.68 Cubic Meters.</t>
  </si>
  <si>
    <t>&lt;think&gt;
&lt;/think&gt;
The reactor volume is 0.12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</si>
  <si>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kmol/m3.&lt;｜Assistant｜&gt;</t>
  </si>
  <si>
    <t>&lt;think&gt;
&lt;/think&gt;
For the PFR reactor,-r_{A} =k\times c_{A}^2 kmol/(L*min), c_{A} =c_{A0} \times (1-x_{A} ) ,the residence time \tau is obtained by c_{A0}\times\int_{0}^{x_{f}}\frac{dx_{A}}{-r_{A}}. And the reactor volume is \tau \times Q The calculated reactor volume V is 2.84 Cubic Meters.</t>
  </si>
  <si>
    <t>&lt;think&gt;
&lt;/think&gt;
The reactor volume is 0.02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</si>
  <si>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kmol/m3.&lt;｜Assistant｜&gt;</t>
  </si>
  <si>
    <t>&lt;think&gt;
&lt;/think&gt;
For the BR reactor,-r_{A} =k\times c_{A}^2 kmol/(L*min), c_{A} =c_{A0} \times (1-x_{A} ) ,the residence time \tau is obtained by c_{A0}\times\int_{0}^{x_{f}}\frac{dx_{A}}{-r_{A}}. The residence time \tau of the BR reactor is 2.91 h.</t>
  </si>
  <si>
    <t>&lt;think&gt;
&lt;/think&gt;
For the BR reactor,-r_{A} =k\times c_{A}^2 kmol/(L*min), c_{A} =c_{A0} \times (1-x_{A} ) ,the residence time \tau is obtained by c_{A0}\times\int_{0}^{x_{f}}\frac{dx_{A}}{-r_{A}}. The residence time \tau of the BR reactor is 4.35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</si>
  <si>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0.45.&lt;｜Assistant｜&gt;</t>
  </si>
  <si>
    <t>&lt;think&gt;
&lt;/think&gt;
For the PFR reactor,-r_{A} =k\times c_{A}^2\times c_{B}^1 kmol/(L*min), c_{A} =c_{A0} \times (1-x_{A} ), c_{B} =c_{B0} - c_{A0} \times x_{A}, the residence time \tau is obtained by c_{A0}\times\int_{0}^{x_{f}}\frac{dx_{A}}{-r_{A}}. The residence time \tau of the PFR reactor is 4.77 h.</t>
  </si>
  <si>
    <t>&lt;think&gt;
&lt;/think&gt;
For the PFR reactor,-r_{A} =k\times c_{A}^2\times c_{B}^1 kmol/(L*min), c_{A} =c_{A0} \times (1-x_{A} ), c_{B} =c_{B0} - c_{A0} \times x_{A}, the residence time \tau is obtained by c_{A0}\times\int_{0}^{x_{f}}\frac{dx_{A}}{-r_{A}}. The residence time \tau of the PFR reactor is 0.4 h.</t>
  </si>
  <si>
    <t>&lt;｜begin▁of▁sentence｜&gt;&lt;｜User｜&gt;Please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kmol/m3.&lt;｜Assistant｜&gt;</t>
  </si>
  <si>
    <t>&lt;think&gt;
&lt;/think&gt;
For the PFR reactor,-r_{A} =k\times c_{A}^3 kmol/(L*min), c_{A} =c_{A0} \times (1-x_{A} ) ,the residence time \tau is obtained by c_{A0}\times\int_{0}^{x_{f}}\frac{dx_{A}}{-r_{A}}. And the reactor volume is \tau \times Q The calculated reactor volume V is 0.42 Cubic Meters.</t>
  </si>
  <si>
    <t>&lt;think&gt;
&lt;/think&gt;
The reactor volume is 0.21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</si>
  <si>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kmol/m3.&lt;｜Assistant｜&gt;</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</si>
  <si>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0.01 Cubic Meters.</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</si>
  <si>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0.05 Cubic Meters.</t>
  </si>
  <si>
    <t>&lt;｜begin▁of▁sentence｜&gt;&lt;｜User｜&gt;Please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0.55.&lt;｜Assistant｜&gt;</t>
  </si>
  <si>
    <t>&lt;think&gt;
&lt;/think&gt;
For the CSTR reactor,-r_{A} =k\times c_{A}^1 kmol/(L*min), c_{A} =c_{A0} \times (1-x_{A} ) the residence time \tau is calculated by \frac{c_{A0} \times x_{f} }{-r_{A} } . The residence time \tau of the CSTR reactor is 2.53 h.</t>
  </si>
  <si>
    <t>&lt;think&gt;
&lt;/think&gt;
For the CSTR reactor,-r_{A} =k\times c_{A}^1 kmol/(L*min), c_{A} =c_{A0} \times (1-x_{A} ) the residence time \tau is calculated by \frac{c_{A0} \times x_{f} }{-r_{A} }. The residence time \tau of the CSTR reactor is 2.24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</si>
  <si>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kmol/m3.&lt;｜Assistant｜&gt;</t>
  </si>
  <si>
    <t>&lt;think&gt;
&lt;/think&gt;
For the CSTR reactor,-r_{A} =k\times c_{A}^1 kmol/(L*min), c_{A} =c_{A0} \times (1-x_{A} ) the residence time \tau is calculated by \frac{c_{A0} \times x_{f} }{-r_{A} }. And the reactor volume is \tau \times Q The calculated reactor volume V is 2.56 Cubic Meters.</t>
  </si>
  <si>
    <t>&lt;think&gt;
&lt;/think&gt;
For the CSTR reactor,-r_{A} =k\times c_{A}^1 kmol/(L*min), c_{A} =c_{A0} \times (1-x_{A} ) the residence time \tau is calculated by \frac{c_{A0} \times x_{f} }{-r_{A} }. And the reactor volume is \tau \times Q The calculated reactor volume V is 1.86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</si>
  <si>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kmol/m3.&lt;｜Assistant｜&gt;</t>
  </si>
  <si>
    <t>&lt;think&gt;
&lt;/think&gt;
For the BR reactor,-r_{A} =k\times c_{A}^1\times c_{B}^3 kmol/(L*min), c_{A} =c_{A0} \times (1-x_{A} ), c_{B} =c_{B0}- c_{A0} \times x_{A}, the residence time \tau is obtained by c_{A0}\times\int_{0}^{x_{f}}\frac{dx_{A}}{-r_{A}}. And the reactor volume is \frac{(\tau + t_{assist} )\times Q}{f} The calculated reactor volume V is 938051.65 Cubic Meters.</t>
  </si>
  <si>
    <t>&lt;think&gt;
&lt;/think&gt;
For the BR reactor,-r_{A} =k\times c_{A}^1\times c_{B}^3 kmol/(L*min), c_{A} =c_{A0} \times (1-x_{A} ), c_{B} =c_{B0}- c_{A0} \times x_{A}, the residence time \tau is obtained by c_{A0}\times\int_{0}^{x_{f}}\frac{dx_{A}}{-r_{A}}. And the reactor volume is \frac{(\tau + t_{assist} )\times Q}{f} The calculated reactor volume V is 2.79 Cubic Meters.</t>
  </si>
  <si>
    <t>&lt;｜begin▁of▁sentence｜&gt;&lt;｜User｜&gt;Please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0.42.&lt;｜Assistant｜&gt;</t>
  </si>
  <si>
    <t>&lt;think&gt;
&lt;/think&gt;
For the CSTR reactor,-r_{A} =k\times c_{A}^3\times c_{B}^3 kmol/(L*min), c_{A} =c_{A0} \times (1-x_{A} ), c_{B} =c_{B0}- c_{A0} \times x_{A}, the residence time \tau is calculated by \frac{c_{A0} \times x_{f} }{-r_{A} }. The residence time \tau of the CSTR reactor is 3.63 h.</t>
  </si>
  <si>
    <t>&lt;think&gt;
&lt;/think&gt;
For the CSTR reactor,-r_{A} =k\times c_{A}^3\times c_{B}^3 kmol/(L*min), c_{A} =c_{A0} \times (1-x_{A} ), c_{B} =c_{B0}- c_{A0} \times x_{A}, the residence time \tau is calculated by \frac{c_{A0} \times x_{f} }{-r_{A} }. The residence time \tau of the CSTR reactor is 32.84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</si>
  <si>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kmol/m3.&lt;｜Assistant｜&gt;</t>
  </si>
  <si>
    <t>&lt;think&gt;
&lt;/think&gt;
For the BR reactor,-r_{A} =k\times c_{A}^1\times c_{B}^2 kmol/(L*min), c_{A} =c_{A0} \times (1-x_{A} ), c_{B} =c_{B0} - c_{A0} \times x_{A}, the residence time \tau is obtained by c_{A0}\times\int_{0}^{x_{f}}\frac{dx_{A}}{-r_{A}}. The residence time \tau of the BR reactor is 9.03 h.</t>
  </si>
  <si>
    <t>&lt;think&gt;
&lt;/think&gt;
For the BR reactor,-r_{A} =k\times c_{A}^1\times c_{B}^2 kmol/(L*min), c_{A} =c_{A0} \times (1-x_{A} ), c_{B} =c_{B0} - c_{A0} \times x_{A}, the residence time \tau is obtained by c_{A0}\times\int_{0}^{x_{f}}\frac{dx_{A}}{-r_{A}}. The residence time \tau of the BR reactor is 1.25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</si>
  <si>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0.61.&lt;｜Assistant｜&gt;</t>
  </si>
  <si>
    <t>&lt;think&gt;
&lt;/think&gt;
For the PFR reactor,-r_{A} =k\times c_{A}^3\times c_{B}^3 kmol/(L*min), c_{A} =c_{A0} \times (1-x_{A} ), c_{B} =c_{B0} - c_{A0} \times x_{A}, the residence time \tau is obtained by c_{A0}\times\int_{0}^{x_{f}}\frac{dx_{A}}{-r_{A}}. The residence time \tau of the PFR reactor is 0.04 h.</t>
  </si>
  <si>
    <t>&lt;think&gt;
&lt;/think&gt;
For the PFR reactor,-r_{A} =k\times c_{A}^3\times c_{B}^3 kmol/(L*min), c_{A} =c_{A0} \times (1-x_{A} ), c_{B} =c_{B0} - c_{A0} \times x_{A}, the residence time \tau is obtained by c_{A0}\times\int_{0}^{x_{f}}\frac{dx_{A}}{-r_{A}}. The residence time \tau of the PFR reactor is 0.01 h.</t>
  </si>
  <si>
    <t>&lt;｜begin▁of▁sentence｜&gt;&lt;｜User｜&gt;Please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kmol/m3.&lt;｜Assistant｜&gt;</t>
  </si>
  <si>
    <t>&lt;think&gt;
&lt;/think&gt;
For the BR reactor,-r_{A} =k\times c_{A}^2 kmol/(L*min), c_{A} =c_{A0} \times (1-x_{A} ) ,the residence time \tau is obtained by c_{A0}\times\int_{0}^{x_{f}}\frac{dx_{A}}{-r_{A}}. And the reactor volume is \frac{(\tau + t_{assist} )\times Q}{f} The calculated reactor volume V is 1.93 Cubic Meters.</t>
  </si>
  <si>
    <t>&lt;think&gt;
&lt;/think&gt;
For the BR reactor,-r_{A} =k\times c_{A}^2 kmol/(L*min), c_{A} =c_{A0} \times (1-x_{A} ) ,the residence time \tau is obtained by c_{A0}\times\int_{0}^{x_{f}}\frac{dx_{A}}{-r_{A}}. And the reactor volume is \frac{(\tau + t_{assist} )\times Q}{f} The calculated reactor volume V is 2.85 Cubic Meters.</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</si>
  <si>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0.48.&lt;｜Assistant｜&gt;</t>
  </si>
  <si>
    <t>&lt;think&gt;
&lt;/think&gt;
For the CSTR reactor,-r_{A} =k\times c_{A}^3 kmol/(L*min), c_{A} =c_{A0} \times (1-x_{A} ) the residence time \tau is calculated by \frac{c_{A0} \times x_{f} }{-r_{A} }. And the reactor volume is \tau \times Q The calculated reactor volume V is 0.28 Cubic Meters.</t>
  </si>
  <si>
    <t>&lt;think&gt;
&lt;/think&gt;
The reactor volume is 0.36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</si>
  <si>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kmol/m3.&lt;｜Assistant｜&gt;</t>
  </si>
  <si>
    <t>&lt;think&gt;
&lt;/think&gt;
For the CSTR reactor,-r_{A} =k\times c_{A}^1 kmol/(L*min), c_{A} =c_{A0} \times (1-x_{A} ) the residence time \tau is calculated by \frac{c_{A0} \times x_{f} }{-r_{A} }. And the reactor volume is \tau \times Q The calculated reactor volume V is 15.36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</si>
  <si>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kmol/m3.&lt;｜Assistant｜&gt;</t>
  </si>
  <si>
    <t>&lt;think&gt;
&lt;/think&gt;
For the PFR reactor,-r_{A} =k\times c_{A}^2 kmol/(L*min), c_{A} =c_{A0} \times (1-x_{A} ) ,the residence time \tau is obtained by c_{A0}\times\int_{0}^{x_{f}}\frac{dx_{A}}{-r_{A}}. And the reactor volume is \tau \times Q The calculated reactor volume V is 3.16 Cubic Meters.</t>
  </si>
  <si>
    <t>&lt;think&gt;
&lt;/think&gt;
The reactor volume is 0.25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</si>
  <si>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kmol/m3.&lt;｜Assistant｜&gt;</t>
  </si>
  <si>
    <t>&lt;think&gt;
&lt;/think&gt;
For the BR reactor,-r_{A} =k\times c_{A}^1\times c_{B}^2 kmol/(L*min), c_{A} =c_{A0} \times (1-x_{A} ), c_{B} =c_{B0} - c_{A0} \times x_{A}, the residence time \tau is obtained by c_{A0}\times\int_{0}^{x_{f}}\frac{dx_{A}}{-r_{A}}. The residence time \tau of the BR reactor is 0.03 h.</t>
  </si>
  <si>
    <t>&lt;think&gt;
&lt;/think&gt;
For the BR reactor,-r_{A} =k\times c_{A}^1\times c_{B}^2 kmol/(L*min), c_{A} =c_{A0} \times (1-x_{A} ), c_{B} =c_{B0} - c_{A0} \times x_{A}, the residence time \tau is obtained by c_{A0}\times\int_{0}^{x_{f}}\frac{dx_{A}}{-r_{A}}. The residence time \tau of the BR reactor is 0.01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</si>
  <si>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0.64.&lt;｜Assistant｜&gt;</t>
  </si>
  <si>
    <t>&lt;think&gt;
&lt;/think&gt;
For the BR reactor,-r_{A} =k\times c_{A}^1\times c_{B}^3 kmol/(L*min), c_{A} =c_{A0} \times (1-x_{A} ), c_{B} =c_{B0} - c_{A0} \times x_{A}, the residence time \tau is obtained by c_{A0}\times\int_{0}^{x_{f}}\frac{dx_{A}}{-r_{A}}. The residence time \tau of the BR reactor is 0.01 h.</t>
  </si>
  <si>
    <t>&lt;think&gt;
&lt;/think&gt;
For the BR reactor,-r_{A} =k\times c_{A}^1\times c_{B}^3 kmol/(L*min), c_{A} =c_{A0} \times (1-x_{A} ), c_{B} =c_{B0} - c_{A0} \times x_{A}, the residence time \tau is obtained by c_{A0}\times\int_{0}^{x_{f}}\frac{dx_{A}}{-r_{A}}. The residence time \tau of the BR reactor is 0.3 h.</t>
  </si>
  <si>
    <t>&lt;｜begin▁of▁sentence｜&gt;&lt;｜User｜&gt;Please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0.53.&lt;｜Assistant｜&gt;</t>
  </si>
  <si>
    <t>&lt;think&gt;
&lt;/think&gt;
For the PFR reactor,-r_{A} =k\times c_{A}^3 kmol/(L*min), c_{A} =c_{A0} \times (1-x_{A} ) ,the residence time \tau is obtained by c_{A0}\times\int_{0}^{x_{f}}\frac{dx_{A}}{-r_{A}}. And the reactor volume is \tau \times Q The calculated reactor volume V is 84.49 Cubic Meters.</t>
  </si>
  <si>
    <t>&lt;think&gt;
&lt;/think&gt;
The reactor volume is 1.88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</si>
  <si>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kmol/m3.&lt;｜Assistant｜&gt;</t>
  </si>
  <si>
    <t>&lt;think&gt;
&lt;/think&gt;
For the CSTR reactor,-r_{A} =k\times c_{A}^1 kmol/(L*min), c_{A} =c_{A0} \times (1-x_{A} ) the residence time \tau is calculated by \frac{c_{A0} \times x_{f} }{-r_{A} } . The residence time \tau of the CSTR reactor is 16.52 h.</t>
  </si>
  <si>
    <t>&lt;think&gt;
&lt;/think&gt;
For the CSTR reactor,-r_{A} =k\times c_{A}^1 kmol/(L*min), c_{A} =c_{A0} \times (1-x_{A} ) the residence time \tau is calculated by \frac{c_{A0} \times x_{f} }{-r_{A} }. The residence time \tau of the CSTR reactor is 12.26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</si>
  <si>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kmol/m3.&lt;｜Assistant｜&gt;</t>
  </si>
  <si>
    <t>&lt;think&gt;
&lt;/think&gt;
For the PFR reactor,-r_{A} =k\times c_{A}^3\times c_{B}^2 kmol/(L*min), c_{A} =c_{A0} \times (1-x_{A} ), c_{B} =c_{B0} - c_{A0} \times x_{A}, the residence time \tau is obtained by c_{A0}\times\int_{0}^{x_{f}}\frac{dx_{A}}{-r_{A}}. The residence time \tau of the PFR reactor is 0.29 h.</t>
  </si>
  <si>
    <t>&lt;think&gt;
&lt;/think&gt;
For the PFR reactor,-r_{A} =k\times c_{A}^3\times c_{B}^2 kmol/(L*min), c_{A} =c_{A0} \times (1-x_{A} ), c_{B} =c_{B0} - c_{A0} \times x_{A}, the residence time \tau is obtained by c_{A0}\times\int_{0}^{x_{f}}\frac{dx_{A}}{-r_{A}}. The residence time \tau of the PFR reactor is 0.34 h.</t>
  </si>
  <si>
    <t>&lt;｜begin▁of▁sentence｜&gt;&lt;｜User｜&gt;Please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kmol/m3.&lt;｜Assistant｜&gt;</t>
  </si>
  <si>
    <t>&lt;think&gt;
&lt;/think&gt;
For the BR reactor,-r_{A} =k\times c_{A}^2\times c_{B}^2 kmol/(L*min), c_{A} =c_{A0} \times (1-x_{A} ), c_{B} =c_{B0} - c_{A0} \times x_{A}, the residence time \tau is obtained by c_{A0}\times\int_{0}^{x_{f}}\frac{dx_{A}}{-r_{A}}. The residence time \tau of the BR reactor is 245824486.11 h.</t>
  </si>
  <si>
    <t>&lt;think&gt;
&lt;/think&gt;
For the BR reactor,-r_{A} =k\times c_{A}^2\times c_{B}^2 kmol/(L*min), c_{A} =c_{A0} \times (1-x_{A} ), c_{B} =c_{B0} - c_{A0} \times x_{A}, the residence time \tau is obtained by c_{A0}\times\int_{0}^{x_{f}}\frac{dx_{A}}{-r_{A}}. The residence time \tau of the BR reactor is 0.06 h.</t>
  </si>
  <si>
    <t>&lt;｜begin▁of▁sentence｜&gt;&lt;｜User｜&gt;Please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0.7.&lt;｜Assistant｜&gt;</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</si>
  <si>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0.25 Cubic Meters.</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</si>
  <si>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0.34 Cubic Meters.</t>
  </si>
  <si>
    <t>&lt;｜begin▁of▁sentence｜&gt;&lt;｜User｜&gt;Please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0.6.&lt;｜Assistant｜&gt;</t>
  </si>
  <si>
    <t>&lt;think&gt;
&lt;/think&gt;
For the BR reactor,-r_{A} =k\times c_{A}^2 kmol/(L*min), c_{A} =c_{A0} \times (1-x_{A} ) ,the residence time \tau is obtained by c_{A0}\times\int_{0}^{x_{f}}\frac{dx_{A}}{-r_{A}}. The residence time \tau of the BR reactor is 0.53 h.</t>
  </si>
  <si>
    <t>&lt;think&gt;
&lt;/think&gt;
For the BR reactor,-r_{A} =k\times c_{A}^2 kmol/(L*min), c_{A} =c_{A0} \times (1-x_{A} ) ,the residence time \tau is obtained by c_{A0}\times\int_{0}^{x_{f}}\frac{dx_{A}}{-r_{A}}. The residence time \tau of the BR reactor is 0.14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</si>
  <si>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0.71.&lt;｜Assistant｜&gt;</t>
  </si>
  <si>
    <t>&lt;think&gt;
&lt;/think&gt;
For the CSTR reactor,-r_{A} =k\times c_{A}^1 kmol/(L*min), c_{A} =c_{A0} \times (1-x_{A} ) the residence time \tau is calculated by \frac{c_{A0} \times x_{f} }{-r_{A} }. And the reactor volume is \tau \times Q The calculated reactor volume V is 246.41 Cubic Meters.</t>
  </si>
  <si>
    <t>&lt;think&gt;
&lt;/think&gt;
The reactor volume is 0.31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</si>
  <si>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kmol/m3.&lt;｜Assistant｜&gt;</t>
  </si>
  <si>
    <t>&lt;think&gt;
&lt;/think&gt;
For the CSTR reactor,-r_{A} =k\times c_{A}^3\times c_{B}^3 kmol/(L*min), c_{A} =c_{A0} \times (1-x_{A} ), c_{B} =c_{B0}- c_{A0} \times x_{A}, the residence time \tau is calculated by \frac{c_{A0} \times x_{f} }{-r_{A} }. And the reactor volume is \tau \times Q The calculated reactor volume V is 0.84 Cubic Meters.</t>
  </si>
  <si>
    <t>&lt;think&gt;
&lt;/think&gt;
For the CSTR reactor,-r_{A} =k\times c_{A}^3\times c_{B}^3 kmol/(L*min), c_{A} =c_{A0} \times (1-x_{A} ), c_{B} =c_{B0}- c_{A0} \times x_{A}, the residence time \tau is calculated by \frac{c_{A0} \times x_{f} }{-r_{A} }. And the reactor volume is \tau \times Q The calculated reactor volume V is 0.36 Cubic Meters.</t>
  </si>
  <si>
    <t>&lt;｜begin▁of▁sentence｜&gt;&lt;｜User｜&gt;Please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kmol/m3.&lt;｜Assistant｜&gt;</t>
  </si>
  <si>
    <t>&lt;think&gt;
&lt;/think&gt;
For the PFR reactor,-r_{A} =k\times c_{A}^2 kmol/(L*min), c_{A} =c_{A0} \times (1-x_{A} ) ,the residence time \tau is obtained by c_{A0}\times\int_{0}^{x_{f}}\frac{dx_{A}}{-r_{A}}. And the reactor volume is \tau \times Q The calculated reactor volume V is 104.45 Cubic Meters.</t>
  </si>
  <si>
    <t>&lt;think&gt;
&lt;/think&gt;
The reactor volume is 0.98 m³.</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</si>
  <si>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kmol/m3.&lt;｜Assistant｜&gt;</t>
  </si>
  <si>
    <t>&lt;think&gt;
&lt;/think&gt;
For the BR reactor,-r_{A} =k\times c_{A}^2 kmol/(L*min), c_{A} =c_{A0} \times (1-x_{A} ) ,the residence time \tau is obtained by c_{A0}\times\int_{0}^{x_{f}}\frac{dx_{A}}{-r_{A}}. And the reactor volume is \frac{(\tau + t_{assist} )\times Q}{f} The calculated reactor volume V is 4.49 Cubic Meters.</t>
  </si>
  <si>
    <t>&lt;think&gt;
&lt;/think&gt;
For the BR reactor,-r_{A} =k\times c_{A}^2 kmol/(L*min), c_{A} =c_{A0} \times (1-x_{A} ) ,the residence time \tau is obtained by c_{A0}\times\int_{0}^{x_{f}}\frac{dx_{A}}{-r_{A}}. And the reactor volume is \frac{(\tau + t_{assist} )\times Q}{f} The calculated reactor volume V is 11.47 Cubic Meters.</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</si>
  <si>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0.72.&lt;｜Assistant｜&gt;</t>
  </si>
  <si>
    <t>&lt;think&gt;
&lt;/think&gt;
For the PFR reactor,-r_{A} =k\times c_{A}^2 kmol/(L*min), c_{A} =c_{A0} \times (1-x_{A} ) ,the residence time \tau is obtained by c_{A0}\times\int_{0}^{x_{f}}\frac{dx_{A}}{-r_{A}}. The residence time \tau of the PFR reactor is 0.86 h.</t>
  </si>
  <si>
    <t>&lt;think&gt;
&lt;/think&gt;
For the PFR reactor,-r_{A} =k\times c_{A}^2 kmol/(L*min), c_{A} =c_{A0} \times (1-x_{A} ) ,the residence time \tau is obtained by c_{A0}\times\int_{0}^{x_{f}}\frac{dx_{A}}{-r_{A}}. The residence time \tau of the PFR reactor is 0.33 h.</t>
  </si>
  <si>
    <t>&lt;｜begin▁of▁sentence｜&gt;&lt;｜User｜&gt;Please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kmol/m3.&lt;｜Assistant｜&gt;</t>
  </si>
  <si>
    <t>&lt;think&gt;
&lt;/think&gt;
For the CSTR reactor,-r_{A} =k\times c_{A}^2 kmol/(L*min), c_{A} =c_{A0} \times (1-x_{A} ) the residence time \tau is calculated by \frac{c_{A0} \times x_{f} }{-r_{A} } . The residence time \tau of the CSTR reactor is 12.11 h.</t>
  </si>
  <si>
    <t>&lt;think&gt;
&lt;/think&gt;
For the CSTR reactor,-r_{A} =k\times c_{A}^2 kmol/(L*min), c_{A} =c_{A0} \times (1-x_{A} ) the residence time \tau is calculated by \frac{c_{A0} \times x_{f} }{-r_{A} } . The residence time \tau of the CSTR reactor is 31.1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</si>
  <si>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kmol/m3.&lt;｜Assistant｜&gt;</t>
  </si>
  <si>
    <t>&lt;think&gt;
&lt;/think&gt;
For the PFR reactor,-r_{A} =k\times c_{A}^3 kmol/(L*min), c_{A} =c_{A0} \times (1-x_{A} ) ,the residence time \tau is obtained by c_{A0}\times\int_{0}^{x_{f}}\frac{dx_{A}}{-r_{A}}. The residence time \tau of the PFR reactor is 68.15 h.</t>
  </si>
  <si>
    <t>&lt;think&gt;
&lt;/think&gt;
For the PFR reactor,-r_{A} =k\times c_{A}^3 kmol/(L*min), c_{A} =c_{A0} \times (1-x_{A} ) ,the residence time \tau is obtained by c_{A0}\times\int_{0}^{x_{f}}\frac{dx_{A}}{-r_{A}}. The residence time \tau of the PFR reactor is 25.4 h.</t>
  </si>
  <si>
    <t>&lt;｜begin▁of▁sentence｜&gt;&lt;｜User｜&gt;Please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kmol/m3.&lt;｜Assistant｜&gt;</t>
  </si>
  <si>
    <t>&lt;think&gt;
&lt;/think&gt;
For the BR reactor,-r_{A} =k\times c_{A}^2\times c_{B}^2 kmol/(L*min), c_{A} =c_{A0} \times (1-x_{A} ), c_{B} =c_{B0} - c_{A0} \times x_{A}, the residence time \tau is obtained by c_{A0}\times\int_{0}^{x_{f}}\frac{dx_{A}}{-r_{A}}. The residence time \tau of the BR reactor is 0.08 h.</t>
  </si>
  <si>
    <t>&lt;think&gt;
&lt;/think&gt;
For the BR reactor,-r_{A} =k\times c_{A}^2\times c_{B}^2 kmol/(L*min), c_{A} =c_{A0} \times (1-x_{A} ), c_{B} =c_{B0} - c_{A0} \times x_{A}, the residence time \tau is obtained by c_{A0}\times\int_{0}^{x_{f}}\frac{dx_{A}}{-r_{A}}. The residence time \tau of the BR reactor is 0.14 h.</t>
  </si>
  <si>
    <t>&lt;｜begin▁of▁sentence｜&gt;&lt;｜User｜&gt;Please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0.74.&lt;｜Assistant｜&gt;</t>
  </si>
  <si>
    <t>&lt;think&gt;
&lt;/think&gt;
For the CSTR reactor,-r_{A} =k\times c_{A}^3\times c_{B}^2 kmol/(L*min), c_{A} =c_{A0} \times (1-x_{A} ), c_{B} =c_{B0}- c_{A0} \times x_{A}, the residence time \tau is calculated by \frac{c_{A0} \times x_{f} }{-r_{A} }. The residence time \tau of the CSTR reactor is 1453.49 h.</t>
  </si>
  <si>
    <t>&lt;think&gt;
&lt;/think&gt;
For the CSTR reactor,-r_{A} =k\times c_{A}^3\times c_{B}^2 kmol/(L*min), c_{A} =c_{A0} \times (1-x_{A} ), c_{B} =c_{B0}- c_{A0} \times x_{A}, the residence time \tau is calculated by \frac{c_{A0} \times x_{f} }{-r_{A} }. The residence time \tau of the CSTR reactor is 0.02 h.</t>
  </si>
  <si>
    <t>&lt;｜begin▁of▁sentence｜&gt;&lt;｜User｜&gt;Please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kmol/m3.&lt;｜Assistant｜&gt;</t>
  </si>
  <si>
    <t>&lt;think&gt;
&lt;/think&gt;
For the BR reactor,-r_{A} =k\times c_{A}^2\times c_{B}^2 kmol/(L*min), c_{A} =c_{A0} \times (1-x_{A} ), c_{B} =c_{B0}- c_{A0} \times x_{A}, the residence time \tau is obtained by c_{A0}\times\int_{0}^{x_{f}}\frac{dx_{A}}{-r_{A}}. And the reactor volume is \frac{(\tau + t_{assist} )\times Q}{f} The calculated reactor volume V is 0.04 Cubic Meters.</t>
  </si>
  <si>
    <t>&lt;think&gt;
&lt;/think&gt;
For the BR reactor,-r_{A} =k\times c_{A}^2\times c_{B}^2 kmol/(L*min), c_{A} =c_{A0} \times (1-x_{A} ), c_{B} =c_{B0}- c_{A0} \times x_{A}, the residence time \tau is obtained by c_{A0}\times\int_{0}^{x_{f}}\frac{dx_{A}}{-r_{A}}. And the reactor volume is \frac{(\tau + t_{assist} )\times Q}{f} The calculated reactor volume V is 2.83 Cubic Meters.</t>
  </si>
  <si>
    <t>&lt;｜begin▁of▁sentence｜&gt;&lt;｜User｜&gt;Please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0.49.&lt;｜Assistant｜&gt;</t>
  </si>
  <si>
    <t>&lt;think&gt;
&lt;/think&gt;
For the CSTR reactor,-r_{A} =k\times c_{A}^1\times c_{B}^2 kmol/(L*min), c_{A} =c_{A0} \times (1-x_{A} ), c_{B} =c_{B0}- c_{A0} \times x_{A}, the residence time \tau is calculated by \frac{c_{A0} \times x_{f} }{-r_{A} }. And the reactor volume is \tau \times Q The calculated reactor volume V is 11.92 Cubic Meters.</t>
  </si>
  <si>
    <t>&lt;think&gt;
&lt;/think&gt;
For the CSTR reactor,-r_{A} =k\times c_{A}^1\times c_{B}^2 kmol/(L*min), c_{A} =c_{A0} \times (1-x_{A} ), c_{B} =c_{B0}, the residence time \tau is calculated by \frac{c_{A0} \times x_{f} }{-r_{A} }. And the reactor volume is \tau \times Q The calculated reactor volume V is 1.93 Cubic Meters.</t>
  </si>
  <si>
    <t>&lt;｜begin▁of▁sentence｜&gt;&lt;｜User｜&gt;Please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kmol/m3.&lt;｜Assistant｜&gt;</t>
  </si>
  <si>
    <t>&lt;think&gt;
&lt;/think&gt;
For the PFR reactor,-r_{A} =k\times c_{A}^2\times c_{B}^3 kmol/(L*min), c_{A} =c_{A0} \times (1-x_{A} ), c_{B} =c_{B0}- c_{A0} \times x_{A}, the residence time \tau is obtained by c_{A0}\times\int_{0}^{x_{f}}\frac{dx_{A}}{-r_{A}}. And the reactor volume is \tau \times Q The calculated reactor volume V is 2.63 Cubic Meters.</t>
  </si>
  <si>
    <t>&lt;think&gt;
&lt;/think&gt;
For the PFR reactor,-r_{A} =k\times c_{A}^2\times c_{B}^3 kmol/(L*min), c_{A} =c_{A0} \times (1-x_{A} ), c_{B} =c_{B0}- c_{A0} \times x_{A}, the residence time \tau is obtained by c_{A0}\times\int_{0}^{x_{f}}\frac{dx_{A}}{-r_{A}}. And the reactor volume is \tau \times Q The calculated reactor volume V is 0.02 Cubic Meters.</t>
  </si>
  <si>
    <t>&lt;｜begin▁of▁sentence｜&gt;&lt;｜User｜&gt;Please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kmol/m3.&lt;｜Assistant｜&gt;</t>
  </si>
  <si>
    <t>&lt;think&gt;
&lt;/think&gt;
For the CSTR reactor,-r_{A} =k\times c_{A}^1 kmol/(L*min), c_{A} =c_{A0} \times (1-x_{A} ) the residence time \tau is calculated by \frac{c_{A0} \times x_{f} }{-r_{A} }. And the reactor volume is \tau \times Q The calculated reactor volume V is 0.29 Cubic Meters.</t>
  </si>
  <si>
    <t>&lt;think&gt;
&lt;/think&gt;
For the CSTR reactor,-r_{A} =k\times c_{A}^1 kmol/(L*min), c_{A} =c_{A0} \times (1-x_{A} ) the residence time \tau is calculated by \frac{c_{A0} \times x_{f} }{-r_{A} }. And the reactor volume is \tau \times Q The calculated reactor volume V is 0.06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</si>
  <si>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kmol/m3.&lt;｜Assistant｜&gt;</t>
  </si>
  <si>
    <t>&lt;think&gt;
&lt;/think&gt;
For the PFR reactor,-r_{A} =k\times c_{A}^3\times c_{B}^2 kmol/(L*min), c_{A} =c_{A0} \times (1-x_{A} ), c_{B} =c_{B0} - c_{A0} \times x_{A}, the residence time \tau is obtained by c_{A0}\times\int_{0}^{x_{f}}\frac{dx_{A}}{-r_{A}}. The residence time \tau of the PFR reactor is 3.36 h.</t>
  </si>
  <si>
    <t>&lt;think&gt;
&lt;/think&gt;
For the PFR reactor,-r_{A} =k\times c_{A}^3\times c_{B}^2 kmol/(L*min), c_{A} =c_{A0} \times (1-x_{A} ), c_{B} =c_{B0} - c_{A0} \times x_{A}, the residence time \tau is obtained by c_{A0}\times\int_{0}^{x_{f}}\frac{dx_{A}}{-r_{A}}. The residence time \tau of the PFR reactor is 0.03 h.</t>
  </si>
  <si>
    <t>&lt;｜begin▁of▁sentence｜&gt;&lt;｜User｜&gt;Please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kmol/m3.&lt;｜Assistant｜&gt;</t>
  </si>
  <si>
    <t>&lt;think&gt;
&lt;/think&gt;
For the PFR reactor,-r_{A} =k\times c_{A}^3 kmol/(L*min), c_{A} =c_{A0} \times (1-x_{A} ) ,the residence time \tau is obtained by c_{A0}\times\int_{0}^{x_{f}}\frac{dx_{A}}{-r_{A}}. And the reactor volume is \tau \times Q The calculated reactor volume V is 0.07 Cubic Meters.</t>
  </si>
  <si>
    <t>&lt;think&gt;
&lt;/think&gt;
For the PFR reactor,-r_{A} =k\times c_{A}^3 kmol/(L*min), c_{A} =c_{A0} \times (1-x_{A} ) ,the residence time \tau is obtained by c_{A0}\times\int_{0}^{x_{f}}\frac{dx_{A}}{-r_{A}}. And the reactor volume is \tau \times Q The calculated reactor volume V is 0.06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</si>
  <si>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kmol/m3.&lt;｜Assistant｜&gt;</t>
  </si>
  <si>
    <t>&lt;think&gt;
&lt;/think&gt;
For the BR reactor,-r_{A} =k\times c_{A}^3\times c_{B}^2 kmol/(L*min), c_{A} =c_{A0} \times (1-x_{A} ), c_{B} =c_{B0} - c_{A0} \times x_{A}, the residence time \tau is obtained by c_{A0}\times\int_{0}^{x_{f}}\frac{dx_{A}}{-r_{A}}. The residence time \tau of the BR reactor is 26.13 h.</t>
  </si>
  <si>
    <t>&lt;think&gt;
&lt;/think&gt;
For the BR reactor,-r_{A} =k\times c_{A}^3\times c_{B}^2 kmol/(L*min), c_{A} =c_{A0} \times (1-x_{A} ), c_{B} =c_{B0} - c_{A0} \times x_{A}, the residence time \tau is obtained by c_{A0}\times\int_{0}^{x_{f}}\frac{dx_{A}}{-r_{A}}. The residence time \tau of the BR reactor is 21864.1 h.</t>
  </si>
  <si>
    <t>&lt;｜begin▁of▁sentence｜&gt;&lt;｜User｜&gt;Please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0.63.&lt;｜Assistant｜&gt;</t>
  </si>
  <si>
    <t>&lt;think&gt;
&lt;/think&gt;
For the PFR reactor,-r_{A} =k\times c_{A}^2 kmol/(L*min), c_{A} =c_{A0} \times (1-x_{A} ) ,the residence time \tau is obtained by c_{A0}\times\int_{0}^{x_{f}}\frac{dx_{A}}{-r_{A}}. And the reactor volume is \tau \times Q The calculated reactor volume V is 1.06 Cubic Meters.</t>
  </si>
  <si>
    <t>&lt;think&gt;
&lt;/think&gt;
The reactor volume is 0.51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</si>
  <si>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kmol/m3.&lt;｜Assistant｜&gt;</t>
  </si>
  <si>
    <t>&lt;think&gt;
&lt;/think&gt;
For the BR reactor,-r_{A} =k\times c_{A}^2 kmol/(L*min), c_{A} =c_{A0} \times (1-x_{A} ) ,the residence time \tau is obtained by c_{A0}\times\int_{0}^{x_{f}}\frac{dx_{A}}{-r_{A}}. The residence time \tau of the BR reactor is 33.21 h.</t>
  </si>
  <si>
    <t>&lt;think&gt;
&lt;/think&gt;
For the BR reactor,-r_{A} =k\times c_{A}^2 kmol/(L*min), c_{A} =c_{A0} \times (1-x_{A} ) ,the residence time \tau is obtained by c_{A0}\times\int_{0}^{x_{f}}\frac{dx_{A}}{-r_{A}}. The residence time \tau of the BR reactor is 2.46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</si>
  <si>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0.43.&lt;｜Assistant｜&gt;</t>
  </si>
  <si>
    <t>&lt;think&gt;
&lt;/think&gt;
For the PFR reactor,-r_{A} =k\times c_{A}^1\times c_{B}^1 kmol/(L*min), c_{A} =c_{A0} \times (1-x_{A} ), c_{B} =c_{B0}- c_{A0} \times x_{A}, the residence time \tau is obtained by c_{A0}\times\int_{0}^{x_{f}}\frac{dx_{A}}{-r_{A}}. And the reactor volume is \tau \times Q The calculated reactor volume V is 0.59 Cubic Meters.</t>
  </si>
  <si>
    <t>&lt;think&gt;
&lt;/think&gt;
For the PFR reactor,-r_{A} =k\times c_{A}^1\times c_{B}^1 kmol/(L*min), c_{A} =c_{A0} \times (1-x_{A} ), c_{B} =c_{B0}- c_{A0} \times x_{A}, the residence time \tau is obtained by c_{A0}\times\int_{0}^{x_{f}}\frac{dx_{A}}{-r_{A}}. And the reactor volume is \tau \times Q The calculated reactor volume V is 1.36 Cubic Meters.</t>
  </si>
  <si>
    <t>&lt;｜begin▁of▁sentence｜&gt;&lt;｜User｜&gt;Please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kmol/m3.&lt;｜Assistant｜&gt;</t>
  </si>
  <si>
    <t>&lt;think&gt;
&lt;/think&gt;
For the BR reactor,-r_{A} =k\times c_{A}^2 kmol/(L*min), c_{A} =c_{A0} \times (1-x_{A} ) ,the residence time \tau is obtained by c_{A0}\times\int_{0}^{x_{f}}\frac{dx_{A}}{-r_{A}}. And the reactor volume is \frac{(\tau + t_{assist} )\times Q}{f} The calculated reactor volume V is 5.84 Cubic Meters.</t>
  </si>
  <si>
    <t xml:space="preserve">&lt;think&gt;
&lt;/think&gt;
The reactor volume is 0.17 Cubic Meters.
</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</si>
  <si>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0.54.&lt;｜Assistant｜&gt;</t>
  </si>
  <si>
    <t>&lt;think&gt;
&lt;/think&gt;
For the PFR reactor,-r_{A} =k\times c_{A}^3\times c_{B}^3 kmol/(L*min), c_{A} =c_{A0} \times (1-x_{A} ), c_{B} =c_{B0} - c_{A0} \times x_{A}, the residence time \tau is obtained by c_{A0}\times\int_{0}^{x_{f}}\frac{dx_{A}}{-r_{A}}. The residence time \tau of the PFR reactor is 0.03 h.</t>
  </si>
  <si>
    <t>&lt;｜begin▁of▁sentence｜&gt;&lt;｜User｜&gt;Please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kmol/m3.&lt;｜Assistant｜&gt;</t>
  </si>
  <si>
    <t>&lt;think&gt;
&lt;/think&gt;
For the CSTR reactor,-r_{A} =k\times c_{A}^2\times c_{B}^2 kmol/(L*min), c_{A} =c_{A0} \times (1-x_{A} ), c_{B} =c_{B0}- c_{A0} \times x_{A}, the residence time \tau is calculated by \frac{c_{A0} \times x_{f} }{-r_{A} }. The residence time \tau of the CSTR reactor is 6.2 h.</t>
  </si>
  <si>
    <t>&lt;think&gt;
&lt;/think&gt;
For the CSTR reactor,-r_{A} =k\times c_{A}^2\times c_{B}^2 kmol/(L*min), c_{A} =c_{A0} \times (1-x_{A} ), c_{B} =c_{B0}- c_{A0} \times x_{A}, the residence time \tau is calculated by \frac{c_{A0} \times x_{f} }{-r_{A} }. The residence time \tau of the CSTR reactor is 2.81 h.</t>
  </si>
  <si>
    <t>&lt;｜begin▁of▁sentence｜&gt;&lt;｜User｜&gt;Please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kmol/m3.&lt;｜Assistant｜&gt;</t>
  </si>
  <si>
    <t>&lt;think&gt;
&lt;/think&gt;
For the CSTR reactor,-r_{A} =k\times c_{A}^3\times c_{B}^3 kmol/(L*min), c_{A} =c_{A0} \times (1-x_{A} ), c_{B} =c_{B0}- c_{A0} \times x_{A}, the residence time \tau is calculated by \frac{c_{A0} \times x_{f} }{-r_{A} }. The residence time \tau of the CSTR reactor is 9.53 h.</t>
  </si>
  <si>
    <t>&lt;think&gt;
&lt;/think&gt;
For the CSTR reactor,-r_{A} =k\times c_{A}^3\times c_{B}^3 kmol/(L*min), c_{A} =c_{A0} \times (1-x_{A} ), c_{B} =c_{B0}, the residence time \tau is calculated by \frac{c_{A0} \times x_{f} }{-r_{A} }. The residence time \tau of the CSTR reactor is 0.42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</si>
  <si>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kmol/m3.&lt;｜Assistant｜&gt;</t>
  </si>
  <si>
    <t>&lt;think&gt;
&lt;/think&gt;
For the PFR reactor,-r_{A} =k\times c_{A}^2 kmol/(L*min), c_{A} =c_{A0} \times (1-x_{A} ) ,the residence time \tau is obtained by c_{A0}\times\int_{0}^{x_{f}}\frac{dx_{A}}{-r_{A}}. The residence time \tau of the PFR reactor is 1.21 h.</t>
  </si>
  <si>
    <t>&lt;think&gt;
&lt;/think&gt;
For the PFR reactor,-r_{A} =k\times c_{A}^2 kmol/(L*min), c_{A} =c_{A0} \times (1-x_{A} ) ,the residence time \tau is obtained by c_{A0}\times\int_{0}^{x_{f}}\frac{dx_{A}}{-r_{A}}. The residence time \tau of the PFR reactor is 0.27 h.</t>
  </si>
  <si>
    <t>&lt;｜begin▁of▁sentence｜&gt;&lt;｜User｜&gt;Please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kmol/m3.&lt;｜Assistant｜&gt;</t>
  </si>
  <si>
    <t>&lt;think&gt;
&lt;/think&gt;
For the PFR reactor,-r_{A} =k\times c_{A}^2 kmol/(L*min), c_{A} =c_{A0} \times (1-x_{A} ) ,the residence time \tau is obtained by c_{A0}\times\int_{0}^{x_{f}}\frac{dx_{A}}{-r_{A}}. And the reactor volume is \tau \times Q The calculated reactor volume V is 0.52 Cubic Meters.</t>
  </si>
  <si>
    <t>&lt;think&gt;
&lt;/think&gt;
The reactor volume is 0.029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</si>
  <si>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kmol/m3.&lt;｜Assistant｜&gt;</t>
  </si>
  <si>
    <t>&lt;think&gt;
&lt;/think&gt;
For the BR reactor,-r_{A} =k\times c_{A}^1 kmol/(L*min), c_{A} =c_{A0} \times (1-x_{A} ) ,the residence time \tau is obtained by c_{A0}\times\int_{0}^{x_{f}}\frac{dx_{A}}{-r_{A}}. And the reactor volume is \frac{(\tau + t_{assist} )\times Q}{f} The calculated reactor volume V is 2.43 Cubic Meters.</t>
  </si>
  <si>
    <t>&lt;think&gt;
&lt;/think&gt;
For the BR reactor,-r_{A} =k\times c_{A}^1 kmol/(L*min), c_{A} =c_{A0} \times (1-x_{A} ) ,the residence time \tau is obtained by c_{A0}\times\int_{0}^{x_{f}}\frac{dx_{A}}{-r_{A}}. And the reactor volume is \frac{(\tau + t_{assist} )\times Q}{f} The calculated reactor volume V is 2.81 Cubic Meters.</t>
  </si>
  <si>
    <t>&lt;｜begin▁of▁sentence｜&gt;&lt;｜User｜&gt;Please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0.77.&lt;｜Assistant｜&gt;</t>
  </si>
  <si>
    <t>&lt;think&gt;
&lt;/think&gt;
For the PFR reactor,-r_{A} =k\times c_{A}^3 kmol/(L*min), c_{A} =c_{A0} \times (1-x_{A} ) ,the residence time \tau is obtained by c_{A0}\times\int_{0}^{x_{f}}\frac{dx_{A}}{-r_{A}}. The residence time \tau of the PFR reactor is 0.24 h.</t>
  </si>
  <si>
    <t>&lt;think&gt;
&lt;/think&gt;
For the PFR reactor,-r_{A} =k\times c_{A}^3 kmol/(L*min), c_{A} =c_{A0} \times (1-x_{A} ) ,the residence time \tau is obtained by c_{A0}\times\int_{0}^{x_{f}}\frac{dx_{A}}{-r_{A}}. The residence time \tau of the PFR reactor is 0.04 h.</t>
  </si>
  <si>
    <t>&lt;｜begin▁of▁sentence｜&gt;&lt;｜User｜&gt;Please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kmol/m3.&lt;｜Assistant｜&gt;</t>
  </si>
  <si>
    <t>&lt;think&gt;
&lt;/think&gt;
For the BR reactor,-r_{A} =k\times c_{A}^1\times c_{B}^2 kmol/(L*min), c_{A} =c_{A0} \times (1-x_{A} ), c_{B} =c_{B0} - c_{A0} \times x_{A}, the residence time \tau is obtained by c_{A0}\times\int_{0}^{x_{f}}\frac{dx_{A}}{-r_{A}}. The residence time \tau of the BR reactor is 10.33 h.</t>
  </si>
  <si>
    <t>&lt;think&gt;
&lt;/think&gt;
For the BR reactor,-r_{A} =k\times c_{A}^1\times c_{B}^2 kmol/(L*min), c_{A} =c_{A0} \times (1-x_{A} ), c_{B} =c_{B0} - c_{A0} \times x_{A}, the residence time \tau is obtained by c_{A0}\times\int_{0}^{x_{f}}\frac{dx_{A}}{-r_{A}}. The residence time \tau of the BR reactor is 0.02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</si>
  <si>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0.67.&lt;｜Assistant｜&gt;</t>
  </si>
  <si>
    <t>&lt;think&gt;
&lt;/think&gt;
For the PFR reactor,-r_{A} =k\times c_{A}^3 kmol/(L*min), c_{A} =c_{A0} \times (1-x_{A} ) ,the residence time \tau is obtained by c_{A0}\times\int_{0}^{x_{f}}\frac{dx_{A}}{-r_{A}}. And the reactor volume is \tau \times Q The calculated reactor volume V is 0.36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</si>
  <si>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kmol/m3.&lt;｜Assistant｜&gt;</t>
  </si>
  <si>
    <t>&lt;think&gt;
&lt;/think&gt;
For the CSTR reactor,-r_{A} =k\times c_{A}^2 kmol/(L*min), c_{A} =c_{A0} \times (1-x_{A} ) the residence time \tau is calculated by \frac{c_{A0} \times x_{f} }{-r_{A} }. And the reactor volume is \tau \times Q The calculated reactor volume V is 31.94 Cubic Meters.</t>
  </si>
  <si>
    <t>&lt;think&gt;
&lt;/think&gt;
The reactor volume is 0.82 Cubic Meters.</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</si>
  <si>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kmol/m3.&lt;｜Assistant｜&gt;</t>
  </si>
  <si>
    <t>&lt;think&gt;
&lt;/think&gt;
For the CSTR reactor,-r_{A} =k\times c_{A}^1 kmol/(L*min), c_{A} =c_{A0} \times (1-x_{A} ) the residence time \tau is calculated by \frac{c_{A0} \times x_{f} }{-r_{A} } . The residence time \tau of the CSTR reactor is 29.55 h.</t>
  </si>
  <si>
    <t>&lt;think&gt;
&lt;/think&gt;
For the CSTR reactor,-r_{A} =k\times c_{A}^1 kmol/(L*min), c_{A} =c_{A0} \times (1-x_{A} ) the residence time \tau is calculated by \frac{c_{A0} \times x_{f} }{-r_{A} }. The residence time \tau of the CSTR reactor is 12.2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</si>
  <si>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kmol/m3.&lt;｜Assistant｜&gt;</t>
  </si>
  <si>
    <t>&lt;think&gt;
&lt;/think&gt;
For the CSTR reactor,-r_{A} =k\times c_{A}^2\times c_{B}^1 kmol/(L*min), c_{A} =c_{A0} \times (1-x_{A} ), c_{B} =c_{B0}- c_{A0} \times x_{A}, the residence time \tau is calculated by \frac{c_{A0} \times x_{f} }{-r_{A} }. And the reactor volume is \tau \times Q The calculated reactor volume V is 3.29 Cubic Meters.</t>
  </si>
  <si>
    <t>&lt;think&gt;
&lt;/think&gt;
For the CSTR reactor,-r_{A} =k\times c_{A}^2\times c_{B}^1 kmol/(L*min), c_{A} =c_{A0} \times (1-x_{A} ), c_{B} =c_{B0}- c_{A0} \times x_{A}, the residence time \tau is calculated by \frac{c_{A0} \times x_{f} }{-r_{A} }. And the reactor volume is \tau \times Q The calculated reactor volume V is 0.04 Cubic Meters.</t>
  </si>
  <si>
    <t>&lt;｜begin▁of▁sentence｜&gt;&lt;｜User｜&gt;Please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kmol/m3.&lt;｜Assistant｜&gt;</t>
  </si>
  <si>
    <t>&lt;think&gt;
&lt;/think&gt;
For the CSTR reactor,-r_{A} =k\times c_{A}^2\times c_{B}^2 kmol/(L*min), c_{A} =c_{A0} \times (1-x_{A} ), c_{B} =c_{B0}- c_{A0} \times x_{A}, the residence time \tau is calculated by \frac{c_{A0} \times x_{f} }{-r_{A} }. And the reactor volume is \tau \times Q The calculated reactor volume V is 9.62 Cubic Meters.</t>
  </si>
  <si>
    <t>&lt;think&gt;
&lt;/think&gt;
For the CSTR reactor,-r_{A} =k\times c_{A}^2\times c_{B}^2 kmol/(L*min), c_{A} =c_{A0} \times (1-x_{A} ), c_{B} =c_{B0}- c_{A0} \times x_{A}, the residence time \tau is calculated by \frac{c_{A0} \times x_{f} }{-r_{A} }. And the reactor volume is \tau \times Q The calculated reactor volume V is 0.26 Cubic Meters.</t>
  </si>
  <si>
    <t>&lt;｜begin▁of▁sentence｜&gt;&lt;｜User｜&gt;Please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kmol/m3.&lt;｜Assistant｜&gt;</t>
  </si>
  <si>
    <t>&lt;think&gt;
&lt;/think&gt;
For the PFR reactor,-r_{A} =k\times c_{A}^1 kmol/(L*min), c_{A} =c_{A0} \times (1-x_{A} ) ,the residence time \tau is obtained by c_{A0}\times\int_{0}^{x_{f}}\frac{dx_{A}}{-r_{A}}. The residence time \tau of the PFR reactor is 1.23 h.</t>
  </si>
  <si>
    <t>&lt;think&gt;
&lt;/think&gt;
For the PFR reactor,-r_{A} =k\times c_{A}^1 kmol/(L*min), c_{A} =c_{A0} \times (1-x_{A} ) ,the residence time \tau is obtained by c_{A0}\times\int_{0}^{x_{f}}\frac{dx_{A}}{-r_{A}}. The residence time \tau of the PFR reactor is 0.5 h.</t>
  </si>
  <si>
    <t>&lt;｜begin▁of▁sentence｜&gt;&lt;｜User｜&gt;Please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kmol/m3.&lt;｜Assistant｜&gt;</t>
  </si>
  <si>
    <t>&lt;think&gt;
&lt;/think&gt;
For the BR reactor,-r_{A} =k\times c_{A}^1 kmol/(L*min), c_{A} =c_{A0} \times (1-x_{A} ) ,the residence time \tau is obtained by c_{A0}\times\int_{0}^{x_{f}}\frac{dx_{A}}{-r_{A}}. The residence time \tau of the BR reactor is 2.15 h.</t>
  </si>
  <si>
    <t>&lt;think&gt;
&lt;/think&gt;
For the BR reactor,-r_{A} =k\times c_{A}^1 kmol/(L*min), c_{A} =c_{A0} \times (1-x_{A} ) ,the residence time \tau is obtained by c_{A0}\times\int_{0}^{x_{f}}\frac{dx_{A}}{-r_{A}}. The residence time \tau of the BR reactor is 1.8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</si>
  <si>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0.57.&lt;｜Assistant｜&gt;</t>
  </si>
  <si>
    <t>&lt;think&gt;
&lt;/think&gt;
For the CSTR reactor,-r_{A} =k\times c_{A}^3\times c_{B}^2 kmol/(L*min), c_{A} =c_{A0} \times (1-x_{A} ), c_{B} =c_{B0}- c_{A0} \times x_{A}, the residence time \tau is calculated by \frac{c_{A0} \times x_{f} }{-r_{A} }. And the reactor volume is \tau \times Q The calculated reactor volume V is 0.86 Cubic Meters.</t>
  </si>
  <si>
    <t>&lt;think&gt;
&lt;/think&gt;
For the CSTR reactor,-r_{A} =k\times c_{A}^3\times c_{B}^2 kmol/(L*min), c_{A} =c_{A0} \times (1-x_{A} ), c_{B} =c_{B0}- c_{A0} \times x_{A}, the residence time \tau is calculated by \frac{c_{A0} \times x_{f} }{-r_{A} }. And the reactor volume is \tau \times Q The calculated reactor volume V is 0.04 Cubic Meters.</t>
  </si>
  <si>
    <t>&lt;｜begin▁of▁sentence｜&gt;&lt;｜User｜&gt;Please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kmol/m3.&lt;｜Assistant｜&gt;</t>
  </si>
  <si>
    <t>&lt;think&gt;
&lt;/think&gt;
For the CSTR reactor,-r_{A} =k\times c_{A}^2 kmol/(L*min), c_{A} =c_{A0} \times (1-x_{A} ) the residence time \tau is calculated by \frac{c_{A0} \times x_{f} }{-r_{A} }. And the reactor volume is \tau \times Q The calculated reactor volume V is 11462.34 Cubic Meters.</t>
  </si>
  <si>
    <t>&lt;think&gt;
&lt;/think&gt;
The reactor volume is 0.01 Cubic Meters.</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</si>
  <si>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kmol/m3.&lt;｜Assistant｜&gt;</t>
  </si>
  <si>
    <t>&lt;think&gt;
&lt;/think&gt;
For the PFR reactor,-r_{A} =k\times c_{A}^1\times c_{B}^2 kmol/(L*min), c_{A} =c_{A0} \times (1-x_{A} ), c_{B} =c_{B0} - c_{A0} \times x_{A}, the residence time \tau is obtained by c_{A0}\times\int_{0}^{x_{f}}\frac{dx_{A}}{-r_{A}}. The residence time \tau of the PFR reactor is 0.43 h.</t>
  </si>
  <si>
    <t>&lt;think&gt;
&lt;/think&gt;
For the PFR reactor,-r_{A} =k\times c_{A}^1\times c_{B}^2 kmol/(L*min), c_{A} =c_{A0} \times (1-x_{A} ), c_{B} =c_{B0} - c_{A0} \times x_{A}, the residence time \tau is obtained by c_{A0}\times\int_{0}^{x_{f}}\frac{dx_{A}}{-r_{A}}. The residence time \tau of the PFR reactor is 0.01 h.</t>
  </si>
  <si>
    <t>&lt;｜begin▁of▁sentence｜&gt;&lt;｜User｜&gt;Please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kmol/m3.&lt;｜Assistant｜&gt;</t>
  </si>
  <si>
    <t>&lt;think&gt;
&lt;/think&gt;
For the BR reactor,-r_{A} =k\times c_{A}^1 kmol/(L*min), c_{A} =c_{A0} \times (1-x_{A} ) ,the residence time \tau is obtained by c_{A0}\times\int_{0}^{x_{f}}\frac{dx_{A}}{-r_{A}}. The residence time \tau of the BR reactor is 3.21 h.</t>
  </si>
  <si>
    <t>&lt;think&gt;
&lt;/think&gt;
For the BR reactor,-r_{A} =k\times c_{A}^1 kmol/(L*min), c_{A} =c_{A0} \times (1-x_{A} ) ,the residence time \tau is obtained by c_{A0}\times\int_{0}^{x_{f}}\frac{dx_{A}}{-r_{A}}. The residence time \tau of the BR reactor is 3.0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</si>
  <si>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0.57.&lt;｜Assistant｜&gt;</t>
  </si>
  <si>
    <t>&lt;think&gt;
&lt;/think&gt;
For the CSTR reactor,-r_{A} =k\times c_{A}^3 kmol/(L*min), c_{A} =c_{A0} \times (1-x_{A} ) the residence time \tau is calculated by \frac{c_{A0} \times x_{f} }{-r_{A} }. And the reactor volume is \tau \times Q The calculated reactor volume V is 4.06 Cubic Meters.</t>
  </si>
  <si>
    <t>&lt;think&gt;
&lt;/think&gt;
The reactor volume is 0.11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</si>
  <si>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kmol/m3.&lt;｜Assistant｜&gt;</t>
  </si>
  <si>
    <t>&lt;think&gt;
&lt;/think&gt;
For the CSTR reactor,-r_{A} =k\times c_{A}^2 kmol/(L*min), c_{A} =c_{A0} \times (1-x_{A} ) the residence time \tau is calculated by \frac{c_{A0} \times x_{f} }{-r_{A} } . The residence time \tau of the CSTR reactor is 150.9 h.</t>
  </si>
  <si>
    <t>&lt;think&gt;
&lt;/think&gt;
For the CSTR reactor,-r_{A} =k\times c_{A}^2 kmol/(L*min), c_{A} =c_{A0} \times (1-x_{A} ) the residence time \tau is calculated by \frac{c_{A0} \times x_{f} }{-r_{A} }. The residence time \tau of the CSTR reactor is 16.05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</si>
  <si>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kmol/m3.&lt;｜Assistant｜&gt;</t>
  </si>
  <si>
    <t>&lt;think&gt;
&lt;/think&gt;
For the CSTR reactor,-r_{A} =k\times c_{A}^3 kmol/(L*min), c_{A} =c_{A0} \times (1-x_{A} ) the residence time \tau is calculated by \frac{c_{A0} \times x_{f} }{-r_{A} }. And the reactor volume is \tau \times Q The calculated reactor volume V is 0.26 Cubic Meters.</t>
  </si>
  <si>
    <t>&lt;think&gt;
&lt;/think&gt;
For the CSTR reactor,-r_{A} =k\times c_{A}^3 kmol/(L*min), c_{A} =c_{A0} \times (1-x_{A} ) the residence time \tau is calculated by \frac{c_{A0} \times x_{f} }{-r_{A} }. And the reactor volume is \tau \times Q The calculated reactor volume V is 0.25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</si>
  <si>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kmol/m3.&lt;｜Assistant｜&gt;</t>
  </si>
  <si>
    <t>&lt;think&gt;
&lt;/think&gt;
For the CSTR reactor,-r_{A} =k\times c_{A}^2 kmol/(L*min), c_{A} =c_{A0} \times (1-x_{A} ) the residence time \tau is calculated by \frac{c_{A0} \times x_{f} }{-r_{A} } . The residence time \tau of the CSTR reactor is 24.13 h.</t>
  </si>
  <si>
    <t>&lt;think&gt;
&lt;/think&gt;
For the CSTR reactor,-r_{A} =k\times c_{A}^2 kmol/(L*min), c_{A} =c_{A0} \times (1-x_{A} ) the residence time \tau is calculated by \frac{c_{A0} \times x_{f} }{-r_{A} } . The residence time \tau of the CSTR reactor is 20.72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</si>
  <si>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kmol/m3.&lt;｜Assistant｜&gt;</t>
  </si>
  <si>
    <t>&lt;think&gt;
&lt;/think&gt;
For the CSTR reactor,-r_{A} =k\times c_{A}^2 kmol/(L*min), c_{A} =c_{A0} \times (1-x_{A} ) the residence time \tau is calculated by \frac{c_{A0} \times x_{f} }{-r_{A} } . The residence time \tau of the CSTR reactor is 1828.26 h.</t>
  </si>
  <si>
    <t>&lt;think&gt;
&lt;/think&gt;
For the CSTR reactor,-r_{A} =k\times c_{A}^2 kmol/(L*min), c_{A} =c_{A0} \times (1-x_{A} ) the residence time \tau is calculated by \frac{c_{A0} \times x_{f} }{-r_{A} }. The residence time \tau of the CSTR reactor is 30.39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</si>
  <si>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kmol/m3.&lt;｜Assistant｜&gt;</t>
  </si>
  <si>
    <t>&lt;think&gt;
&lt;/think&gt;
For the PFR reactor,-r_{A} =k\times c_{A}^3\times c_{B}^2 kmol/(L*min), c_{A} =c_{A0} \times (1-x_{A} ), c_{B} =c_{B0}- c_{A0} \times x_{A}, the residence time \tau is obtained by c_{A0}\times\int_{0}^{x_{f}}\frac{dx_{A}}{-r_{A}}. And the reactor volume is \tau \times Q The calculated reactor volume V is 0.07 Cubic Meters.</t>
  </si>
  <si>
    <t>&lt;think&gt;
&lt;/think&gt;
For the PFR reactor,-r_{A} =k\times c_{A}^3\times c_{B}^2 kmol/(L*min), c_{A} =c_{A0} \times (1-x_{A} ), c_{B} =c_{B0}- c_{A0} \times x_{A}, the residence time \tau is obtained by c_{A0}\times\int_{0}^{x_{f}}\frac{dx_{A}}{-r_{A}}. And the reactor volume is \tau \times Q The calculated reactor volume V is 0.13 Cubic Meters.</t>
  </si>
  <si>
    <t>&lt;｜begin▁of▁sentence｜&gt;&lt;｜User｜&gt;Please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kmol/m3.&lt;｜Assistant｜&gt;</t>
  </si>
  <si>
    <t>&lt;think&gt;
&lt;/think&gt;
For the BR reactor,-r_{A} =k\times c_{A}^3\times c_{B}^2 kmol/(L*min), c_{A} =c_{A0} \times (1-x_{A} ), c_{B} =c_{B0}- c_{A0} \times x_{A}, the residence time \tau is obtained by c_{A0}\times\int_{0}^{x_{f}}\frac{dx_{A}}{-r_{A}}. And the reactor volume is \frac{(\tau + t_{assist} )\times Q}{f} The calculated reactor volume V is 2.58 Cubic Meters.</t>
  </si>
  <si>
    <t>&lt;think&gt;
&lt;/think&gt;
For the BR reactor,-r_{A} =k\times c_{A}^3\times c_{B}^2 kmol/(L*min), c_{A} =c_{A0} \times (1-x_{A} ), c_{B} =c_{B0}- c_{A0} \times x_{A}, the residence time \tau is obtained by c_{A0}\times\int_{0}^{x_{f}}\frac{dx_{A}}{-r_{A}}. And the reactor volume is \frac{(\tau + t_{assist} )\times Q}{f} The calculated reactor volume V is 3.83 Cubic Meters.</t>
  </si>
  <si>
    <t>&lt;｜begin▁of▁sentence｜&gt;&lt;｜User｜&gt;Please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0.62.&lt;｜Assistant｜&gt;</t>
  </si>
  <si>
    <t>&lt;think&gt;
&lt;/think&gt;
For the PFR reactor,-r_{A} =k\times c_{A}^3\times c_{B}^2 kmol/(L*min), c_{A} =c_{A0} \times (1-x_{A} ), c_{B} =c_{B0}- c_{A0} \times x_{A}, the residence time \tau is obtained by c_{A0}\times\int_{0}^{x_{f}}\frac{dx_{A}}{-r_{A}}. And the reactor volume is \tau \times Q The calculated reactor volume V is 0.15 Cubic Meters.</t>
  </si>
  <si>
    <t>&lt;think&gt;
&lt;/think&gt;
For the PFR reactor,-r_{A} =k\times c_{A}^3\times c_{B}^2 kmol/(L*min), c_{A} =c_{A0} \times (1-x_{A} ), c_{B} =c_{B0}- c_{A0} \times x_{A}, the residence time \tau is obtained by c_{A0}\times\int_{0}^{x_{f}}\frac{dx_{A}}{-r_{A}}. And the reactor volume is \tau \times Q The calculated reactor volume V is 1.21 Cubic Meters.</t>
  </si>
  <si>
    <t>&lt;｜begin▁of▁sentence｜&gt;&lt;｜User｜&gt;Please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kmol/m3.&lt;｜Assistant｜&gt;</t>
  </si>
  <si>
    <t>&lt;think&gt;
&lt;/think&gt;
For the CSTR reactor,-r_{A} =k\times c_{A}^1 kmol/(L*min), c_{A} =c_{A0} \times (1-x_{A} ) the residence time \tau is calculated by \frac{c_{A0} \times x_{f} }{-r_{A} } . The residence time \tau of the CSTR reactor is 11.23 h.</t>
  </si>
  <si>
    <t>&lt;think&gt;
&lt;/think&gt;
For the CSTR reactor,-r_{A} =k\times c_{A}^1 kmol/(L*min), c_{A} =c_{A0} \times (1-x_{A} ) the residence time \tau is calculated by \frac{c_{A0} \times x_{f} }{-r_{A} }. The residence time \tau of the CSTR reactor is 38.32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</si>
  <si>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kmol/m3.&lt;｜Assistant｜&gt;</t>
  </si>
  <si>
    <t>&lt;think&gt;
&lt;/think&gt;
For the PFR reactor,-r_{A} =k\times c_{A}^2 kmol/(L*min), c_{A} =c_{A0} \times (1-x_{A} ) ,the residence time \tau is obtained by c_{A0}\times\int_{0}^{x_{f}}\frac{dx_{A}}{-r_{A}}. And the reactor volume is \tau \times Q The calculated reactor volume V is 0.03 Cubic Meters.</t>
  </si>
  <si>
    <t>&lt;think&gt;
&lt;/think&gt;
The reactor volume is 0.03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</si>
  <si>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kmol/m3.&lt;｜Assistant｜&gt;</t>
  </si>
  <si>
    <t>&lt;think&gt;
&lt;/think&gt;
For the BR reactor,-r_{A} =k\times c_{A}^1\times c_{B}^2 kmol/(L*min), c_{A} =c_{A0} \times (1-x_{A} ), c_{B} =c_{B0} - c_{A0} \times x_{A}, the residence time \tau is obtained by c_{A0}\times\int_{0}^{x_{f}}\frac{dx_{A}}{-r_{A}}. The residence time \tau of the BR reactor is 0.86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</si>
  <si>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0.78.&lt;｜Assistant｜&gt;</t>
  </si>
  <si>
    <t>&lt;think&gt;
&lt;/think&gt;
For the BR reactor,-r_{A} =k\times c_{A}^2\times c_{B}^3 kmol/(L*min), c_{A} =c_{A0} \times (1-x_{A} ), c_{B} =c_{B0} - c_{A0} \times x_{A}, the residence time \tau is obtained by c_{A0}\times\int_{0}^{x_{f}}\frac{dx_{A}}{-r_{A}}. The residence time \tau of the BR reactor is 6.2551629076950104e+16 h.</t>
  </si>
  <si>
    <t>&lt;think&gt;
&lt;/think&gt;
For the BR reactor,-r_{A} =k\times c_{A}^2\times c_{B}^3 kmol/(L*min), c_{A} =c_{A0} \times (1-x_{A} ), c_{B} =c_{B0} - c_{A0} \times x_{A}, the residence time \tau is obtained by c_{A0}\times\int_{0}^{x_{f}}\frac{dx_{A}}{-r_{A}}. The residence time \tau of the BR reactor is 0.02 h.</t>
  </si>
  <si>
    <t>&lt;｜begin▁of▁sentence｜&gt;&lt;｜User｜&gt;Please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0.47.&lt;｜Assistant｜&gt;</t>
  </si>
  <si>
    <t>&lt;think&gt;
&lt;/think&gt;
For the PFR reactor,-r_{A} =k\times c_{A}^2\times c_{B}^2 kmol/(L*min), c_{A} =c_{A0} \times (1-x_{A} ), c_{B} =c_{B0} - c_{A0} \times x_{A}, the residence time \tau is obtained by c_{A0}\times\int_{0}^{x_{f}}\frac{dx_{A}}{-r_{A}}. The residence time \tau of the PFR reactor is 0.37 h.</t>
  </si>
  <si>
    <t>&lt;think&gt;
&lt;/think&gt;
For the PFR reactor,-r_{A} =k\times c_{A}^2\times c_{B}^2 kmol/(L*min), c_{A} =c_{A0} \times (1-x_{A} ), c_{B} =c_{B0} - c_{A0} \times x_{A}, the residence time \tau is obtained by c_{A0}\times\int_{0}^{x_{f}}\frac{dx_{A}}{-r_{A}}. The residence time \tau of the PFR reactor is 371942.35 h.</t>
  </si>
  <si>
    <t>&lt;｜begin▁of▁sentence｜&gt;&lt;｜User｜&gt;Please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kmol/m3.&lt;｜Assistant｜&gt;</t>
  </si>
  <si>
    <t>&lt;think&gt;
&lt;/think&gt;
For the PFR reactor,-r_{A} =k\times c_{A}^3\times c_{B}^1 kmol/(L*min), c_{A} =c_{A0} \times (1-x_{A} ), c_{B} =c_{B0} - c_{A0} \times x_{A}, the residence time \tau is obtained by c_{A0}\times\int_{0}^{x_{f}}\frac{dx_{A}}{-r_{A}}. The residence time \tau of the PFR reactor is 0.88 h.</t>
  </si>
  <si>
    <t>&lt;think&gt;
&lt;/think&gt;
For the PFR reactor,-r_{A} =k\times c_{A}^3\times c_{B}^1 kmol/(L*min), c_{A} =c_{A0} \times (1-x_{A} ), c_{B} =c_{B0}- c_{A0} \times x_{A}, the residence time \tau is obtained by c_{A0}\times\int_{0}^{x_{f}}\frac{dx_{A}}{-r_{A}}. The residence time \tau of the PFR reactor is 0.31 h.</t>
  </si>
  <si>
    <t>&lt;｜begin▁of▁sentence｜&gt;&lt;｜User｜&gt;Please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kmol/m3.&lt;｜Assistant｜&gt;</t>
  </si>
  <si>
    <t>&lt;think&gt;
&lt;/think&gt;
For the CSTR reactor,-r_{A} =k\times c_{A}^3\times c_{B}^3 kmol/(L*min), c_{A} =c_{A0} \times (1-x_{A} ), c_{B} =c_{B0}- c_{A0} \times x_{A}, the residence time \tau is calculated by \frac{c_{A0} \times x_{f} }{-r_{A} }. The residence time \tau of the CSTR reactor is 5.67 h.</t>
  </si>
  <si>
    <t>&lt;think&gt;
&lt;/think&gt;
For the CSTR reactor,-r_{A} =k\times c_{A}^3\times c_{B}^3 kmol/(L*min), c_{A} =c_{A0} \times (1-x_{A} ), c_{B} =c_{B0}- c_{A0} \times x_{A}, the residence time \tau is calculated by \frac{c_{A0} \times x_{f} }{-r_{A} }. The residence time \tau of the CSTR reactor is 0.02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</si>
  <si>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kmol/m3.&lt;｜Assistant｜&gt;</t>
  </si>
  <si>
    <t>&lt;think&gt;
&lt;/think&gt;
For the CSTR reactor,-r_{A} =k\times c_{A}^2 kmol/(L*min), c_{A} =c_{A0} \times (1-x_{A} ) the residence time \tau is calculated by \frac{c_{A0} \times x_{f} }{-r_{A} }. And the reactor volume is \tau \times Q The calculated reactor volume V is 134.87 Cubic Meters.</t>
  </si>
  <si>
    <t xml:space="preserve">&lt;think&gt;
&lt;/think&gt;
The reactor volume is 0.03 Cubic Meters.
</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</si>
  <si>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kmol/m3.&lt;｜Assistant｜&gt;</t>
  </si>
  <si>
    <t>&lt;think&gt;
&lt;/think&gt;
For the CSTR reactor,-r_{A} =k\times c_{A}^1 kmol/(L*min), c_{A} =c_{A0} \times (1-x_{A} ) the residence time \tau is calculated by \frac{c_{A0} \times x_{f} }{-r_{A} } . The residence time \tau of the CSTR reactor is 5.56 h.</t>
  </si>
  <si>
    <t>&lt;think&gt;
&lt;/think&gt;
For the CSTR reactor,-r_{A} =k\times c_{A}^1 kmol/(L*min), c_{A} =c_{A0} \times (1-x_{A} ) the residence time \tau is calculated by \frac{c_{A0} \times x_{f} }{-r_{A} }. The residence time \tau of the CSTR reactor is 6.28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</si>
  <si>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kmol/m3.&lt;｜Assistant｜&gt;</t>
  </si>
  <si>
    <t>&lt;think&gt;
&lt;/think&gt;
For the CSTR reactor,-r_{A} =k\times c_{A}^1\times c_{B}^2 kmol/(L*min), c_{A} =c_{A0} \times (1-x_{A} ), c_{B} =c_{B0}- c_{A0} \times x_{A}, the residence time \tau is calculated by \frac{c_{A0} \times x_{f} }{-r_{A} }. The residence time \tau of the CSTR reactor is 0.34 h.</t>
  </si>
  <si>
    <t>&lt;think&gt;
&lt;/think&gt;
For the CSTR reactor,-r_{A} =k\times c_{A}^1\times c_{B}^2 kmol/(L*min), c_{A} =c_{A0} \times (1-x_{A} ), c_{B} =c_{B0}- c_{A0} \times x_{A}, the residence time \tau is calculated by \frac{c_{A0} \times x_{f} }{-r_{A} }. The residence time \tau of the CSTR reactor is 0.1 h.</t>
  </si>
  <si>
    <t>&lt;｜begin▁of▁sentence｜&gt;&lt;｜User｜&gt;Please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kmol/m3.&lt;｜Assistant｜&gt;</t>
  </si>
  <si>
    <t>&lt;think&gt;
&lt;/think&gt;
For the BR reactor,-r_{A} =k\times c_{A}^1 kmol/(L*min), c_{A} =c_{A0} \times (1-x_{A} ) ,the residence time \tau is obtained by c_{A0}\times\int_{0}^{x_{f}}\frac{dx_{A}}{-r_{A}}. The residence time \tau of the BR reactor is 1.42 h.</t>
  </si>
  <si>
    <t>&lt;think&gt;
&lt;/think&gt;
For the BR reactor,-r_{A} =k\times c_{A}^1 kmol/(L*min), c_{A} =c_{A0} \times (1-x_{A} ) ,the residence time \tau is obtained by c_{A0}\times\int_{0}^{x_{f}}\frac{dx_{A}}{-r_{A}}. The residence time \tau of the BR reactor is 2.3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</si>
  <si>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0.68.&lt;｜Assistant｜&gt;</t>
  </si>
  <si>
    <t>&lt;think&gt;
&lt;/think&gt;
For the BR reactor,-r_{A} =k\times c_{A}^1\times c_{B}^1 kmol/(L*min), c_{A} =c_{A0} \times (1-x_{A} ), c_{B} =c_{B0}- c_{A0} \times x_{A}, the residence time \tau is obtained by c_{A0}\times\int_{0}^{x_{f}}\frac{dx_{A}}{-r_{A}}. And the reactor volume is \frac{(\tau + t_{assist} )\times Q}{f} The calculated reactor volume V is 3.66 Cubic Meters.</t>
  </si>
  <si>
    <t>&lt;think&gt;
&lt;/think&gt;
For the BR reactor,-r_{A} =k\times c_{A}^1\times c_{B}^1 kmol/(L*min), c_{A} =c_{A0} \times (1-x_{A} ), c_{B} =c_{B0}- c_{A0} \times x_{A}, the residence time \tau is obtained by c_{A0}\times\int_{0}^{x_{f}}\frac{dx_{A}}{-r_{A}}. And the reactor volume is \frac{(\tau + t_{assist} )\times Q}{f} The calculated reactor volume V is 1.83 Cubic Meters.</t>
  </si>
  <si>
    <t>&lt;｜begin▁of▁sentence｜&gt;&lt;｜User｜&gt;Please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0.69.&lt;｜Assistant｜&gt;</t>
  </si>
  <si>
    <t>&lt;｜begin▁of▁sentence｜&gt;&lt;｜User｜&gt;Please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kmol/m3.&lt;｜Assistant｜&gt;</t>
  </si>
  <si>
    <t>0到0.7</t>
  </si>
  <si>
    <t>qwen2.5_Omni</t>
    <phoneticPr fontId="1" type="noConversion"/>
  </si>
  <si>
    <t>模型名</t>
    <phoneticPr fontId="1" type="noConversion"/>
  </si>
  <si>
    <t>qwen2.5_math</t>
    <phoneticPr fontId="1" type="noConversion"/>
  </si>
  <si>
    <t>0.7到1.5</t>
    <phoneticPr fontId="1" type="noConversion"/>
  </si>
  <si>
    <t>llama3.2</t>
    <phoneticPr fontId="1" type="noConversion"/>
  </si>
  <si>
    <t>gemma3</t>
    <phoneticPr fontId="1" type="noConversion"/>
  </si>
  <si>
    <t>deepseek_r1</t>
    <phoneticPr fontId="1" type="noConversion"/>
  </si>
  <si>
    <t>平均相对误差</t>
    <phoneticPr fontId="1" type="noConversion"/>
  </si>
  <si>
    <t>P</t>
    <phoneticPr fontId="1" type="noConversion"/>
  </si>
  <si>
    <t>F1</t>
    <phoneticPr fontId="1" type="noConversion"/>
  </si>
  <si>
    <t>R</t>
    <phoneticPr fontId="1" type="noConversion"/>
  </si>
  <si>
    <t>&lt;think&gt;
&lt;/think&gt;
For the CSTR reactor,-r_{A} =k\times c_{A}^1\times c_{B}^1 kmol/(L*min), c_{A} =c_{A0} \times (1-x_{A} ), c_{B} =c_{B0}- c_{A0} \times x_{A}, the residence time \tau is calculated by \frac{c_{A0} \times x_{f} }{-r_{A} }. And the reactor volume is \tau \times Q The calculated reactor volume V is 0.07 Cubic Meters.</t>
    <phoneticPr fontId="1" type="noConversion"/>
  </si>
  <si>
    <t>&lt;think&gt;
&lt;/think&gt;
For the CSTR reactor,-r_{A} =k\times c_{A}^1\times c_{B}^1 kmol/(L*min), c_{A} =c_{A0} \times (1-x_{A} ), c_{B} =c_{B0}- c_{A0} \times x_{A}, the residence time \tau is calculated by \frac{c_{A0} \times x_{f} }{-r_{A} }. And the reactor volume is \tau \times Q The calculated reactor volume V is 0.16 Cubic Meters.</t>
    <phoneticPr fontId="1" type="noConversion"/>
  </si>
  <si>
    <t>BERTScore测试结果</t>
    <phoneticPr fontId="1" type="noConversion"/>
  </si>
  <si>
    <t>虚拟反应训练结果</t>
    <phoneticPr fontId="1" type="noConversion"/>
  </si>
  <si>
    <t>训练时间(s)</t>
    <phoneticPr fontId="1" type="noConversion"/>
  </si>
  <si>
    <t>训练损失</t>
    <phoneticPr fontId="1" type="noConversion"/>
  </si>
  <si>
    <t>三线表</t>
    <phoneticPr fontId="1" type="noConversion"/>
  </si>
  <si>
    <t xml:space="preserve">For the PFR reactor,-r_{A} =k\times c_{A}^2\times c_{B}^2 kmol/(L*min), c_{A} =c_{A0} \times (1-x_{A} ), c_{B} =c_{B0} - c_{A0} \times x_{A}, the residence time \tau is obtained by c_{A0}\times\int_{0}^{x_{f}}\frac{dx_{A}}{-r_{A}}. The residence time \tau of the PFR reactor is 0.37 h.
</t>
    <phoneticPr fontId="1" type="noConversion"/>
  </si>
  <si>
    <t>For the PFR reactor,-r_{A} =k\times c_{A}^2\times c_{B}^2 kmol/(L*min), c_{A} =c_{A0} \times (1-x_{A} ), c_{B} =c_{B0} - c_{A0} \times x_{A}, the residence time \tau is obtained by c_{A0}\times\int_{0}^{x_{f}}\frac{dx_{A}}{-r_{A}}. The residence time \tau of the PFR reactor is 10074024547.0 h.</t>
    <phoneticPr fontId="1" type="noConversion"/>
  </si>
  <si>
    <t>4.1.1节训练结果及时间</t>
    <phoneticPr fontId="1" type="noConversion"/>
  </si>
  <si>
    <t>4.1.2节 测试结果</t>
    <phoneticPr fontId="1" type="noConversion"/>
  </si>
  <si>
    <t>4.1.3</t>
    <phoneticPr fontId="1" type="noConversion"/>
  </si>
  <si>
    <t>大于5</t>
    <phoneticPr fontId="1" type="noConversion"/>
  </si>
  <si>
    <t>1.5到5</t>
    <phoneticPr fontId="1" type="noConversion"/>
  </si>
  <si>
    <t>0.855</t>
    <phoneticPr fontId="1" type="noConversion"/>
  </si>
  <si>
    <t>0.766</t>
    <phoneticPr fontId="1" type="noConversion"/>
  </si>
  <si>
    <t>0.892</t>
    <phoneticPr fontId="1" type="noConversion"/>
  </si>
  <si>
    <t>1.073</t>
    <phoneticPr fontId="1" type="noConversion"/>
  </si>
  <si>
    <t>0.799</t>
    <phoneticPr fontId="1" type="noConversion"/>
  </si>
  <si>
    <t>BLEU-4</t>
    <phoneticPr fontId="1" type="noConversion"/>
  </si>
  <si>
    <t>BLEU测试</t>
    <phoneticPr fontId="1" type="noConversion"/>
  </si>
  <si>
    <t>ROUGE测试</t>
    <phoneticPr fontId="1" type="noConversion"/>
  </si>
  <si>
    <t>rogue-1</t>
    <phoneticPr fontId="1" type="noConversion"/>
  </si>
  <si>
    <t>rogue-2</t>
    <phoneticPr fontId="1" type="noConversion"/>
  </si>
  <si>
    <t>rogue-l</t>
    <phoneticPr fontId="1" type="noConversion"/>
  </si>
  <si>
    <t>Qwen2.5-Omni</t>
  </si>
  <si>
    <t>Qwen2.5-Math</t>
  </si>
  <si>
    <t>Llama-3.2</t>
  </si>
  <si>
    <t>Gemma-3</t>
  </si>
  <si>
    <t>DeepSeek-R1-Distill</t>
  </si>
  <si>
    <t xml:space="preserve">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</si>
  <si>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volume.&lt;|im_end|&gt;
&lt;|im_start|&gt;assistant
</t>
  </si>
  <si>
    <t xml:space="preserve">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</si>
  <si>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volume.&lt;|im_end|&gt;
&lt;|im_start|&gt;assistant
</t>
  </si>
  <si>
    <t xml:space="preserve">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</si>
  <si>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volume.&lt;|im_end|&gt;
&lt;|im_start|&gt;assistant
</t>
  </si>
  <si>
    <t xml:space="preserve">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</si>
  <si>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volume.&lt;|im_end|&gt;
&lt;|im_start|&gt;assistant
</t>
  </si>
  <si>
    <t xml:space="preserve">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</si>
  <si>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</si>
  <si>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</si>
  <si>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</si>
  <si>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</si>
  <si>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volume.&lt;|im_end|&gt;
&lt;|im_start|&gt;assistant
</t>
  </si>
  <si>
    <t xml:space="preserve">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</si>
  <si>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</si>
  <si>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</si>
  <si>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volume.&lt;|im_end|&gt;
&lt;|im_start|&gt;assistant
</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</si>
  <si>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</si>
  <si>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</si>
  <si>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</si>
  <si>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volume.&lt;|im_end|&gt;
&lt;|im_start|&gt;assistant
</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</si>
  <si>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</si>
  <si>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</si>
  <si>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</si>
  <si>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volume.&lt;|im_end|&gt;
&lt;|im_start|&gt;assistant
</t>
  </si>
  <si>
    <t xml:space="preserve">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</si>
  <si>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</si>
  <si>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</si>
  <si>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volume.&lt;|im_end|&gt;
&lt;|im_start|&gt;assistant
</t>
  </si>
  <si>
    <t xml:space="preserve">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</si>
  <si>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volume.&lt;|im_end|&gt;
&lt;|im_start|&gt;assistant
</t>
  </si>
  <si>
    <t xml:space="preserve">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</si>
  <si>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volume.&lt;|im_end|&gt;
&lt;|im_start|&gt;assistant
</t>
  </si>
  <si>
    <t xml:space="preserve">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</si>
  <si>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</si>
  <si>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</si>
  <si>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volume.&lt;|im_end|&gt;
&lt;|im_start|&gt;assistant
</t>
  </si>
  <si>
    <t xml:space="preserve">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</si>
  <si>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volume.&lt;|im_end|&gt;
&lt;|im_start|&gt;assistant
</t>
  </si>
  <si>
    <t xml:space="preserve">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</si>
  <si>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volume.&lt;|im_end|&gt;
&lt;|im_start|&gt;assistant
</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</si>
  <si>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</si>
  <si>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volume.&lt;|im_end|&gt;
&lt;|im_start|&gt;assistant
</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</si>
  <si>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</si>
  <si>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volume.&lt;|im_end|&gt;
&lt;|im_start|&gt;assistant
</t>
  </si>
  <si>
    <t xml:space="preserve">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</si>
  <si>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volume.&lt;|im_end|&gt;
&lt;|im_start|&gt;assistant
</t>
  </si>
  <si>
    <t xml:space="preserve">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</si>
  <si>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volume.&lt;|im_end|&gt;
&lt;|im_start|&gt;assistant
</t>
  </si>
  <si>
    <t xml:space="preserve">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</si>
  <si>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</si>
  <si>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</si>
  <si>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volume.&lt;|im_end|&gt;
&lt;|im_start|&gt;assistant
</t>
  </si>
  <si>
    <t xml:space="preserve">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</si>
  <si>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volume.&lt;|im_end|&gt;
&lt;|im_start|&gt;assistant
</t>
  </si>
  <si>
    <t xml:space="preserve">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</si>
  <si>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</si>
  <si>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</si>
  <si>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reactor.&lt;|im_end|&gt;
&lt;|im_start|&gt;assistant
</t>
  </si>
  <si>
    <t xml:space="preserve">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</si>
  <si>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reactor.&lt;|im_end|&gt;
&lt;|im_start|&gt;assistant
</t>
  </si>
  <si>
    <t xml:space="preserve">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</si>
  <si>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reactor.&lt;|im_end|&gt;
&lt;|im_start|&gt;assistant
</t>
  </si>
  <si>
    <t xml:space="preserve">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</si>
  <si>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</si>
  <si>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</si>
  <si>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reactor.&lt;|im_end|&gt;
&lt;|im_start|&gt;assistant
</t>
  </si>
  <si>
    <t xml:space="preserve">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</si>
  <si>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reactor.&lt;|im_end|&gt;
&lt;|im_start|&gt;assistant
</t>
  </si>
  <si>
    <t xml:space="preserve">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</si>
  <si>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reactor.&lt;|im_end|&gt;
&lt;|im_start|&gt;assistant
</t>
  </si>
  <si>
    <t xml:space="preserve">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</si>
  <si>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</si>
  <si>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</si>
  <si>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reactor.&lt;|im_end|&gt;
&lt;|im_start|&gt;assistant
</t>
  </si>
  <si>
    <t xml:space="preserve">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</si>
  <si>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reactor.&lt;|im_end|&gt;
&lt;|im_start|&gt;assistant
</t>
  </si>
  <si>
    <t xml:space="preserve">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</si>
  <si>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</si>
  <si>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</si>
  <si>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reactor.&lt;|im_end|&gt;
&lt;|im_start|&gt;assistant
</t>
  </si>
  <si>
    <t xml:space="preserve">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</si>
  <si>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reactor.&lt;|im_end|&gt;
&lt;|im_start|&gt;assistant
</t>
  </si>
  <si>
    <t xml:space="preserve">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</si>
  <si>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reactor.&lt;|im_end|&gt;
&lt;|im_start|&gt;assistant
</t>
  </si>
  <si>
    <t xml:space="preserve">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</si>
  <si>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reactor.&lt;|im_end|&gt;
&lt;|im_start|&gt;assistant
</t>
  </si>
  <si>
    <t xml:space="preserve">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</si>
  <si>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reactor.&lt;|im_end|&gt;
&lt;|im_start|&gt;assistant
</t>
  </si>
  <si>
    <t xml:space="preserve">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</si>
  <si>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reactor.&lt;|im_end|&gt;
&lt;|im_start|&gt;assistant
</t>
  </si>
  <si>
    <t xml:space="preserve">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</si>
  <si>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reactor.&lt;|im_end|&gt;
&lt;|im_start|&gt;assistant
</t>
  </si>
  <si>
    <t xml:space="preserve">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</si>
  <si>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</si>
  <si>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</si>
  <si>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reactor.&lt;|im_end|&gt;
&lt;|im_start|&gt;assistant
</t>
  </si>
  <si>
    <t xml:space="preserve">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</si>
  <si>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reactor.&lt;|im_end|&gt;
&lt;|im_start|&gt;assistant
</t>
  </si>
  <si>
    <t xml:space="preserve">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</si>
  <si>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reactor.&lt;|im_end|&gt;
&lt;|im_start|&gt;assistant
</t>
  </si>
  <si>
    <t xml:space="preserve">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</si>
  <si>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reactor.&lt;|im_end|&gt;
&lt;|im_start|&gt;assistant
</t>
  </si>
  <si>
    <t xml:space="preserve">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</si>
  <si>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</si>
  <si>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</si>
  <si>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reactor.&lt;|im_end|&gt;
&lt;|im_start|&gt;assistant
</t>
  </si>
  <si>
    <t xml:space="preserve">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</si>
  <si>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</si>
  <si>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</si>
  <si>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</si>
  <si>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</si>
  <si>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reactor.&lt;|im_end|&gt;
&lt;|im_start|&gt;assistant
</t>
  </si>
  <si>
    <t xml:space="preserve">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</si>
  <si>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reactor.&lt;|im_end|&gt;
&lt;|im_start|&gt;assistant
</t>
  </si>
  <si>
    <t xml:space="preserve">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</si>
  <si>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reactor.&lt;|im_end|&gt;
&lt;|im_start|&gt;assistant
</t>
  </si>
  <si>
    <t xml:space="preserve">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</si>
  <si>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reactor.&lt;|im_end|&gt;
&lt;|im_start|&gt;assistant
</t>
  </si>
  <si>
    <t xml:space="preserve">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</si>
  <si>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reactor.&lt;|im_end|&gt;
&lt;|im_start|&gt;assistant
</t>
  </si>
  <si>
    <t xml:space="preserve">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</si>
  <si>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reactor.&lt;|im_end|&gt;
&lt;|im_start|&gt;assistant
</t>
  </si>
  <si>
    <t xml:space="preserve">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</si>
  <si>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reactor.&lt;|im_end|&gt;
&lt;|im_start|&gt;assistant
</t>
  </si>
  <si>
    <t xml:space="preserve">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</si>
  <si>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reactor.&lt;|im_end|&gt;
&lt;|im_start|&gt;assistant
</t>
  </si>
  <si>
    <t xml:space="preserve">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</si>
  <si>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reactor.&lt;|im_end|&gt;
&lt;|im_start|&gt;assistant
</t>
  </si>
  <si>
    <t xml:space="preserve">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</si>
  <si>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reactor.&lt;|im_end|&gt;
&lt;|im_start|&gt;assistant
</t>
  </si>
  <si>
    <t xml:space="preserve">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</si>
  <si>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reactor.&lt;|im_end|&gt;
&lt;|im_start|&gt;assistant
</t>
  </si>
  <si>
    <t xml:space="preserve">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</si>
  <si>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reactor.&lt;|im_end|&gt;
&lt;|im_start|&gt;assistant
</t>
  </si>
  <si>
    <t xml:space="preserve">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</si>
  <si>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</si>
  <si>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</si>
  <si>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reactor.&lt;|im_end|&gt;
&lt;|im_start|&gt;assistant
</t>
  </si>
  <si>
    <t xml:space="preserve">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</si>
  <si>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reactor.&lt;|im_end|&gt;
&lt;|im_start|&gt;assistant
</t>
  </si>
  <si>
    <t xml:space="preserve">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</si>
  <si>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</si>
  <si>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</si>
  <si>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reactor.&lt;|im_end|&gt;
&lt;|im_start|&gt;assistant
</t>
  </si>
  <si>
    <t xml:space="preserve">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</si>
  <si>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reactor.&lt;|im_end|&gt;
&lt;|im_start|&gt;assistant
</t>
  </si>
  <si>
    <t xml:space="preserve">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</si>
  <si>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reactor.&lt;|im_end|&gt;
&lt;|im_start|&gt;assistant
</t>
  </si>
  <si>
    <t xml:space="preserve">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</si>
  <si>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reactor.&lt;|im_end|&gt;
&lt;|im_start|&gt;assistant
</t>
  </si>
  <si>
    <t xml:space="preserve">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</si>
  <si>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reactor.&lt;|im_end|&gt;
&lt;|im_start|&gt;assistant
</t>
  </si>
  <si>
    <t xml:space="preserve">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</si>
  <si>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reactor.&lt;|im_end|&gt;
&lt;|im_start|&gt;assistant
</t>
  </si>
  <si>
    <t xml:space="preserve">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</si>
  <si>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</si>
  <si>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</si>
  <si>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reactor.&lt;|im_end|&gt;
&lt;|im_start|&gt;assistant
</t>
  </si>
  <si>
    <t xml:space="preserve">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</si>
  <si>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reactor.&lt;|im_end|&gt;
&lt;|im_start|&gt;assistant
</t>
  </si>
  <si>
    <t xml:space="preserve">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</si>
  <si>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reactor.&lt;|im_end|&gt;
&lt;|im_start|&gt;assistant
</t>
  </si>
  <si>
    <t xml:space="preserve">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</si>
  <si>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reactor.&lt;|im_end|&gt;
&lt;|im_start|&gt;assistant
</t>
  </si>
  <si>
    <t xml:space="preserve">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</si>
  <si>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reactor.&lt;|im_end|&gt;
&lt;|im_start|&gt;assistant
</t>
  </si>
  <si>
    <t xml:space="preserve">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</si>
  <si>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reactor.&lt;|im_end|&gt;
&lt;|im_start|&gt;assistant
</t>
  </si>
  <si>
    <t xml:space="preserve">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</si>
  <si>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reactor.&lt;|im_end|&gt;
&lt;|im_start|&gt;assistant
</t>
  </si>
  <si>
    <t xml:space="preserve">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</si>
  <si>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reactor.&lt;|im_end|&gt;
&lt;|im_start|&gt;assistant
</t>
  </si>
  <si>
    <t xml:space="preserve">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</si>
  <si>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</si>
  <si>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</si>
  <si>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</si>
  <si>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</si>
  <si>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</si>
  <si>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</si>
  <si>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</si>
  <si>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</si>
  <si>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</si>
  <si>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</si>
  <si>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</si>
  <si>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</si>
  <si>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</si>
  <si>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</si>
  <si>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</si>
  <si>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</si>
  <si>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</si>
  <si>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</si>
  <si>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</si>
  <si>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</si>
  <si>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</si>
  <si>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</si>
  <si>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</si>
  <si>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</si>
  <si>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</si>
  <si>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</si>
  <si>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</si>
  <si>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</si>
  <si>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</si>
  <si>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</si>
  <si>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</si>
  <si>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</si>
  <si>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</si>
  <si>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</si>
  <si>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</si>
  <si>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</si>
  <si>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</si>
  <si>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</si>
  <si>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</si>
  <si>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reactor.&lt;|im_end|&gt;
&lt;|im_start|&gt;assistant
</t>
  </si>
  <si>
    <t>The relative molecular weight of CH_{3}COOC_{2}H_{5} is 76 kg/kmol, NaOH is 40 kg/kmol. Raw material volumetric flow rate: Q_{0}=(998+998)/1.87=1065.14 m^3/h. Initial concentration of ethyl acetate: c_{A0}=998*1000/(76*1065.14)=12.37 mol/L. Initial concentration of sodium hydroxide: c_{B0}=998*1000*1/(40*1065.14)=23.5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v=0.06*1065.14=63.22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</si>
  <si>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</si>
  <si>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</si>
  <si>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</si>
  <si>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</si>
  <si>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</si>
  <si>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</si>
  <si>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</si>
  <si>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</si>
  <si>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</si>
  <si>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</si>
  <si>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</si>
  <si>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</si>
  <si>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</si>
  <si>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</si>
  <si>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</si>
  <si>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</si>
  <si>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</si>
  <si>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</si>
  <si>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</si>
  <si>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</si>
  <si>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</si>
  <si>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</si>
  <si>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</si>
  <si>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</si>
  <si>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</si>
  <si>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</si>
  <si>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</si>
  <si>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</si>
  <si>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</si>
  <si>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</si>
  <si>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</si>
  <si>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</si>
  <si>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</si>
  <si>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</si>
  <si>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</si>
  <si>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</si>
  <si>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</si>
  <si>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</si>
  <si>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</si>
  <si>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</si>
  <si>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</si>
  <si>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</si>
  <si>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</si>
  <si>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</si>
  <si>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</si>
  <si>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</si>
  <si>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</si>
  <si>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</si>
  <si>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reactor.&lt;|im_end|&gt;
&lt;|im_start|&gt;assistant
</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</si>
  <si>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</si>
  <si>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</si>
  <si>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</si>
  <si>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</si>
  <si>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</si>
  <si>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</si>
  <si>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</si>
  <si>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</si>
  <si>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</si>
  <si>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</si>
  <si>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</si>
  <si>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</si>
  <si>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</si>
  <si>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</si>
  <si>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</si>
  <si>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</si>
  <si>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</si>
  <si>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</si>
  <si>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</si>
  <si>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</si>
  <si>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</si>
  <si>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</si>
  <si>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</si>
  <si>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</si>
  <si>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</si>
  <si>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</si>
  <si>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</si>
  <si>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</si>
  <si>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</si>
  <si>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</si>
  <si>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</si>
  <si>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</si>
  <si>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</si>
  <si>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</si>
  <si>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</si>
  <si>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</si>
  <si>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</si>
  <si>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</si>
  <si>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</si>
  <si>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</si>
  <si>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</si>
  <si>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</si>
  <si>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</si>
  <si>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</si>
  <si>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</si>
  <si>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</si>
  <si>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</si>
  <si>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</si>
  <si>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</si>
  <si>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</si>
  <si>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</si>
  <si>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</si>
  <si>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</si>
  <si>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</si>
  <si>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</si>
  <si>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1.39 kmol/h. According to the chemical reaction equation, the mass flow rate of acetic acid required per hour is m_A = 1.39*60 = 83.18 kg/h. The mass flow rate of ethanol required per hour is m_B = 1.39*46 = 64.17 kg/h. The total volumetric feed flow rate is q_raw = (83.18+64.17)*1000/1.05 = 138.14 L/h. The initial concentration of acetic acid is c_{A0} = 83.18*1000/(60*138.14) = 10.09 mol/L. The initial concentration of ethanol is c_{B0} = 64.17*1000/(46*138.14)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x)}=18.41 h. Theoretical volume is v=18.41*138.14=2553.63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</si>
  <si>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volume.&lt;|eot_id|&gt;&lt;|start_header_id|&gt;assistant&lt;|end_header_id|&gt;
</t>
  </si>
  <si>
    <t>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</si>
  <si>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Q_{0}=(341+341)/1.19=571.09 m^3/h. Initial concentration of ethyl acetate: c_{A0}=341*1000/(76*571.09)=7.83 mol/L. Initial concentration of sodium hydroxide: c_{B0}=341*1000*1/(40*571.09)=18.88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v=0.08*571.09=44.39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</si>
  <si>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</si>
  <si>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</si>
  <si>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Q_{0}=(907+907)/1.83=996.79 m^3/h. Initial concentration of ethyl acetate: c_{A0}=907*1000/(76*996.79)=11.97 mol/L. Initial concentration of sodium hydroxide: c_{B0}=907*1000*1/(40*996.79)=22.75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v=0.04*996.79=40.16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</si>
  <si>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reactor.&lt;|eot_id|&gt;&lt;|start_header_id|&gt;assistant&lt;|end_header_id|&gt;
</t>
  </si>
  <si>
    <t>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</si>
  <si>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Q_{0}=(601+601)/1.63=730.58 m^3/h. Initial concentration of ethyl acetate: c_{A0}=601*1000/(76*730.58)=10.72 mol/L. Initial concentration of sodium hydroxide: c_{B0}=601*1000*1/(40*730.58)=20.62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v=0.03*730.58=22.11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</si>
  <si>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reactor.&lt;|eot_id|&gt;&lt;|start_header_id|&gt;assistant&lt;|end_header_id|&gt;
</t>
  </si>
  <si>
    <t>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</si>
  <si>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Q_{0}=(863+863)/1.9=910.53 m^3/h. Initial concentration of ethyl acetate: c_{A0}=863*1000/(76*910.53)=12.63 mol/L. Initial concentration of sodium hydroxide: c_{B0}=863*1000*1/(40*910.53)=23.75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v=0.03*910.53=25.84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</si>
  <si>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reactor.&lt;|eot_id|&gt;&lt;|start_header_id|&gt;assistant&lt;|end_header_id|&gt;
</t>
  </si>
  <si>
    <t>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</si>
  <si>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Q_{0}=(793+793)/1.7=934.71 m^3/h. Initial concentration of ethyl acetate: c_{A0}=793*1000/(76*934.71)=11.25 mol/L. Initial concentration of sodium hydroxide: c_{B0}=793*1000*1/(40*934.71)=21.25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v=0.02*934.71=18.7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</si>
  <si>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</si>
  <si>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</si>
  <si>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Q_{0}=(673+673)/1.01=1330.29 m^3/h. Initial concentration of ethyl acetate: c_{A0}=673*1000/(76*1330.29)=6.64 mol/L. Initial concentration of sodium hydroxide: c_{B0}=673*1000*1/(40*1330.29)=12.75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v=0.03*1330.29=32.2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</si>
  <si>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reactor.&lt;|eot_id|&gt;&lt;|start_header_id|&gt;assistant&lt;|end_header_id|&gt;
</t>
  </si>
  <si>
    <t>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</si>
  <si>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Q_{0}=(650+650)/1.64=803.65 m^3/h. Initial concentration of ethyl acetate: c_{A0}=650*1000/(76*803.65)=10.66 mol/L. Initial concentration of sodium hydroxide: c_{B0}=650*1000*1/(40*803.65)=20.25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v=0.05*803.65=40.16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</si>
  <si>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reactor.&lt;|eot_id|&gt;&lt;|start_header_id|&gt;assistant&lt;|end_header_id|&gt;
</t>
  </si>
  <si>
    <t>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</si>
  <si>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Q_{0}=(201+201)/1.29=310.91 m^3/h. Initial concentration of ethyl acetate: c_{A0}=201*1000/(76*310.91)=8.55 mol/L. Initial concentration of sodium hydroxide: c_{B0}=201*1000*1/(40*310.91)=16.12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v=0.03*310.91=9.39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</si>
  <si>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reactor.&lt;|eot_id|&gt;&lt;|start_header_id|&gt;assistant&lt;|end_header_id|&gt;
</t>
  </si>
  <si>
    <t>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</si>
  <si>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Q_{0}=(542+542)/1.75=617.71 m^3/h. Initial concentration of ethyl acetate: c_{A0}=542*1000/(76*617.71)=11.64 mol/L. Initial concentration of sodium hydroxide: c_{B0}=542*1000*1/(40*617.71)=21.88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v=0.02*617.71=9.9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</si>
  <si>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</si>
  <si>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</si>
  <si>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Q_{0}=(736+736)/1.49=984.97 m^3/h. Initial concentration of ethyl acetate: c_{A0}=736*1000/(76*984.97)=9.74 mol/L. Initial concentration of sodium hydroxide: c_{B0}=736*1000*1/(40*984.97)=18.75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v=0.03*984.97=28.51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</si>
  <si>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reactor.&lt;|eot_id|&gt;&lt;|start_header_id|&gt;assistant&lt;|end_header_id|&gt;
</t>
  </si>
  <si>
    <t>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</si>
  <si>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Q_{0}=(152+152)/1.82=166.08 m^3/h. Initial concentration of ethyl acetate: c_{A0}=152*1000/(76*166.08)=12.04 mol/L. Initial concentration of sodium hydroxide: c_{B0}=152*1000*1/(40*166.08)=22.88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v=0.01*166.08=2.7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</si>
  <si>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reactor.&lt;|eot_id|&gt;&lt;|start_header_id|&gt;assistant&lt;|end_header_id|&gt;
</t>
  </si>
  <si>
    <t>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</si>
  <si>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Q_{0}=(343+343)/1.87=366.84 m^3/h. Initial concentration of ethyl acetate: c_{A0}=343*1000/(76*366.84)=12.3 mol/L. Initial concentration of sodium hydroxide: c_{B0}=343*1000*1/(40*366.84)=23.38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v=0.08*366.84=29.63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</si>
  <si>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</si>
  <si>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</si>
  <si>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Q_{0}=(341+341)/1.47=366.91 m^3/h. Initial concentration of ethyl acetate: c_{A0}=341*1000/(76*366.91)=12.17 mol/L. Initial concentration of sodium hydroxide: c_{B0}=341*1000*1/(40*366.91)=23.12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v=0.08*366.91=29.48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</si>
  <si>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reactor.&lt;|eot_id|&gt;&lt;|start_header_id|&gt;assistant&lt;|end_header_id|&gt;
</t>
  </si>
  <si>
    <t>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</si>
  <si>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Q_{0}=(202+202)/1.33=303.76 m^3/h. Initial concentration of ethyl acetate: c_{A0}=202*1000/(76*303.76)=8.75 mol/L. Initial concentration of sodium hydroxide: c_{B0}=202*1000*1/(40*303.76)=16.62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v=0.03*303.76=9.45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</si>
  <si>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reactor.&lt;|eot_id|&gt;&lt;|start_header_id|&gt;assistant&lt;|end_header_id|&gt;
</t>
  </si>
  <si>
    <t>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</si>
  <si>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Q_{0}=(465+465)/1.3=715.4 m^3/h. Initial concentration of ethyl acetate: c_{A0}=465*1000/(76*715.4)=8.68 mol/L. Initial concentration of sodium hydroxide: c_{B0}=465*1000*1/(40*715.4)=16.38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v=0.03*715.4=19.1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</si>
  <si>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reactor.&lt;|eot_id|&gt;&lt;|start_header_id|&gt;assistant&lt;|end_header_id|&gt;
</t>
  </si>
  <si>
    <t>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</si>
  <si>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Q_{0}=(654+654)/1.45=904. abstract The initial concentration of ethyl acetate is c_{A0}=654*1000/(76*904)=9.54 mol/L. The initial concentration of sodium hydroxide is c_{B0}=654*1000*1/(40*904)=18.12 mol/L. The concentration of chloroethanol is c_{A}=c_{A0}*(1-x). The concentration of sodium bicarbonate is c_{B}=c_{B0}-c_{A0}*x. Reaction time obtained through integral calculation: t=\int_{0}^{x_{f} } \frac{c_{A0}dx_{A} }{r_{A}}=\int_{0}^{x_{f} } \frac{c_{A0}dx_{A} }{k*c_{A}*c_{B}}=\int_{0}^{x_{f} } \frac{dx_{A} }{k*(1-x_{A})*(c_{B0}-c_{A0}*x_{A})}=0.02 h. Theoretical volume is v=0.02*904=17.29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</si>
  <si>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reactor.&lt;|eot_id|&gt;&lt;|start_header_id|&gt;assistant&lt;|end_header_id|&gt;
</t>
  </si>
  <si>
    <t>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</si>
  <si>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Q_{0}=(872+872)/1.55=1124.19 m^3/h. Initial concentration of ethyl acetate: c_{A0}=872*1000/(76*1124.19)=10.2 mol/L. Initial concentration of sodium hydroxide: c_{B0}=872*1000*1/(40*1124.19)=19.38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v=0.02*1124.19=17.99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</si>
  <si>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reactor.&lt;|eot_id|&gt;&lt;|start_header_id|&gt;assistant&lt;|end_header_id|&gt;
</t>
  </si>
  <si>
    <t>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</si>
  <si>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Q_{0}=(675+675)/1.16=1165.52 m^3/h. Initial concentration of ethyl acetate: c_{A0}=675*1000/(76*1165.52)=7.7 mol/L. Initial concentration of sodium hydroxide: c_{B0}=675*1000*1/(40*1165.52)=14.5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v=0.03*1165.52=32.21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</si>
  <si>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reactor.&lt;|eot_id|&gt;&lt;|start_header_id|&gt;assistant&lt;|end_header_id|&gt;
</t>
  </si>
  <si>
    <t>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</si>
  <si>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Q_{0}=(400+400)/1.61=496.89 m^3/h. Initial concentration of ethyl acetate: c_{A0}=400*1000/(76*496.89)=10.59 mol/L. Initial concentration of sodium hydroxide: c_{B0}=400*1000*1/(40*496.89)=20.12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v=0.04*496.89=21.29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</si>
  <si>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reactor.&lt;|eot_id|&gt;&lt;|start_header_id|&gt;assistant&lt;|end_header_id|&gt;
</t>
  </si>
  <si>
    <t>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</si>
  <si>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Q_{0}=(640+640)/1.23=1041.28 m^3/h. Initial concentration of ethyl acetate: c_{A0}=640*1000/(76*1041.28)=8.22 mol/L. Initial concentration of sodium hydroxide: c_{B0}=640*1000*1/(40*1041.28)=15.38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v=0.03*1041.28=33.46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</si>
  <si>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</si>
  <si>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</si>
  <si>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Q_{0}=(324+324)/1.9=342.11 m^3/h. Initial concentration of ethyl acetate: c_{A0}=324*1000/(76*342.11)=12.43 mol/L. Initial concentration of sodium hydroxide: c_{B0}=324*1000*1/(40*342.11)=23.62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v=0.02*342.11=5.89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</si>
  <si>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reactor.&lt;|eot_id|&gt;&lt;|start_header_id|&gt;assistant&lt;|end_header_id|&gt;
</t>
  </si>
  <si>
    <t>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</si>
  <si>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Q_{0}=(673+673)/1.37=980.58 m^3/h. Initial concentration of ethyl acetate: c_{A0}=673*1000/(76*980.58)=9.01 mol/L. Initial concentration of sodium hydroxide: c_{B0}=673*1000*1/(40*980.58)=17.25 mol/L. The concentration of chloroethanol: c_{A}=c_{A0}*(1-x). The concentration of sodium bicarbonate: c_{B}=c_{B0}-c_{A0}*x. Reaction time obtained through integral calculation: t=\frac{c_{A0} \cdot x_{f}}{r_{A}}=\frac{c_{A0} \cdot x_{f}}{k \cdot c_{A} \cdot c_{B}}=\frac{x_{f}}{k \cdot (1-x_{A}) \cdot (c_{B0}-c_{A0} \cdot x_{A})}=0.83 h. Theoretical volume is v=0.83*980.58=815.37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</si>
  <si>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reactor.&lt;|eot_id|&gt;&lt;|start_header_id|&gt;assistant&lt;|end_header_id|&gt;
</t>
  </si>
  <si>
    <t>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</si>
  <si>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Q_{0}=(368+368)/1.47=501.35 m^3/h. Initial concentration of ethyl acetate: c_{A0}=368*1000/(76*501.35)=9.61 mol/L. Initial concentration of sodium hydroxide: c_{B0}=368*1000*1/(40*501.35)=18.25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v=0.02*501.35=9.72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</si>
  <si>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reactor.&lt;|eot_id|&gt;&lt;|start_header_id|&gt;assistant&lt;|end_header_id|&gt;
</t>
  </si>
  <si>
    <t>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</si>
  <si>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Q_{0}=(786+786)/1.16=1353.45 m^3/h. Initial concentration of ethyl acetate: c_{A0}=786*1000/(76*1353.45)=7.63 mol/L. Initial concentration of sodium hydroxide: c_{B0}=786*1000*1/(40*1353.45)=14.5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v=0.08*1353.45=104.77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</si>
  <si>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reactor.&lt;|eot_id|&gt;&lt;|start_header_id|&gt;assistant&lt;|end_header_id|&gt;
</t>
  </si>
  <si>
    <t>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</si>
  <si>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Q_{0}=(555+555)/1.51=735.29 m^3/h. Initial concentration of ethyl acetate: c_{A0}=555*1000/(76*735.29)=9.93 mol/L. Initial concentration of sodium hydroxide: c_{B0}=555*1000*1/(40*735.29)=18.88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v=0.13*735.29=96.02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</si>
  <si>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</si>
  <si>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</si>
  <si>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Q_{0}=(610+610)/1.14=1071.03 m^3/h. Initial concentration of ethyl acetate: c_{A0}=610*1000/(76*1071.03)=7.5 mol/L. Initial concentration of sodium hydroxide: c_{B0}=610*1000*1/(40*1071.03)=14.25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v=0.04*1071.03=44.39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</si>
  <si>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reactor.&lt;|eot_id|&gt;&lt;|start_header_id|&gt;assistant&lt;|end_header_id|&gt;
</t>
  </si>
  <si>
    <t>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</si>
  <si>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Q_{0}=(786+786)/1.77=891.84 m^3/h. Initial concentration of ethyl acetate: c_{A0}=786*1000/(76*891.84)=11.64 mol/L. Initial concentration of sodium hydroxide: c_{B0}=786*1000*1/(40*891.84)=22.0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v=0.13*891.84=113.45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</si>
  <si>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</si>
  <si>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</si>
  <si>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Q_{0}=(665+665)/1.55=859.84 m^3/h. Initial concentration of ethyl acetate: c_{A0}=665*1000/(76*859.84)=10.13 mol/L. Initial concentration of sodium hydroxide: c_{B0}=665*1000*1/(40*859.84)=19.38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v=0.11*859.84=98.0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</si>
  <si>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</si>
  <si>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</si>
  <si>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Q_{0}=(763+763)/1.27=1201.57 m^3/h. Initial concentration of ethyl acetate: c_{A0}=763*1000/(76*1201.57)=8.36 mol/L. Initial concentration of sodium hydroxide: c_{B0}=763*1000*1/(40*1201.57)=15.87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v=0.02*1201.57=22.24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</si>
  <si>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reactor.&lt;|eot_id|&gt;&lt;|start_header_id|&gt;assistant&lt;|end_header_id|&gt;
</t>
  </si>
  <si>
    <t>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</si>
  <si>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Q_{0}=(791+791)/1.63=969.34 m^3/h. Initial concentration of ethyl acetate: c_{A0}=791*1000/(76*969.34)=10.66 mol/L. Initial concentration of sodium hydroxide: c_{B0}=791*1000*1/(40*969.34)=20.38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v=0.06*969.34=56.41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</si>
  <si>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reactor.&lt;|eot_id|&gt;&lt;|start_header_id|&gt;assistant&lt;|end_header_id|&gt;
</t>
  </si>
  <si>
    <t>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</si>
  <si>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130/62=2.1kmol/h. Hourly required chloroethanol: 2.1*80.5/(0.76*0.12)=184.42kg/h. Hourly required sodium bicarbonate: 2.1*84*3.6/(0.76*0.34)=2747.7kg/h. Raw material volumetric flow rate: Q_{0}=(184.42+2747.7)/1.04=2839.85L/h. Initial concentration of chloroethanol: c_{A0}=2.1*1000/(0.76*2839.85)=1.02mol/L. Initial concentration of sodium bicarbonate: c_{B0}=2.1*1000*3.6/(0.76*2839.85)=3.67mol/L.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v=0.08*2839.85=233.24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</si>
  <si>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reactor.&lt;|eot_id|&gt;&lt;|start_header_id|&gt;assistant&lt;|end_header_id|&gt;
</t>
  </si>
  <si>
    <t>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</si>
  <si>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7.31*80.5/(0.81*0.18)=4090.69kg/h. Hourly required sodium bicarbonate: 7.31*84*3.8/(0.81*0.23)=13092.55kg/h. Raw material volumetric flow rate: Q_{0}=(4090.69+13092.55)/1.57=10392.25L/h. Initial concentration of chloroethanol: c_{A0}=7.31*1000/(0.81*10392.25)=0.88mol/L. Initial concentration of sodium bicarbonate: c_{B0}=7.31*1000*3.8/(0.81*10392.25)=3.35mol/L.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v=0.11*10392.25=1185.01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</si>
  <si>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reactor.&lt;|eot_id|&gt;&lt;|start_header_id|&gt;assistant&lt;|end_header_id|&gt;
</t>
  </si>
  <si>
    <t>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</si>
  <si>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602/62=9.68kmol/h. Hourly required chloroethanol: 9.68*80.5/(0.87*0.31)=2802.79kg/h. Hourly required sodium bicarbonate: 9.68*84*1.0/(0.87*0.37)=2786.6kg/h. Raw material volumetric flow rate: Q_{0}=(2802.79+2786.6)/1.59=3359.64L/h. Initial concentration of chloroethanol: c_{A0}=9.68*1000/(0.87*3359.64)=3.07mol/L. Initial concentration of sodium bicarbonate: c_{B0}=9.68*1000*1.0/(0.87*3359.64)=3.07mol/L. The concentration of chloroethanol: c_{A}=c_{A0}*(1-x). The concentration of sodium bicarbonate: c_{B}=c_{B0}-c_{A0}*x. Reaction time obtained through integral calculation: t=\int_{0}^{x_{f} } \frac{c_{A0}dx_{A} }{r_{A}}=\int_{0}^{x_{f} } \frac{c_{A0}dx_{A} }{k*c_{A}*c_{B}}=\int_{0}^{x_{f} } \frac{dx_{A} }{k*(1-x_{A})*(c_{B0}-c_{A0}*x_{A})}=0.33 h. Theoretical volume is v=0.33*3359.64=1125.36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</si>
  <si>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reactor.&lt;|eot_id|&gt;&lt;|start_header_id|&gt;assistant&lt;|end_header_id|&gt;
</t>
  </si>
  <si>
    <t>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</si>
  <si>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13.16*80.5/(0.95*0.4)=2683.11kg/h. Hourly required sodium bicarbonate: 13.16*84*2.9/(0.95*0.45)=7578.51kg/h. Raw material volumetric flow rate: Q_{0}=(2683.11+7578.51)/1.31=7434.68L/h. Initial concentration of chloroethanol: c_{A0}=13.16*1000/(0.95*7434.68)=1.94mol/L. Initial concentration of sodium bicarbonate: c_{B0}=13.16*1000*2.9/(0.95*7434.68)=5.61mol/L. The concentration of chloroethanol: c_{A}=c_{A0}*(1-x). The concentration of sodium bicarbonate: c_{B}=c_{B0}-c_{A0}*x. Reaction time obtained through integral calculation: t=\int_{0}^{x_{f} } \frac{c_{A0}dx_{A} }{r_{A}}=\int_{0}^{x_{f} } \frac{c_{A0}dx_{A} }{k*c_{A}*c_{B}}=\int_{0}^{x_{f} } \frac{dx_{A} }{k*(1-x_{A})*(c_{B0}-c_{A0}*x_{A})}=0.16 h. Theoretical volume is v=0.16*7434.68=1195.11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</si>
  <si>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</si>
  <si>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</si>
  <si>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464/62=7.48kmol/h. Hourly required chloroethanol: 7.48*80.5/(0.72*0.05)=16583.4kg/h. Hourly required sodium bicarbonate: 7.48*84*3.3/(0.72*0.23)=11917.64kg/h. Raw material volumetric flow rate: Q_{0}=(16583.4+11917.64)/1.41=23249.81L/h. Initial concentration of chloroethanol: c_{A0}=7.48*1000/(0.72*23249.81)=0.55mol/L. Initial concentration of sodium bicarbonate: c_{B0}=7.48*1000*3.3/(0.72*23249.81)=1.83mol/L. The concentration of chloroethanol: c_{A}=c_{A0}*(1-x). The concentration of sodium bicarbonate: c_{B}=c_{B0}-c_{A0}*x. Reaction time obtained through integral calculation: t=\int_{0}^{x_{f} } \frac{c_{A0}dx_{A} }{r_{A}}=\int_{0}^{x_{f} } \frac{c_{A0}dx_{A} }{k*c_{A}*c_{B}}=\int_{0}^{x_{f} } \frac{dx_{A} }{k*(1-x_{A})*(c_{B0}-c_{A0}*x_{A})}=0.12 h. Theoretical volume is v=0.12*23249.81=26.63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</si>
  <si>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reactor.&lt;|eot_id|&gt;&lt;|start_header_id|&gt;assistant&lt;|end_header_id|&gt;
</t>
  </si>
  <si>
    <t>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</si>
  <si>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867/62=13.98kmol/h. Hourly required chloroethanol: 13.98*80.5/(0.85*0.37)=3527.84kg/h. Hourly required sodium bicarbonate: 13.98*84*4.0/(0.85*0.42)=14383.72kg/h. Raw material volumetric flow rate: Q_{0}=(3527.84+14383.72)/1.48=12881.1L/h. Initial concentration of chloroethanol: c_{A0}=13.98*1000/(0.85*12881.1)=1.17mol/L. Initial concentration of sodium bicarbonate: c_{B0}=13.98*1000*4.0/(0.85*12881.1)=4.67mol/L.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v=0.08*12881.1=1048.1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</si>
  <si>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reactor.&lt;|eot_id|&gt;&lt;|start_header_id|&gt;assistant&lt;|end_header_id|&gt;
</t>
  </si>
  <si>
    <t>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</si>
  <si>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7.21*80.5/(0.86*0.1)=6945.47kg/h. Hourly required sodium bicarbonate: 7.21*84*1.1/(0.86*0.12)=6648.34kg/h. Raw material volumetric flow rate: Q_{0}=(6945.47+6648.34)/1.93=5684.33L/h. Initial concentration of chloroethanol: c_{A0}=7.21*1000/(0.86*5684.33)=1.59mol/L. Initial concentration of sodium bicarbonate: c_{B0}=7.21*1000*1.1/(0.86*5684.33)=1.76mol/L. The concentration of chloroethanol: c_{A}=c_{A0}*(1-x). The concentration of sodium bicarbonate: c_{B}=c_{B0}-c_{A0}*x. Reaction time obtained through integral calculation: t=\int_{0}^{x_{f} } \frac{c_{A0}dx_{A} }{r_{A}}=\int_{0}^{x_{f} } \frac{c_{A0}dx_{A} }{k*c_{A}*c_{B}}=\int_{0}^{x_{f} } \frac{dx_{A} }{k*(1-x_{A})*(c_{B0}-c_{A0}*x_{A})}=0.34 h. Theoretical volume is v=0.34*5684.33=1952.45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</si>
  <si>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reactor.&lt;|eot_id|&gt;&lt;|start_header_id|&gt;assistant&lt;|end_header_id|&gt;
</t>
  </si>
  <si>
    <t>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</si>
  <si>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2.94*80.5/(0.7*0.23)=1548.97kg/h. Hourly required sodium bicarbonate: 2.94*84*1.4/(0.7*0.43)=1076.23kg/h. Raw material volumetric flow rate: Q_{0}=(1548.97+1076.23)/1.47=2098.85L/h. Initial concentration of chloroethanol: c_{A0}=2.94*1000/(0.7*2098.85)=1.96mol/L. Initial concentration of sodium bicarbonate: c_{B0}=2.94*1000*1.4/(0.7*2098.85)=2.76mol/L. The concentration of chloroethanol: c_{A}=c_{A0}*(1-x). The concentration of sodium bicarbonate: c_{B}=c_{B0}-c_{A0}*x. Reaction time obtained through integral calculation: t=\int_{0}^{x_{f} } \frac{c_{A0}dx_{A} }{r_{A}}=\int_{0}^{x_{f} } \frac{c_{A0}dx_{A} }{k*c_{A}*c_{B}}=\int_{0}^{x_{f} } \frac{dx_{A} }{k*(1-x_{A})*(c_{B0}-c_{A0}*x_{A})}=0.13 h. Theoretical volume is v=0.13*2098.85=271.29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</si>
  <si>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reactor.&lt;|eot_id|&gt;&lt;|start_header_id|&gt;assistant&lt;|end_header_id|&gt;
</t>
  </si>
  <si>
    <t>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</si>
  <si>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1.85*80.5/(0.84*0.49)=abe 4.07kg/h. Hourly required sodium bicarbonate: 1.85*84*2.4/(0.84*0.5)=859.13kg/h. Raw material volumetric flow rate: Q_{0}=(4.07+859.13)/1.15=906.42L/h. Initial concentration of chloroethanol: c_{A0}=1.85*1000/(0.84*906.42)=2.43mol/L. Initial concentration of sodium bicarbonate: c_{B0}=1.85*1000*2.4/(0.84*906.42)=5.81mol/L. The concentration of chloroethanol: c_{A}=c_{A0}*(1-x). The concentration of sodium bicarbonate: c_{B}=c_{B0}-c_{A0}*x. Reaction time obtained through integral calculation: t=\int_{0}^{x_{f} } \frac{c_{A0}dx_{A} }{r_{A}}=\int_{0}^{x_{f} } \frac{c_{A0}dx_{A} }{k*c_{A}*c_{B}}=\int_{0}^{x_{f} } \frac{dx_{A} }{k*(1-x_{A})*(c_{B0}-c_{A0}*x_{A})}=0.07 h. Theoretical volume is v=0.07*906.42=07.03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</si>
  <si>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</si>
  <si>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</si>
  <si>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782/62=12.58kmol/h. Hourly required chloroethanol: 12.58*80.5/(0.76*0.1)=13092.73kg/h. Hourly required sodium bicarbonate: 12.58*84*1.9/(0.76*0.47)=6284.9kg/h. Raw material volumetric flow rate: Q_{0}=(13092.73+6284.9)/1.91=12371.75L/h. Initial concentration of chloroethanol: c_{A0}=12.58*1000/(0.76*12371.75)=1.32mol/L. Initial concentration of sodium bicarbonate: c_{B0}=12.58*1000*1.9/(0.76*12371.75)=2.49mol/L.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v=0.17*12371.75=2087.93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</si>
  <si>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reactor.&lt;|eot_id|&gt;&lt;|start_header_id|&gt;assistant&lt;|end_header_id|&gt;
</t>
  </si>
  <si>
    <t>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</si>
  <si>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7.74*80.5/(0.9*0.09)=7873.97kg/h. Hourly required sodium bicarbonate: 7.74*84*3.8/(0.9*0.26)=9284.69kg/h. Raw material volumetric flow rate: Q_{0}=(7873.97+9284.69)/1.55=10032.29L/h. Initial concentration of chloroethanol: c_{A0}=7.74*1000/(0.9*10032.29)=0.88mol/L. Initial concentration of sodium bicarbonate: c_{B0}=7.74*1000*3.8/(0.9*10032.29)=3.35mol/L.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v=0.16*10032.29=1596.81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</si>
  <si>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</si>
  <si>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</si>
  <si>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9.74*80.5/(0.98*0.26)=3153.04kg/h. Hourly required sodium bicarbonate: 9.74*84*1.8/(0.98*0.36)=3602.82kg/h. Raw material volumetric flow rate: Q_{0}=(3153.04+3602.82)/1.21=6060.82L/h. Initial concentration of chloroethanol: c_{A0}=9.74*1000/(0.98*6060.82)=1.59mol/L. Initial concentration of sodium bicarbonate: c_{B0}=9.74*1000*1.8/(0.98*6060.82)=2.83mol/L. The concentration of chloroethanol: c_{A}=c_{A0}*(1-x). The concentration of sodium bicarbonate: c_{B}=c_{B0}-c_{A0}*x. Reaction time obtained through integral calculation: t=\int_{0}^{x_{f} } \frac{c_{A0}dx_{A} }{r_{A}}=\int_{0}^{x_{f} } \frac{c_{A0}dx_{A} }{k*c_{A}*c_{B}}=\int_{0}^{x_{f} } \frac{dx_{A} }{k*(1-x_{A})*(c_{B0}-c_{A0}*x_{A})}=0.33 h. Theoretical volume is v=0.33*6060.82=2018.4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</si>
  <si>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reactor.&lt;|eot_id|&gt;&lt;|start_header_id|&gt;assistant&lt;|end_header_id|&gt;
</t>
  </si>
  <si>
    <t>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</si>
  <si>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7.11*80.5/(0.79*0.17)=4359.65kg/h. Hourly required sodium bicarbonate: 7.11*84*1.7/(0.79*0.22)=5281.54kg/h. Raw material volumetric flow rate: Q_{0}=(4359.65+5281.54)/1.32=6880.41L/h. Initial concentration of chloroethanol: c_{A0}=7.11*1000/(0.79*6880.41)=1.38mol/L. Initial concentration of sodium bicarbonate: c_{B0}=7.11*1000*1.7/(0.79*6880.41)=2.35mol/L. The concentration of chloroethanol: c_{A}=c_{A0}*(1-x). The concentration of sodium bicarbonate: c_{B}=c_{B0}-c_{A0}*x. Reaction time obtained through integral calculation: t=\frac{c_{A0}*x_{f}}{r_{A}}=\frac{c_{A0}*x_{f}}{k*c_{A}*c_{B}}=\frac{x_{f}}{k*(1-x_{A})*(c_{B0}-c_{A0}*x_{A})}=0.32 h. Theoretical volume is v=0.32*6880.41=2219.71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</si>
  <si>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reactor.&lt;|eot_id|&gt;&lt;|start_header_id|&gt;assistant&lt;|end_header_id|&gt;
</t>
  </si>
  <si>
    <t>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</si>
  <si>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10.74*80.5/(0.9*0.15)=6615.89kg/h. Hourly required sodium bicarbonate: 10.74*84*1.4/(0.9*0.24)=3777.8kg/h. Raw material volumetric flow rate: Q_{0}=(6615.89+3777.8)/1.46=6789.59L/h. Initial concentration of chloroethanol: c_{A0}=10.74*1000/(0.9*6789.59)=1.77mol/L. Initial concentration of sodium bicarbonate: c_{B0}=10.74*1000*1.4/(0.9*6789.59)=2.49mol/L.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v=0.33*6789.59=22198.11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</si>
  <si>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</si>
  <si>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</si>
  <si>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751/62=12.11kmol/h. Hourly required chloroethanol: 12.11*80.5/(0.96*0.21)=4499.37kg/h. Hourly required sodium bicarbonate: 12.11*84*2.9/(0.96*0.24)=13535.37kg/h. Raw material volumetric flow rate: Q_{0}=(4499.37+13535.37)/1.59=11935.4L/h. Initial concentration of chloroethanol: c_{A0}=12.11*1000/(0.96*11935.4)=1.06mol/L. Initial concentration of sodium bicarbonate: c_{B0}=12.11*1000*2.9/(0.96*11935.4)=3.05mol/L. The concentration of chloroethanol: c_{A}=c_{A0}*(1-x). The concentration of sodium bicarbonate: c_{B}=c_{B0}-c_{A0}*x. Reaction time obtained through integral calculation: t=\int_{0}^{x_{f} } \frac{c_{A0}dx_{A} }{r_{A}}=\int_{0}^{x_{f} } \frac{c_{A0}dx_{A} }{k*c_{A}*c_{B}}=\int_{0}^{x_{f} } \frac{dx_{A} }{k*(1-x_{A})*(c_{B0}-c_{A0}*x_{A})}=0.26 h. Theoretical volume is v=0.26*11935.4=3119.39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</si>
  <si>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reactor.&lt;|eot_id|&gt;&lt;|start_header_id|&gt;assistant&lt;|end_header_id|&gt;
</t>
  </si>
  <si>
    <t>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</si>
  <si>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587/62=9.47kmol/h. Hourly required chloroethanol: 9.47*80.5/(0.71*0.13)=8970.57kg/h. Hourly required sodium bicarbonate: 9.47*84*5.0/(0.71*0.27)=16649.62kg/h. Raw material volumetric flow rate: Q_{0}=(8970.57+16649.62)/1.78=14421.36L/h. Initial concentration of chloroethanol: c_{A0}=9.47*1000/(0.71*14421.36)=0.91mol/L. Initial concentration of sodium bicarbonate: c_{B0}=9.47*1000*5.0/(0.71*14421.36)=4.58mol/L.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v=0.06*14421.36=834.97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</si>
  <si>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reactor.&lt;|eot_id|&gt;&lt;|start_header_id|&gt;assistant&lt;|end_header_id|&gt;
</t>
  </si>
  <si>
    <t>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</si>
  <si>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839/62=13.5kmol/h. Hourly required chloroethanol: 13.5*80.5/(0.98*0.08)=1587.68kg/h. Hourly required sodium bicarbonate: 13.5*84*3.1/(0.98*0.26)=12858.91kg/h. Raw material volumetric flow rate: Q_{0}=(1587.68+12858.91)/1.88=6956.72L/h. Initial concentration of chloroethanol: c_{A0}=13.5*1000/(0.98*6956.72)=1.97mol/L. Initial concentration of sodium bicarbonate: c_{B0}=13.5*1000*3.1/(0.98*6956.72)=6.1mol/L. The concentration of chloroethanol: c_{A}=c_{A0}*(1-x). The concentration of sodium bicarbonate: c_{B}=c_{B0}-c_{A0}*x. Reaction time obtained through integral calculation: t=\frac{c_{A0}*x_{f}}{r_{A}}=\frac{c_{A0}*x_{f}}{k*c_{A}*c_{B}}=\frac{x_{f}}{k*(1-x_{A})*(c_{B0}-c_{A0}*x_{A})}=6.42 h. Theoretical volume is v=6.42*6956.72=44736.49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</si>
  <si>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reactor.&lt;|eot_id|&gt;&lt;|start_header_id|&gt;assistant&lt;|end_header_id|&gt;
</t>
  </si>
  <si>
    <t>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</si>
  <si>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853/62=13.79kmol/h. Hourly required chloroethanol: 13.79*80.5/(0.96*0.21)=5835.23kg/h. Hourly required sodium bicarbonate: 13.79*84*4.8/(0.96*0.29)=19736.54kg/h. Raw material volumetric flow rate: Q_{0}=(5835.23+19736.54)/1.35=19937.52L/h. Initial concentration of chloroethanol: c_{A0}=13.79*1000/(0.96*19937.52)=0.72mol/L. Initial concentration of sodium bicarbonate: c_{B0}=13.79*1000*4.8/(0.96*19937.52)=3.44mol/L. The concentration of chloroethanol: c_{A}=c_{A0}*(1-x). The concentration of sodium bicarbonate: c_{B}=c_{B0}-c_{A0}*x. Reaction time obtained through integral calculation: t=\int_{0}^{x_{f} } \frac{c_{A0}dx_{A} }{r_{A}}=\int_{0}^{x_{f} } \frac{c_{A0}dx_{A} }{k*c_{A}*c_{B}}=\int_{0}^{x_{f} } \frac{dx_{A} }{k*(1-x_{A})*(c_{B0}-c_{A0}*x_{A})}=0.24 h. Theoretical volume is v=0.24*19937.52=4769.76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</si>
  <si>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reactor.&lt;|eot_id|&gt;&lt;|start_header_id|&gt;assistant&lt;|end_header_id|&gt;
</t>
  </si>
  <si>
    <t>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</si>
  <si>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5.69*80.5/(0.95*0.13)=3353.33kg/h. Hourly required sodium bicarbonate: 5.69*84*3.9/(0.95*0.22)=7578.99kg/h. Raw material volumetric flow rate: Q_{0}=(3353.33+7578.99)/1.79=7127.29L/h. Initial concentration of chloroethanol: c_{A0}=5.69*1000/(0.95*7127.29)=0.99mol/L. Initial concentration of sodium bicarbonate: c_{B0}=5.69*1000*3.9/(0.95*7127.29)=3.85mol/L. The concentration of chloroethanol: c_{A}=c_{A0}*(1-x). The concentration of sodium bicarbonate: c_{B}=c_{B0}-c_{A0}*x. Reaction time obtained through integral calculation: t=\int_{0}^{x_{f} } \frac{c_{A0}dx_{A} }{r_{A}}=\int_{0}^{x_{f} } \frac{c_{A0}dx_{A} }{k*c_{A}*c_{B}}=\int_{0}^{x_{f} } \frac{dx_{A} }{k*(1-x_{A})*(c_{B0}-c_{A0}*x_{A})}=0.19 h. Theoretical volume is v=0.19*7127.29=1096.72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</si>
  <si>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</si>
  <si>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</si>
  <si>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10.5*80.5/(0.94*0.21)=3871.15kg/h. Hourly required sodium bicarbonate: 10.5*84*3.1/(0.94*0.38)=82913.82kg/h. Raw material volumetric flow rate: Q_{0}=(3871.15+82913.82)/1.97=46187.34L/h. Initial concentration of chloroethanol: c_{A0}=10.5*1000/(0.94*46187.34)=0.24mol/L. Initial concentration of sodium bicarbonate: c_{B0}=10.5*1000*3.1/(0.94*46187.34)=0.24mol/L. The concentration of chloroethanol: c_{A}=c_{A0}*(1-x). The concentration of sodium bicarbonate: c_{B}=c_{B0}-c_{A0}*x. Reaction time obtained through integral calculation: t=\int_{0}^{x_{f} } \frac{c_{A0}dx_{A} }{r_{A}}=\int_{0}^{x_{f} } \frac{c_{A0}dx_{A} }{k*c_{A}*c_{B}}=\int_{0}^{x_{f} } \frac{dx_{A} }{k*(1-x_{A})*(c_{B0}-c_{A0}*x_{A})}=0.33 h. Theoretical volume is v=0.33*46187.34=15343.43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</si>
  <si>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reactor.&lt;|eot_id|&gt;&lt;|start_header_id|&gt;assistant&lt;|end_header_id|&gt;
</t>
  </si>
  <si>
    <t>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</si>
  <si>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3.9*80.5/(0.9*0.25)=1388.97kg/h. Hourly required sodium bicarbonate: 3.9*84*1.5/(0.9*0.33)=1417.1kg/h. Raw material volumetric flow rate: Q_{0}=(1388.97+1417.1)/1.63=1904.81L/h. Initial concentration of chloroethanol: c_{A0}=3.9*1000/(0.9*1904.81)=2.15mol/L. Initial concentration of sodium bicarbonate: c_{B0}=3.9*1000*1.5/(0.9*1904.81)=3.22mol/L. The concentration of chloroethanol: c_{A}=c_{A0}*(1-x). The concentration of sodium bicarbonate: c_{B}=c_{B0}-c_{A0}*x. Reaction time obtained through integral calculation: t=\int_{0}^{x_{f} } \frac{c_{A0}dx_{A} }{r_{A}}=\int_{0}^{x_{f} } \frac{c_{A0}dx_{A} }{k*c_{A}*c_{B}}=\int_{0}^{x_{f} } \frac{dx_{A} }{k*(1-x_{A})*(c_{B0}-c_{A0}*x_{A})}=0.2 h. Theoretical volume is v=0.2*1904.81=377.27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</si>
  <si>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</si>
  <si>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</si>
  <si>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7.92*80.5/(0.89*0.16)=4593.25kg/h. Hourly required sodium bicarbonate: 7.92*84*1.4/(0.89*0.41)=2662.5kg/h. Raw material volumetric flow rate: Q_{0}=(4593.25+2662.5)/1.87=4275.37L/h. Initial concentration of chloroethanol: c_{A0}=7.92*1000/(0.89*4275.37)=2.07mol/L. Initial concentration of sodium bicarbonate: c_{B0}=7.92*1000*1.4/(0.89*4275.37)=2.9mol/L. The concentration of chloroethanol: c_{A}=c_{A0}*(1-x). The concentration of sodium bicarbonate: c_{B}=c_{B0}-c_{A0}*x. Reaction time obtained through integral calculation: t=\int_{0}^{x_{f} } \frac{c_{A0}dx_{A} }{r_{A}}=\int_{0}^{x_{f} } \frac{c_{A0}dx_{A} }{k*c_{A}*c_{B}}=\int_{0}^{x_{f} } \frac{dx_{A} }{k*(1-x_{A})*(c_{B0}-c_{A0}*x_{A})}=0.26 h. Theoretical volume is v=0.26*4275.37=1125.21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</si>
  <si>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reactor.&lt;|eot_id|&gt;&lt;|start_header_id|&gt;assistant&lt;|end_header_id|&gt;
</t>
  </si>
  <si>
    <t>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</si>
  <si>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12.77*80.5/(0.92*0.31)=3811.91kg/h. Hourly required sodium bicarbonate: 12.77*84*2.3/(0.92*0.45)=6284.19kg/h. Raw material volumetric flow rate: Q_{0}=(3811.91+6284.19)/1.8=5667.31L/h. Initial concentration of chloroethanol: c_{A0}=12.77*1000/(0.92*5667.31)=24.52mol/L. Initial concentration of sodium bicarbonate: c_{B0}=12.77*1000*2.3/(0.92*5667.31)=56.55mol/L.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v=0.01*5667.31=58.7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</si>
  <si>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reactor.&lt;|eot_id|&gt;&lt;|start_header_id|&gt;assistant&lt;|end_header_id|&gt;
</t>
  </si>
  <si>
    <t>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</si>
  <si>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411/62=6.64kmol/h. Hourly required chloroethanol: 6.64*80.5/(0.74*0.15)=4753.81kg/h. Hourly required sodium bicarbonate: 6.64*84*2.6/(0.74*0.45)=5635.32kg/h. Raw material volumetric flow rate: Q_{0}=(4753.81+5635.32)/1.32=8110.03L/h. Initial concentration of chloroethanol: c_{A0}=6.64*1000/(0.74*8110.03)=1.27mol/L. Initial concentration of sodium bicarbonate: c_{B0}=6.64*1000*2.6/(0.74*8110.03)=3.3mol/L. The concentration of chloroethanol: c_{A}=c_{A0}*(1-x). The concentration of sodium bicarbonate: c_{B}=c_{B0}-c_{A0}*x. Reaction time obtained through integral calculation: t=\int_{0}^{x_{f} } \frac{c_{A0}dx_{A} }{r_{A}}=\int_{0}^{x_{f} } \frac{c_{A0}dx_{A} }{k*c_{A}*c_{B}}=\int_{0}^{x_{f} } \frac{dx_{A} }{k*(1-x_{A})*(c_{B0}-c_{A0}*x_{A})}=0.09 h. Theoretical volume is v=0.09*8110.03=649.66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</si>
  <si>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reactor.&lt;|eot_id|&gt;&lt;|start_header_id|&gt;assistant&lt;|end_header_id|&gt;
</t>
  </si>
  <si>
    <t>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</si>
  <si>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776/62=12.52kmol/h. Hourly required chloroethanol: 12.52*80.5/(0.92*0.23)=4738.56kg/h. Hourly required sodium bicarbonate: 12.52*84*4.9/(0.92*0.33)=15917.85kg/h. Raw material volumetric flow rate: Q_{0}=(4738.56+15917.85)/1.33=17332.65L/h. Initial concentration of chloroethanol: c_{A0}=12.52*1000/(0.92*17332.65)=0.87mol/L. Initial concentration of sodium bicarbonate: c_{B0}=12.52*1000*4.9/(0.92*17332.65)=4.28mol/L.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v=0.14*17332.65=2466.32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</si>
  <si>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reactor.&lt;|eot_id|&gt;&lt;|start_header_id|&gt;assistant&lt;|end_header_id|&gt;
</t>
  </si>
  <si>
    <t>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</si>
  <si>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6.19*80.5/(0.84*0.44)=1423.62kg/h. Hourly required sodium bicarbonate: 6.19*84*4.6/(0.84*0.47)=6894.59kg/h. Raw material volumetric flow rate: Q_{0}=(1423.62+6894.59)/1.37=6454.37L/h. Initial concentration of chloroethanol: c_{A0}=6.19*1000/(0.84*6454.37)=1.17mol/L. Initial concentration of sodium bicarbonate: c_{B0}=6.19*1000*4.6/(0.84*6454.37)=5.39mol/L. The concentration of chloroethanol: c_{A}=c_{A0}*(1-x). The concentration of sodium bicarbonate: c_{B}=c_{B0}-c_{A0}*x. Reaction time obtained through integral calculation: t=\frac{c_{A0}*x_{f}}{r_{A}}=\frac{c_{A0}*x_{f}}{k*c_{A}*c_{B}}=\frac{x_{f}}{k*(1-x_{A})*(c_{B0}-c_{A0}*x_{A})}=0.14 h. Theoretical volume is v=0.14*6454.37=887.91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</si>
  <si>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</si>
  <si>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</si>
  <si>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332/62=5.35kmol/h. Hourly required chloroethanol: 5.35*80.5/(0.73*0.09)=654.27kg/h. Hourly required sodium bicarbonate: 5.35*84*2.7/(0.73*0.24)=5753.37kg/h. Raw material volumetric flow rate: Q_{0}=(654.27+5753.37)/1.96=3033.23L/h. Initial concentration of chloroethanol: c_{A0}=5.35*1000/(0.73*3033.23)=2.8mol/L. Initial concentration of sodium bicarbonate: c_{B0}=5.35*1000*2.7/(0.73*3033.23)=7.56mol/L. The concentration of chloroethanol: c_{A}=c_{A0}*(1-x). The concentration of sodium bicarbonate: c_{B}=c_{B0}-c_{A0}*x. Reaction time obtained through integral calculation: t=\frac{c_{A0}*x_{f}}{r_{A}}=\frac{c_{A0}*x_{f}}{k*c_{A}*c_{B}}=\frac{x_{f}}{k*(1-x_{A})*(c_{B0}-c_{A0}*x_{A})}=0.27 h. Theoretical volume is v=0.27*3033.23=822.18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</si>
  <si>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reactor.&lt;|eot_id|&gt;&lt;|start_header_id|&gt;assistant&lt;|end_header_id|&gt;
</t>
  </si>
  <si>
    <t>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</si>
  <si>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848/62=13.71kmol/h. Hourly required chloroethanol: 13.71*80.5/(0.87*0.22)=5835.23kg/h. Hourly required sodium bicarbonate: 13.71*84*4.4/(0.87*0.4)=15362.77kg/h. Raw material volumetric flow rate: Q_{0}=(5835.23+15362.77)/1.45=13079.08L/h. Initial concentration of chloroethanol: c_{A0}=13.71*1000/(0.87*13079.08)=1.17mol/L. Initial concentration of sodium bicarbonate: c_{B0}=13.71*1000*4.4/(0.87*13079.08)=5.15mol/L.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v=0.09*13079.08=1164.04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</si>
  <si>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reactor.&lt;|eot_id|&gt;&lt;|start_header_id|&gt;assistant&lt;|end_header_id|&gt;
</t>
  </si>
  <si>
    <t>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</si>
  <si>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9.61*80.5/(0.84*0.09)=10563.49kg/h. Hourly required sodium bicarbonate: 9.61*84*3.0/(0.84*0.16)=24222.38kg/h. Raw material volumetric flow rate: Q_{0}=(10563.49+24222.38)/1.35=24255.26L/h. Initial concentration of chloroethanol: c_{A0}=9.61*1000/(0.84*24255.26)=0.59mol/L. Initial concentration of sodium bicarbonate: c_{B0}=9.61*1000*3.0/(0.84*24255.26)=1.77mol/L. The concentration of chloroethanol: c_{A}=c_{A0}*(1-x). The concentration of sodium bicarbonate: c_{B}=c_{B0}-c_{A0}*x. Reaction time obtained through integral calculation: t=\int_{0}^{x_{f} } \frac{c_{A0}dx_{A} }{r_{A}}=\int_{0}^{x_{f} } \frac{c_{A0}dx_{A} }{k*c_{A}*c_{B}}=\int_{0}^{x_{f} } \frac{dx_{A} }{k*(1-x_{A})*(c_{B0}-c_{A0}*x_{A})}=0.27 h. Theoretical volume is v=0.27*24255.26=6526.07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</si>
  <si>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</si>
  <si>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</si>
  <si>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300/62=4.84kmol/h. Hourly required chloroethanol: 4.84*80.5/(0.8*0.25)=2040.62kg/h. Hourly required sodium bicarbonate: 4.84*84*2.1/(0.8*0.47)=2451.87kg/h. Raw material volumetric flow rate: Q_{0}=(2040.62+2451.87)/1.63=3102.75L/h. Initial concentration of chloroethanol: c_{A0}=4.84*1000/(0.8*3102.75)=1.83mol/L. Initial concentration of sodium bicarbonate: c_{B0}=4.84*1000*2.1/(0.8*3102.75)=3.84mol/L. The concentration of chloroethanol: c_{A}=c_{A0}*(1-x). The concentration of sodium bicarbonate: c_{B}=c_{B0}-c_{A0}*x. Reaction time obtained through integral calculation: t=\int_{0}^{x_{f} } \frac{c_{A0}dx_{A} }{r_{A}}=\int_{0}^{x_{f} } \frac{c_{A0}dx_{A} }{k*c_{A}*c_{B}}=\int_{0}^{x_{f} } \frac{dx_{A} }{k*(1-x_{A})*(c_{B0}-c_{A0}*x_{A})}=0.12 h. Theoretical volume is v=0.12*3102.75=377.31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</si>
  <si>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reactor.&lt;|eot_id|&gt;&lt;|start_header_id|&gt;assistant&lt;|end_header_id|&gt;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</si>
  <si>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</si>
  <si>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</si>
  <si>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</si>
  <si>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</si>
  <si>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</si>
  <si>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</si>
  <si>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</si>
  <si>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</si>
  <si>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</si>
  <si>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</si>
  <si>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</si>
  <si>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</si>
  <si>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</si>
  <si>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</si>
  <si>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</si>
  <si>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</si>
  <si>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</si>
  <si>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</si>
  <si>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</si>
  <si>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</si>
  <si>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</si>
  <si>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</si>
  <si>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</si>
  <si>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</si>
  <si>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</si>
  <si>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</si>
  <si>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</si>
  <si>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</si>
  <si>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</si>
  <si>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</si>
  <si>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</si>
  <si>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</si>
  <si>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</si>
  <si>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</si>
  <si>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</si>
  <si>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</si>
  <si>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</si>
  <si>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</si>
  <si>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</si>
  <si>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</si>
  <si>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</si>
  <si>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</si>
  <si>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</si>
  <si>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</si>
  <si>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</si>
  <si>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</si>
  <si>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</si>
  <si>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</si>
  <si>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</si>
  <si>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</si>
  <si>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</si>
  <si>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</si>
  <si>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</si>
  <si>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</si>
  <si>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</si>
  <si>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</si>
  <si>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</si>
  <si>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</si>
  <si>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</si>
  <si>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</si>
  <si>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</si>
  <si>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</si>
  <si>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</si>
  <si>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</si>
  <si>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</si>
  <si>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</si>
  <si>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</si>
  <si>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</si>
  <si>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</si>
  <si>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</si>
  <si>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</si>
  <si>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</si>
  <si>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</si>
  <si>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</si>
  <si>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</si>
  <si>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</si>
  <si>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</si>
  <si>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</si>
  <si>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</si>
  <si>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</si>
  <si>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</si>
  <si>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</si>
  <si>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</si>
  <si>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</si>
  <si>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</si>
  <si>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</si>
  <si>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</si>
  <si>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reactor.&lt;end_of_turn&gt;
&lt;start_of_turn&gt;model
</t>
  </si>
  <si>
    <t>&lt;think&gt;
&lt;/think&gt;
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</si>
  <si>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volume.&lt;｜Assistant｜&gt;</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</si>
  <si>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volume.&lt;｜Assistant｜&gt;</t>
  </si>
  <si>
    <t>&lt;think&gt;
&lt;/think&gt;
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</si>
  <si>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volume.&lt;｜Assistant｜&gt;</t>
  </si>
  <si>
    <t>&lt;think&gt;
&lt;/think&gt;
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</si>
  <si>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volume.&lt;｜Assistant｜&gt;</t>
  </si>
  <si>
    <t>&lt;think&gt;
&lt;/think&gt;
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</si>
  <si>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</si>
  <si>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</si>
  <si>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volume.&lt;｜Assistant｜&gt;</t>
  </si>
  <si>
    <t>&lt;think&gt;
&lt;/think&gt;
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</si>
  <si>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volume.&lt;｜Assistant｜&gt;</t>
  </si>
  <si>
    <t>&lt;think&gt;
&lt;/think&gt;
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</si>
  <si>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</si>
  <si>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</si>
  <si>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volume.&lt;｜Assistant｜&gt;</t>
  </si>
  <si>
    <t>&lt;think&gt;
&lt;/think&gt;
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</si>
  <si>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</si>
  <si>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</si>
  <si>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volume.&lt;｜Assistant｜&gt;</t>
  </si>
  <si>
    <t>&lt;think&gt;
&lt;/think&gt;
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</si>
  <si>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</si>
  <si>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</si>
  <si>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volume.&lt;｜Assistant｜&gt;</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</si>
  <si>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</si>
  <si>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</si>
  <si>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volume.&lt;｜Assistant｜&gt;</t>
  </si>
  <si>
    <t>&lt;think&gt;
&lt;/think&gt;
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</si>
  <si>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volume.&lt;｜Assistant｜&gt;</t>
  </si>
  <si>
    <t>&lt;think&gt;
&lt;/think&gt;
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</si>
  <si>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volume.&lt;｜Assistant｜&gt;</t>
  </si>
  <si>
    <t>&lt;think&gt;
&lt;/think&gt;
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</si>
  <si>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</si>
  <si>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</si>
  <si>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volume.&lt;｜Assistant｜&gt;</t>
  </si>
  <si>
    <t>&lt;think&gt;
&lt;/think&gt;
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</si>
  <si>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volume.&lt;｜Assistant｜&gt;</t>
  </si>
  <si>
    <t>&lt;think&gt;
&lt;/think&gt;
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</si>
  <si>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volume.&lt;｜Assistant｜&gt;</t>
  </si>
  <si>
    <t>&lt;think&gt;
&lt;/think&gt;
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</si>
  <si>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volume.&lt;｜Assistant｜&gt;</t>
  </si>
  <si>
    <t>&lt;think&gt;
&lt;/think&gt;
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</si>
  <si>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volume.&lt;｜Assistant｜&gt;</t>
  </si>
  <si>
    <t>&lt;think&gt;
&lt;/think&gt;
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</si>
  <si>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volume.&lt;｜Assistant｜&gt;</t>
  </si>
  <si>
    <t>&lt;think&gt;
&lt;/think&gt;
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</si>
  <si>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volume.&lt;｜Assistant｜&gt;</t>
  </si>
  <si>
    <t>&lt;think&gt;
&lt;/think&gt;
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</si>
  <si>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volume.&lt;｜Assistant｜&gt;</t>
  </si>
  <si>
    <t>&lt;think&gt;
&lt;/think&gt;
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</si>
  <si>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volume.&lt;｜Assistant｜&gt;</t>
  </si>
  <si>
    <t>&lt;think&gt;
&lt;/think&gt;
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</si>
  <si>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volume.&lt;｜Assistant｜&gt;</t>
  </si>
  <si>
    <t>&lt;think&gt;
&lt;/think&gt;
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</si>
  <si>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</si>
  <si>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</si>
  <si>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reactor.&lt;｜Assistant｜&gt;</t>
  </si>
  <si>
    <t>&lt;think&gt;
&lt;/think&gt;
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</si>
  <si>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reactor.&lt;｜Assistant｜&gt;</t>
  </si>
  <si>
    <t>&lt;think&gt;
&lt;/think&gt;
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</si>
  <si>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reactor.&lt;｜Assistant｜&gt;</t>
  </si>
  <si>
    <t>&lt;think&gt;
&lt;/think&gt;
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</si>
  <si>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</si>
  <si>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</si>
  <si>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reactor.&lt;｜Assistant｜&gt;</t>
  </si>
  <si>
    <t>&lt;think&gt;
&lt;/think&gt;
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</si>
  <si>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reactor.&lt;｜Assistant｜&gt;</t>
  </si>
  <si>
    <t>&lt;think&gt;
&lt;/think&gt;
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</si>
  <si>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reactor.&lt;｜Assistant｜&gt;</t>
  </si>
  <si>
    <t>&lt;think&gt;
&lt;/think&gt;
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</si>
  <si>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</si>
  <si>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</si>
  <si>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reactor.&lt;｜Assistant｜&gt;</t>
  </si>
  <si>
    <t>&lt;think&gt;
&lt;/think&gt;
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</si>
  <si>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reactor.&lt;｜Assistant｜&gt;</t>
  </si>
  <si>
    <t>&lt;think&gt;
&lt;/think&gt;
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</si>
  <si>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</si>
  <si>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</si>
  <si>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reactor.&lt;｜Assistant｜&gt;</t>
  </si>
  <si>
    <t>&lt;think&gt;
&lt;/think&gt;
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</si>
  <si>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reactor.&lt;｜Assistant｜&gt;</t>
  </si>
  <si>
    <t>&lt;think&gt;
&lt;/think&gt;
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</si>
  <si>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reactor.&lt;｜Assistant｜&gt;</t>
  </si>
  <si>
    <t>&lt;think&gt;
&lt;/think&gt;
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</si>
  <si>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reactor.&lt;｜Assistant｜&gt;</t>
  </si>
  <si>
    <t>&lt;think&gt;
&lt;/think&gt;
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</si>
  <si>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reactor.&lt;｜Assistant｜&gt;</t>
  </si>
  <si>
    <t>&lt;think&gt;
&lt;/think&gt;
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</si>
  <si>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reactor.&lt;｜Assistant｜&gt;</t>
  </si>
  <si>
    <t>&lt;think&gt;
&lt;/think&gt;
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</si>
  <si>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reactor.&lt;｜Assistant｜&gt;</t>
  </si>
  <si>
    <t>&lt;think&gt;
&lt;/think&gt;
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</si>
  <si>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</si>
  <si>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</si>
  <si>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reactor.&lt;｜Assistant｜&gt;</t>
  </si>
  <si>
    <t>&lt;think&gt;
&lt;/think&gt;
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</si>
  <si>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reactor.&lt;｜Assistant｜&gt;</t>
  </si>
  <si>
    <t>&lt;think&gt;
&lt;/think&gt;
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</si>
  <si>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reactor.&lt;｜Assistant｜&gt;</t>
  </si>
  <si>
    <t>&lt;think&gt;
&lt;/think&gt;
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</si>
  <si>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reactor.&lt;｜Assistant｜&gt;</t>
  </si>
  <si>
    <t>&lt;think&gt;
&lt;/think&gt;
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</si>
  <si>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</si>
  <si>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</si>
  <si>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reactor.&lt;｜Assistant｜&gt;</t>
  </si>
  <si>
    <t>&lt;think&gt;
&lt;/think&gt;
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</si>
  <si>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</si>
  <si>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</si>
  <si>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</si>
  <si>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</si>
  <si>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reactor.&lt;｜Assistant｜&gt;</t>
  </si>
  <si>
    <t>&lt;think&gt;
&lt;/think&gt;
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</si>
  <si>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reactor.&lt;｜Assistant｜&gt;</t>
  </si>
  <si>
    <t>&lt;think&gt;
&lt;/think&gt;
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</si>
  <si>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reactor.&lt;｜Assistant｜&gt;</t>
  </si>
  <si>
    <t>&lt;think&gt;
&lt;/think&gt;
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</si>
  <si>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reactor.&lt;｜Assistant｜&gt;</t>
  </si>
  <si>
    <t>&lt;think&gt;
&lt;/think&gt;
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</si>
  <si>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reactor.&lt;｜Assistant｜&gt;</t>
  </si>
  <si>
    <t>&lt;think&gt;
&lt;/think&gt;
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</si>
  <si>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</si>
  <si>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</si>
  <si>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reactor.&lt;｜Assistant｜&gt;</t>
  </si>
  <si>
    <t>&lt;think&gt;
&lt;/think&gt;
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</si>
  <si>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reactor.&lt;｜Assistant｜&gt;</t>
  </si>
  <si>
    <t>&lt;think&gt;
&lt;/think&gt;
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</si>
  <si>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reactor.&lt;｜Assistant｜&gt;</t>
  </si>
  <si>
    <t>&lt;think&gt;
&lt;/think&gt;
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</si>
  <si>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reactor.&lt;｜Assistant｜&gt;</t>
  </si>
  <si>
    <t>&lt;think&gt;
&lt;/think&gt;
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</si>
  <si>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reactor.&lt;｜Assistant｜&gt;</t>
  </si>
  <si>
    <t>&lt;think&gt;
&lt;/think&gt;
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</si>
  <si>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reactor.&lt;｜Assistant｜&gt;</t>
  </si>
  <si>
    <t>&lt;think&gt;
&lt;/think&gt;
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</si>
  <si>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</si>
  <si>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</si>
  <si>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reactor.&lt;｜Assistant｜&gt;</t>
  </si>
  <si>
    <t>&lt;think&gt;
&lt;/think&gt;
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</si>
  <si>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reactor.&lt;｜Assistant｜&gt;</t>
  </si>
  <si>
    <t>&lt;think&gt;
&lt;/think&gt;
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</si>
  <si>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</si>
  <si>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</si>
  <si>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reactor.&lt;｜Assistant｜&gt;</t>
  </si>
  <si>
    <t>&lt;think&gt;
&lt;/think&gt;
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</si>
  <si>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reactor.&lt;｜Assistant｜&gt;</t>
  </si>
  <si>
    <t>&lt;think&gt;
&lt;/think&gt;
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</si>
  <si>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reactor.&lt;｜Assistant｜&gt;</t>
  </si>
  <si>
    <t>&lt;think&gt;
&lt;/think&gt;
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</si>
  <si>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reactor.&lt;｜Assistant｜&gt;</t>
  </si>
  <si>
    <t>&lt;think&gt;
&lt;/think&gt;
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</si>
  <si>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</si>
  <si>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</si>
  <si>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reactor.&lt;｜Assistant｜&gt;</t>
  </si>
  <si>
    <t>&lt;think&gt;
&lt;/think&gt;
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</si>
  <si>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</si>
  <si>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</si>
  <si>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reactor.&lt;｜Assistant｜&gt;</t>
  </si>
  <si>
    <t>&lt;think&gt;
&lt;/think&gt;
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</si>
  <si>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reactor.&lt;｜Assistant｜&gt;</t>
  </si>
  <si>
    <t>&lt;think&gt;
&lt;/think&gt;
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</si>
  <si>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reactor.&lt;｜Assistant｜&gt;</t>
  </si>
  <si>
    <t>&lt;think&gt;
&lt;/think&gt;
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</si>
  <si>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reactor.&lt;｜Assistant｜&gt;</t>
  </si>
  <si>
    <t>&lt;think&gt;
&lt;/think&gt;
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</si>
  <si>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reactor.&lt;｜Assistant｜&gt;</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</si>
  <si>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reactor.&lt;｜Assistant｜&gt;</t>
  </si>
  <si>
    <t>&lt;think&gt;
&lt;/think&gt;
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</si>
  <si>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reactor.&lt;｜Assistant｜&gt;</t>
  </si>
  <si>
    <t>&lt;think&gt;
&lt;/think&gt;
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</si>
  <si>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reactor.&lt;｜Assistant｜&gt;</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</si>
  <si>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reactor.&lt;｜Assistant｜&gt;</t>
  </si>
  <si>
    <t>真实反应训练结果</t>
    <phoneticPr fontId="1" type="noConversion"/>
  </si>
  <si>
    <t>4.2.1节训练结果及时间</t>
    <phoneticPr fontId="1" type="noConversion"/>
  </si>
  <si>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1041.17 L/h. The initial concentration of acetic acid is c_{A0} = 634.09*1000/(60*1041.17) = 10.0 mol/L. The initial concentration of ethanol is c_{B0} = 486.14*1000/(46*1041.17)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x)}=26.19 h. Theoretical volume is v=26.19*1041.17=27294.62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</si>
  <si>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4.91 kmol/h. According to the chemical reaction equation, the mass flow rate of acetic acid required per hour is m_A = 4.91*60 = 294.55 kg/h. The mass flow rate of ethanol required per hour is m_B = 4.91*46 = 226.23 kg/h. The total volumetric feed flow rate is q_raw = (294.55+226.23)*1000/0.85 = 618.4 L/h. The initial concentration of acetic acid is c_{A0} = 294.55*1000/(60*618.4) = 7.83 mol/L. The initial concentration of ethanol is c_{B0} = 226.23*1000/(46*618.4)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}{k1*(1-x_{A})*(c_{B0}-c_{A0}*x_{A})-\frac{c_{A0}*x_{A}*x_{A}}{kc}}=91.68 h. Theoretical volume is v=91.68*618.4=56566.56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</si>
  <si>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463.54 kg/h. The total volumetric feed flow rate is q_raw = (604.09+463.54)*1000/0.95 = 1100.11 L/h. The initial concentration of acetic acid is c_{A0} = 604.09*1000/(60*1100.11) = 9.03 mol/L. The initial concentration of ethanol is c_{B0} = 463.54*1000/(46*1100.11) = 9.03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}{k1*(1-x_{A})*(c_{B0}-c_{A0}*x_{A})-\frac{c_{A0}*x_{A}*x_{A}}{kc}}=122.41 h. Theoretical volume is v=122.41*1100.11=135436.Choose the best option to complete the sentence: ________ is the core of human resources management. A. Performance appraisal B. Employee recruitment C. Performance improvement D. Talent development</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</si>
  <si>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393.36 kg/h. The total volumetric feed flow rate is q_raw = (514.77+393.36)*1000/1.01 = 861.67 L/h. The initial concentration of acetic acid is c_{A0} = 514.77*1000/(60*861.67) = 10.09 mol/L. The initial concentration of ethanol is c_{B0} = 393.36*1000/(46*861.67) = 10.09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}{k1*(1-x_{A})*(c_{B0}-c_{A0}*x_{A})-\frac{c_{A0}*x_{A}*x_{A}}{kc}}=141.1 h. Theoretical volume is v=141.1*861.67=120088.36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</si>
  <si>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2.1 kmol/h. According to the chemical reaction equation, the mass flow rate of acetic acid required per hour is m_A = 2.1*60 = 126.14 kg/h. The mass flow rate of ethanol required per hour is m_B = 2.1*46 = 96.7 kg/h. The total volumetric feed flow rate is q_raw = (126.14+96.7)*1000/1.0 = 222.87 L/h. The initial concentration of acetic acid is c_{A0} = 126.14*1000/(60*222.87) = 9.43 mol/L. The initial concentration of ethanol is c_{B0} = 96.7*1000/(46*222.87)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}{k1*(1-x_{A})*(c_{B0}-c_{A0}*x_{A})-\frac{c_{A0}*x_{A}*x_{A}}{kc}}=126.69 h. Theoretical volume is v=126.69*222.87=28111.92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</si>
  <si>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3.56 kmol/h. According to the chemical reaction equation, the mass flow rate of acetic acid required per hour is m_A = 3.56*60 = 213.41 kg/h. The mass flow rate of ethanol required per hour is m_B = 3.56*46 = 164. idle. The total volumetric feed flow rate is q_raw = (213.41+164)*1000/0.86 = 435.29 L/h. The initial concentration of acetic acid is c_{A0} = 213.41*1000/(60*435.29) = 8.21 mol/L. The initial concentration of ethanol is c_{B0} = 164*1000/(46*435.29) = 8.21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}{k1*(1-x_{A})*(c_{B0}-c_{A0}*x_{A})-\frac{c_{A0}*x_{A}*x_{A}}{kc}}=106.97 h. Theoretical volume is v=106.97*435.29=46666.67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</si>
  <si>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392.45 L/h. The initial concentration of acetic acid is c_{A0} = 234.55*1000/(60*392.45) = 10.09 mol/L. The initial concentration of ethanol is c_{B0} = 179.82*1000/(46*392.45)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x)}=28.17 h. Theoretical volume is v=28.17*392.45=11013.47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</si>
  <si>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2.97 kmol/h. According to the chemical reaction equation, the mass flow rate of acetic acid required per hour is m_A = 2.97*60 = 178.09 kg/h. The mass flow rate of ethanol required per hour is m_B = 2.97*46 = 136.54 kg/h. The total volumetric feed flow rate is q_raw = (178.09+136.54)*1000/0.95 = 330.03 L/h. The initial concentration of acetic acid is c_{A0} = 178.09*1000/(60*330.03) = 9.15 mol/L. The initial concentration of ethanol is c_{B0} = 136.54*1000/(46*330.03) = 9.15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}{k1*(1-x_{A})*(c_{B0}-c_{A0}*x_{A})-\frac{c_{A0}*x_{A}*x_{A}}{kc}}=124.53 h. Theoretical volume is v=124.53*330.03=41113.31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</si>
  <si>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107.27 kg/h. The total volumetric feed flow rate is q_raw = (140.45+107.27)*1000/0.93 = 259.63 L/h. The initial concentration of acetic acid is c_{A0} = 140.45*1000/(60*259.63) = 9.06 mol/L. The initial concentration of ethanol is c_{B0} = 107.27*1000/(46*259.63)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}{k1*(1-x_{A})*(c_{B0}-c_{A0}*x_{A})-\frac{c_{A0}*x_{A}*x_{A}}{kc}}=111.79 h. Theoretical volume is v=111.79*259.63=29217.42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</si>
  <si>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533.36 kg/h. The mass flow rate of ethanol required per hour is m_B = 8.89*46 = 407.18 kg/h. The total volumetric feed flow rate is q_raw = (533.36+407.18)*1000/0.84 = 1091.13 L/h. The initial concentration of acetic acid is c_{A0} = 533.36*1000/(60*1091.13) = 8.11 mol/L. The initial concentration of ethanol is c_{B0} = 407.18*1000/(46*1091.13)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v=0.1*1091.13=109.13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</si>
  <si>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501.91 L/h. The initial concentration of acetic acid is c_{A0} = 235.23*1000/(60*501.91) = 7.83 mol/L. The initial concentration of ethanol is c_{B0} = 180.34*1000/(46*501.91)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}{k1*(1-x_{A})*(c_{B0}-c_{A0}*x_{A})-\frac{c_{A0}*x_{A}*x_{A}}{kc}}=100.72 h. Theoretical volume is v=100.72*501.91=50613.27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</si>
  <si>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533.36 kg/h. The mass flow rate of ethanol required per hour is m_B = 8.89*46 = 407.18 kg/h. The total volumetric feed flow rate is q_raw = (533.36+407.18)*1000/1.18 = 794.19 L/h. The initial concentration of acetic acid is c_{A0} = 533.36*1000/(60*794.19) = 11.13 mol/L. The initial concentration of ethanol is c_{B0} = 407.18*1000/(46*794.19)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v=0.13*794.19=103.11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</si>
  <si>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228.4L/h. The initial concentration of acetic acid is c_{A0} = 117.27*1000/(60*228.4) = 8.58 mol/L. The initial concentration of ethanol is c_{B0} = 89.91*1000/(46*228.4)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}{k1*(1-x_{A})*(c_{B0}-c_{A0}*x_{A})-\frac{c_{A0}*x_{A}*x_{A}}{kc}}=109.06 h. Theoretical volume is v=109.06*228.4=24711.34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</si>
  <si>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868.64 L/h. The initial concentration of acetic acid is c_{A0} = 431.59*1000/(60*868.64) = 8.11 mol/L. The initial concentration of ethanol is c_{B0} = 330.89*1000/(46*868.64)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}{k1*(1-x_{A})*(c_{B0}-c_{A0}*x_{A})-\frac{c_{A0}*x_{A}*x_{A}}{kc}}=112.39 h. Theoretical volume is v=112.39*868.64=97104.15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</si>
  <si>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620.18 L/h. The initial concentration of acetic acid is c_{A0} = 362.05*1000/(60*620.18) = 9.62 mol/L. The initial concentration of ethanol is c_{B0} = 277.57*1000/(46*620.18) = 9.62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x)}=50.42 h. Theoretical volume is v=50.42*620.18=31482.28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</si>
  <si>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1.91 kmol/h. According to the chemical reaction equation, the mass flow rate of acetic acid required per hour is m_A = 1.91*60 = 114.55 kg/h. The mass flow rate of ethanol required per hour is m_B = 1.91*46 = 87.82 kg/h. The total volumetric feed flow rate is q_raw = (114.55+87.82)*1000/1.01 = 201.34 L/h. The initial concentration of acetic acid is c_{A0} = 114.55*1000/(60*201.34) = 9.53 mol/L. The initial concentration of ethanol is c_{B0} = 87.82*1000/(46*201.34)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}{k1*(1-x_{A})*(c_{B0}-c_{A0}*x_{A})-\frac{c_{A0}*x_{A}*x_{A}}{kc}}=129.17 h. Theoretical volume is v=129.17*201.34=26135.49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</si>
  <si>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66.5 kg/h. The total volumetric feed flow rate is q_raw = (87.27+66.5)*1000/1.15 = 131.81 L/h. The initial concentration of acetic acid is c_{A0} = 87.27*1000/(60*131.81) = 11.04 mol/L. The initial concentration of ethanol is c_{B0} = 66.5*1000/(46*131.81) = 11.04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}{k1*(1-x_{A})*(c_{B0}-c_{A0}*x_{A})-\frac{c_{A0}*x_{A}*x_{A}}{kc}}=149.75 h. Theoretical volume is v=149.75*131.81=19557.27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</si>
  <si>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7.23 kmol/h. According to the chemical reaction equation, the mass flow rate of acetic acid required per hour is m_A = 7.23*60 = 433.64 kg/h. The mass flow rate of ethanol required per hour is m_B = 7.23*46 = 332.57 kg/h. The total volumetric feed flow rate is q_raw = (433.64+332.57)*1000/0.8 = 992.23 L/h. The initial concentration of acetic acid is c_{A0} = 433.64*1000/(60*992.23) = 7.45 mol/L. The initial concentration of ethanol is c_{B0} = 332.57*1000/(46*992.23) = 7.45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x)}=3.09 h. Theoretical volume is v=3.09*992.23=3063.44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</si>
  <si>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257.82 kg/h. The total volumetric feed flow rate is q_raw = (336.82+257.82)*1000/0.85 = 694.17 L/h. The initial concentration of acetic acid is c_{A0} = 336.82*1000/(60*694.17) = 8.21 mol/L. The initial concentration of ethanol is c_{B0} = 257.82*1000/(46*694.17) = 8.21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x)}=35.38 h. Theoretical volume is v=35.38*694.17=24561.66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</si>
  <si>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73.77 kg/h. The mass flow rate of ethanol required per hour is m_B = 1.23*46 = 56.26 kg/h. The total volumetric feed flow rate is q_raw = (73.77+56.26)*1000/1.14 = 117.5 L/h. The initial concentration of acetic acid is c_{A0} = 73.77*1000/(60*117.5) = 10.53 mol/L. The initial concentration of ethanol is c_{B0} = 56.26*1000/(46*117.5) = 10.53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x)}=41.75 h. Theoretical volume is v=41.75*117.5=4993.31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</si>
  <si>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7.68 kmol/h. According to the chemical reaction equation, the mass flow rate of acetic acid required per hour is m_A = 7.68*60 = 460.91 kg/h. The mass flow rate of ethanol required per hour is m_B = 7.68*46 = 352.57 kg/h. The total volumetric feed flow rate is q_raw = (460.91+352.57)*1000/0.99 = 825.37 L/h. The initial concentration of acetic acid is c_{A0} = 460.91*1000/(60*825.37) = 9.25 mol/L. The initial concentration of ethanol is c_{B0} = 352.57*1000/(46*825.37) = 9.25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}{k1*(1-x_{A})*(c_{B0}-c_{A0}*x_{A})-\frac{c_{A0}*x_{A}*x_{A}}{kc}}=112.17 h. Theoretical volume is v=112.17*825.37=92549.2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</si>
  <si>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7.64 kmol/h. According to the chemical reaction equation, the mass flow rate of acetic acid required per hour is m_A = 7.64*60 = 458.18 kg/h. The mass flow rate of ethanol required per hour is m_B = 7.64*46 = 352.98 kg/h. The total volumetric feed flow rate is q_raw = (458.18+352.98)*1000/1.12 = 710.45 L/h. The initial concentration of acetic acid is c_{A0} = 458.18*1000/(60*710.45) = 10.66 mol/L. The initial concentration of ethanol is c_{B0} = 352.98*1000/(46*710.45) = 10.66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x)}=18.46 h. Theoretical volume is v=18.46*710.45=13142.56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</si>
  <si>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481.44 kg/h. The total volumetric feed flow rate is q_raw = (627.95+481.44)*1000/1.08 = 1023.42 L/h. The initial concentration of acetic acid is c_{A0} = 627.95*1000/(60*1023.42) = 10.19 mol/L. The initial concentration of ethanol is c_{B0} = 481.44*1000/(46*1023.42)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v=136.08*1023.42=139329.66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</si>
  <si>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439.87 kg/h. The total volumetric feed flow rate is q_raw = (572.05+439.87)*1000/0.89 = 1120.8 l/h. The initial concentration of acetic acid is c_{A0} = 572.05*1000/(60*1120.8) = 8.59 mol/L. The initial concentration of ethanol is c_{B0} = 439.87*1000/(46*1120.8) = 8.59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x)}=25.5 h. Theoretical volume is v=25.5*1120.8=28368.48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</si>
  <si>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110.79 L/h. The initial concentration of acetic acid is c_{A0} = 492.27*1000/(60*110.79) = 74.66 mol/L. The initial concentration of ethanol is c_{B0} = 377.41*1000/(46*110.79) = 74.66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}{k1*(1-x_{A})*(c_{B0}-c_{A0}*x_{A})-\frac{c_{A0}*x_{A}*x_{A}}{kc}}=116.78 h. Theoretical volume is v=116.78*110.79=12939.75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</si>
  <si>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3.91 kmol/h. According to the chemical reaction equation, the mass flow rate of acetic acid required per hour is m_A = 3.91*60 = 234.55 kg/h. The mass flow rate of ethanol required per hour is m_B = 3.91*46 = 179.82 kg/h. The total volumetric feed flow rate is q_raw = (234.55+179.82)*1000/0.93 = 448.71 L/h. The initial concentration of acetic acid is c_{A0} = 234.55*1000/(60*448.71) = 8.77 mol/L. The initial concentration of ethanol is c_{B0} = 179.82*1000/(46*448.71)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}{k1*(1-x_{A})*(c_{B0}-c_{A0}*x_{A})-\frac{c_{A0}*x_{A}*x_{A}}{kc}}=109.59 h. Theoretical volume is v=109.59*448.71=48548.26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</si>
  <si>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1.41 kmol/h. According to the chemical reaction equation, the mass flow rate of acetic acid required per hour is m_A = 1.41*60 = 84.55 kg/h. The mass flow rate of ethanol required per hour is m_B = 1.41*46 = 64.45 kg/h. The total volumetric feed flow rate is q_raw = (84.55+64.45)*1000/1.05 = 139.16 L/h. The initial concentration of acetic acid is c_{A0} = 84.55*1000/(60*139.16) = 10.07 mol/L. The initial concentration of ethanol is c_{B0} = 64.45*1000/(46*139.16) = 10.07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x)}=20.28 h. Theoretical volume is v=20.28*139.16=2836.23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</si>
  <si>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Q_{0}=(849+849)/1.19=1437.99 m^3/h. Initial concentration of ethyl acetate: c_{A0}=849*1000/(76*1437.99)=7.89 mol/L. Initial concentration of sodium hydroxide: c_{B0}=849*1000*1/(40*1437.99)=15.0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v=0.08*1437.99=111.42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</si>
  <si>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Q_{0}=(675+675)/1.83=744.49 m^3/h. Initial concentration of ethyl acetate: c_{A0}=675*1000/(76*744.49)=11.91 mol/L. Initial concentration of sodium hydroxide: c_{B0}=675*1000*1/(40*744.49)=22.75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v=0.04*744.49=28.44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</si>
  <si>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Q_{0}=(109+109)/1.63=128.78 m^3/h. Initial concentration of ethyl acetate: c_{A0}=109*1000/(76*128.78)=11.34 mol/L. Initial concentration of sodium hydroxide: c_{B0}=109*1000*1/(40*128.78)=20.75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v=0.03*128.78=4.04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</si>
  <si>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Q_{0}=(976+976)/1.9=980.94 m^3/h. Initial concentration of ethyl acetate: c_{A0}=976*1000/(76*980.94)=13.09 mol/L. Initial concentration of sodium hydroxide: c_{B0}=976*1000*1/(40*980.94)=25.38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v=0.03*980.94=29.37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</si>
  <si>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Q_{0}=(601+601)/1.7=717.94 m^3/h. Initial concentration of ethyl acetate: c_{A0}=601*1000/(76*717.94)=11.25 mol/L. Initial concentration of sodium hydroxide: c_{B0}=601*1000*1/(40*717.94)=21.38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v=0.02*717.94=11.15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</si>
  <si>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Q_{0}=(760+760)/1.01=1514.78 m^3/h. Initial concentration of ethyl acetate: c_{A0}=760*1000/(76*1514.78)=6.84 mol/L. Initial concentration of sodium hydroxide: c_{B0}=760*1000*1/(40*1514.78)=12.25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v=0.03*1514.78=40.46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</si>
  <si>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Q_{0}=(109+109)/1.64=128.59 m^3/h. Initial concentration of ethyl acetate: c_{A0}=109*1000/(76*128.59)=11.32 mol/L. Initial concentration of sodium hydroxide: c_{B0}=109*1000*1/(40*128.59)=21.0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v=0.05*128.59=6.58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</si>
  <si>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Q_{0}=(678+678)/1.29=1050.0 m^3/h. Initial concentration of ethyl acetate: c_{A0}=678*1000/(76*1050.0)=8.78 mol/L. Initial concentration of sodium hydroxide: c_{B0}=678*1000*1/(40*1050.0)=16.47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v=0.03*1050.0=32.17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</si>
  <si>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Q_{0}=(834+834)/1.75=962.71 m^3/h. Initial concentration of ethyl acetate: c_{A0}=834*1000/(76*962.71)=11.38 mol/L. Initial concentration of sodium hydroxide: c_{B0}=834*1000*1/(40*962.71)=21.62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v=0.02*962.71=21.52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</si>
  <si>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Q_{0}=(844+844)/1.49=1154.75 m^3/h. Initial concentration of ethyl acetate: c_{A0}=844*1000/(76*1154.75)=9.67 mol/L. Initial concentration of sodium hydroxide: c_{B0}=844*1000*1/(40*1154.75)=18.45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v=0.03*1154.75=30.39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</si>
  <si>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Q_{0}=(388+388)/1.82=406.64 m^3/h. Initial concentration of ethyl acetate: c_{A0}=388*1000/(76*406.64)=12.63 mol/L. Initial concentration of sodium hydroxide: c_{B0}=388*1000*1/(40*406.64)=23.62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v=0.01*406.64=4.06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</si>
  <si>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Q_{0}=(603+603)/1.87=646.82 m^3/h. Initial concentration of ethyl acetate: c_{A0}=603*1000/(76*646.82)=12.11 mol/L. Initial concentration of sodium hydroxide: c_{B0}=603*1000*1/(40*646.82)=23.13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v=0.1*646.82=64.15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</si>
  <si>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Q_{0}=(789+789)/1.47=1094.78 m^3/h. Initial concentration of ethyl acetate: c_{A0}=789*1000/(76*1094.78)=9.41 mol/L. Initial concentration of sodium hydroxide: c_{B0}=789*1000*1/(40*1094.78)=18.38 mol/L. The concentration of chloroethanol: c_{A}=c_{A0}*(1-x). The concentration of sodium bicarbonate: c_{B}=c_{B0}-c_{A0}*x. Reaction time obtained through integral calculation: t=\frac{c_{A0} \cdot x_{f}}{r_{A}}=\frac{c_{A0} \cdot x_{f}}{k \cdot c_{A} \cdot c_{B}}=\frac{x_{f}}{k \cdot (1-x_{A}) \cdot (c_{B0}-c_{A0} \cdot x_{A})}=0.15 h. Theoretical volume is v=0.15*1094.78=166.26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</si>
  <si>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Q_{0}=(690+690)/1.33=1007.66 m^3/h. Initial concentration of ethyl acetate: c_{A0}=690*1000/(76*1007.66)=9.01 mol/L. Initial concentration of sodium hydroxide: c_{B0}=690*1000*1/(40*1007.66)=17.25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v=0.03*1007.66=30.52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</si>
  <si>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Q_{0}=(976+976)/1.3=1504.61 m^3/h. Initial concentration of ethyl acetate: c_{A0}=976*1000/(76*1504.61)=8.49 mol/L. Initial concentration of sodium hydroxide: c_{B0}=976*1000*1/(40*1504.61)=15.25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v=0.03*1504.61=42.42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</si>
  <si>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Q_{0}=(378+378)/1.45=532.73 m^3/h. Initial concentration of ethyl acetate: c_{A0}=378*1000/(76*532.73)=9.43 mol/L. Initial concentration of sodium hydroxide: c_{B0}=378*1000*1/(40*532.73)=17.62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v=0.02*532.73=9.94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</si>
  <si>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Q_{0}=(844+844)/1.55=1095.48 m^3/h. Initial concentration of ethyl acetate: c_{A0}=844*1000/(76*1095.48)=10.07 mol/L. Initial concentration of sodium hydroxide: c_{B0}=844*1000*1/(40*1095.48)=19.38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v=0.02*1095.48=19.38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</si>
  <si>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Q_{0}=(780+780)/1.16=1355.65 m^3/h. Initial concentration of ethyl acetate: c_{A0}=780*1000/(76*1355.65)=7.57 mol/L. Initial concentration of sodium hydroxide: c_{B0}=780*1000*1/(40*1355.65)=14.37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v=0.02*1355.65=26.58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</si>
  <si>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Q_{0}=(596+596)/1.61=734.76 m^3/h. Initial concentration of ethyl acetate: c_{A0}=596*1000/(76*734.76)=10.86 mol/L. Initial concentration of sodium hydroxide: c_{B0}=596*1000*1/(40*734.76)=20.62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v=0.05*734.76=37.52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</si>
  <si>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Q_{0}=(528+528)/1.23=861.79 m^3/h. Initial concentration of ethyl acetate: c_{A0}=528*1000/(76*861.79)=7.96 mol/L. Initial concentration of sodium hydroxide: c_{B0}=528*1000*1/(40*861.79)=15.12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v=0.03*861.79=23.46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</si>
  <si>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Q_{0}=(550+550)/1.9=563.64 m^3/h. Initial concentration of ethyl acetate: c_{A0}=550*1000/(76*563.64)=12.83 mol/L. Initial concentration of sodium hydroxide: c_{B0}=550*1000*1/(40*563.64)=24.38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v=0.02*563.64=9.26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</si>
  <si>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Q_{0}=(188+188)/1.37=276.86 m^3/h. Initial concentration of ethyl acetate: c_{A0}=188*1000/(76*276.86)=8.95 mol/L. Initial concentration of sodium hydroxide: c_{B0}=188*1000*1/(40*276.86)=17.0 mol/L. The concentration of chloroethanol: c_{A}=c_{A0}*(1-x). The concentration of sodium bicarbonate: c_{B}=c_{B0}-c_{A0}*x. Reaction time obtained through integral calculation: t=\frac{c_{A0} \cdot x_{f}}{r_{A}}=\frac{c_{A0} \cdot x_{f}}{k \cdot c_{A} \cdot c_{B}}=\frac{x_{f}}{k \cdot (1-x_{A}) \cdot (c_{B0}-c_{A0} \cdot x_{A})}=0.41 h. Theoretical volume is v=0.41*276.86=113.。Actual volume obtained after comprehensively considering the specific gravity is v=113.61 l.After comprehensively considering the specific gravity, the recommended material for using in the reaction is carbon steel.</t>
  </si>
  <si>
    <t>The relative molecular weight of CH_{3}COOC_{2}H_{5} is 76 kg/kmol, NaOH is 40 kg/kmol. Raw material volumetric flow rate: Q_{0}=(126+126)/1.47=166.98 m^3/h. Initial concentration of ethyl acetate: c_{A0}=126*1000/(76*166.98)=10.0 mol/L. Initial concentration of sodium hydroxide: c_{B0}=126*1000*1/(40*166.98)=19.88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v=0.02*166.98=3.86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</si>
  <si>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Q_{0}=(125+125)/1.16=215.25 m^3/h. Initial concentration of ethyl acetate: c_{A0}=125*1000/(76*215.25)=7.83 mol/L. Initial concentration of sodium hydroxide: c_{B0}=125*1000*1/(40*215.25)=14.0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v=0.08*215.25=15.36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</si>
  <si>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Q_{0}=(1283+1283)/1.51=1698.31 m^3/h. Initial concentration of ethyl acetate: c_{A0}=1283*1000/(76*1698.31)=9.74 mol/L. Initial concentration of sodium hydroxide: c_{B0}=1283*1000*1/(40*1698.31)=19.75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v=0.13*1698.31=225.33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</si>
  <si>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Q_{0}=(841+841)/1.14=1487.48 m^3/h. Initial concentration of ethyl acetate: c_{A0}=841*1000/(76*1487.48)=7.57 mol/L. Initial concentration of sodium hydroxide: c_{B0}=841*1000*1/(40*1487.48)=14.38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v=0.04*1487.48=59.92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</si>
  <si>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Q_{0}=(601+601)/1.77=683.09 m^3/h. Initial concentration of ethyl acetate: c_{A0}=601*1000/(76*683.09)=11.91 mol/L. Initial concentration of sodium hydroxide: c_{B0}=601*1000*1/(40*683.09)=22.67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v=0.1*683.09=69.01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</si>
  <si>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Q_{0}=(846+846)/1.55=1101.26 m^3/h. Initial concentration of ethyl acetate: c_{A0}=846*1000/(76*1101.26)=10.31 mol/L. Initial concentration of sodium hydroxide: c_{B0}=846*1000*1/(40*1101.26)=19.62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v=0.11*1101.26=121.25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</si>
  <si>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Q_{0}=(725+725)/1.27=1165.58 m^3/h. Initial concentration of ethyl acetate: c_{A0}=725*1000/(76*1165.58)=8.16 mol/L. Initial concentration of sodium hydroxide: c_{B0}=725*1000*1/(40*1165.58)=15.5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v=0.02*1165.58=22.58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</si>
  <si>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Q_{0}=(976+976)/1.63=1221.73 m^3/h. Initial concentration of ethyl acetate: c_{A0}=976*1000/(76*1221.73)=10.72 mol/L. Initial concentration of sodium hydroxide: c_{B0}=976*1000*1/(40*1221.73)=20.37 mol/L. The concentration of chloroethanol: c_{A}=c_{A0}*(1-x). The concentration of sodium bicarbonate: c_{B}=c_{B0}-c_{A0}*x. Reaction time obtained through integral calculation: t=\frac{c_{A0} \cdot x_{f}}{r_{A}}=\frac{c_{A0} \cdot x_{f}}{k \cdot c_{A} \cdot c_{B}}=\frac{x_{f}}{k \cdot (1-x_{A}) \cdot (c_{B0}-c_{A0} \cdot x_{A})}=0.07 h. Theoretical volume is v=0.07*1221.73=84.8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</si>
  <si>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130/62=2.1kmol/h. Hourly required chloroethanol: 2.1*80.5/(0.76*0.12)=1787.4kg/h. Hourly required sodium bicarbonate: 2.1*84*3.6/(0.76*0.34)=2492.4kg/h. Raw material volumetric flow rate: Q_{0}=(1787.4+2492.4)/1.04=4210.63L/h. Initial concentration of chloroethanol: c_{A0}=2.1*1000/(0.76*4210.63)=0.63mol/L. Initial concentration of sodium bicarbonate: c_{B0}=2.1*1000*3.6/(0.76*4210.63)=2.18mol/L. The concentration of chloroethanol: c_{A}=c_{A0}*(1-x). The concentration of sodium bicarbonate: c_{B}=c_{B0}-c_{A0}*x. Reaction time obtained through integral calculation: t=\int_{0}^{x_{f} } \frac{c_{A0}dx_{A} }{r_{A}}=\int_{0}^{x_{f} } \frac{c_{A0}dx_{A} }{k*c_{A}*c_{B}}=\int_{0}^{x_{f} } \frac{dx_{A} }{k*(1-x_{A})*(c_{B0}-c_{A0}*x_{A})}=0.11 h. Theoretical volume is v=0.11*4210.63=469.48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</si>
  <si>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7.31*80.5/(0.81*0.18)=4148.51kg/h. Hourly required sodium bicarbonate: 7.31*84*3.8/(0.81*0.23)=11712.25kg/h. Raw material volumetric flow rate: Q_{0}=(4148.51+11712.25)/1.57=10037.65L/h. Initial concentration of chloroethanol: c_{A0}=7.31*1000/(0.81*10037.65)=0.92mol/L. Initial concentration of sodium bicarbonate: c_{B0}=7.31*1000*3.8/(0.81*10037.65)=3.35mol/L. The concentration of chloroethanol: c_{A}=c_{A0}*(1-x). The concentration of sodium bicarbonate: c_{B}=c_{B0}-c_{A0}*x. Reaction time obtained through integral calculation: t=\int_{0}^{x_{f} } \frac{c_{A0}dx_{A} }{r_{A}}=\int_{0}^{x_{f} } \frac{c_{A0}dx_{A} }{k*c_{A}*c_{B}}=\int_{0}^{x_{f} } \frac{dx_{A} }{k*(1-x_{A})*(c_{B0}-c_{A0}*x_{A})}=0.1 h. Theoretical volume is v=0.1*10037.65=1060.11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</si>
  <si>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602/62=9.74kmol/h. Hourly required chloroethanol: 9.74*80.5/(0.87*0.31)=2821.36kg/h. Hourly required sodium bicarbonate: 9.74*84*1.0/(0.87*0.37)=2591.08kg/h. Raw material volumetric flow rate: Q_{0}=(2821.36+2591.08)/1.59=3633.79L/h. Initial concentration of chloroethanol: c_{A0}=9.74*1000/(0.87*3633.79)=3.14mol/L. Initial concentration of sodium bicarbonate: c_{B0}=9.74*1000*1.0/(0.87*3633.79)=3.14mol/L. The concentration of chloroethanol: c_{A}=c_{A0}*(1-x). The concentration of sodium bicarbonate: c_{B}=c_{B0}-c_{A0}*x. Reaction time obtained through integral calculation: t=\int_{0}^{x_{f} } \frac{c_{A0}dx_{A} }{r_{A}}=\int_{0}^{x_{f} } \frac{c_{A0}dx_{A} }{k*c_{A}*c_{B}}=\int_{0}^{x_{f} } \frac{dx_{A} }{k*(1-x_{A})*(c_{B0}-c_{A0}*x_{A})}=0.25 h. Theoretical volume is v=0.25*3633.79=8809.41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</si>
  <si>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13.16*80.5/(0.95*0.4)=2661.24kg/h. Hourly required sodium bicarbonate: 13.16*84*2.9/(0.95*0.45)=7468.11kg/h. Raw material volumetric flow rate: Q_{0}=(2661.24+7468.11)/1.31=7382.54L/h. Initial concentration of chloroethanol: c_{A0}=13.16*1000/(0.95*7382.54)=1.85mol/L. Initial concentration of sodium bicarbonate: c_{B0}=13.16*1000*2.9/(0.95*7382.54)=6.35mol/L.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v=0.14*7382.54=1005.56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</si>
  <si>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464/62=7.5kmol/h. Hourly required chloroethanol: 7.5*80.5/(0.72*0.05)=19752.79kg/h. Hourly required sodium bicarbonate: 7.5*84*3.3/(0.72*0.23)=13869.6kg/h. Raw material volumetric flow rate: Q_{0}=(19752.79+13869.6)/1.41=25891.65L/h. Initial concentration of chloroethanol: c_{A0}=7.5*1000/(0.72*25891.65)=0.4mol/L. Initial concentration of sodium bicarbonate: c_{B0}=7.5*1000*3.3/(0.72*25891.65)=2.32mol/L.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v=0.14*25891.65=3692.68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</si>
  <si>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867/62=14.05kmol/h. Hourly required chloroethanol: 14.05*80.5/(0.85*0.37)=3573.53kg/h. Hourly required sodium bicarbonate: 14.05*84*4.0/(0.85*0.42)=12516.19kg/h. Raw material volumetric flow rate: Q_{0}=(3573.53+12516.19)/1.48=11188.93L/h. Initial concentration of chloroethanol: c_{A0}=14.05*1000/(0.85*11188.93)=1.47mol/L. Initial concentration of sodium bicarbonate: c_{B0}=14.05*1000*4.0/(0.85*11188.93)=5.71mol/L.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v=0.08*11188.93=861.37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</si>
  <si>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7.21*80.5/(0.86*0.1)=6440.46kg/h. Hourly required sodium bicarbonate: 7.21*84*1.1/(0.86*0.12)=6402.82kg/h. Raw material volumetric flow rate: Q_{0}=(6440.46+6402.82)/1.93=6482.55L/h. Initial concentration of chloroethanol: c_{A0}=7.21*1000/(0.86*6482.55)=1.26mol/L. Initial concentration of sodium bicarbonate: c_{B0}=7.21*1000*1.1/(0.86*6482.55)=1.52mol/L. The concentration of chloroethanol: c_{A}=c_{A0}*(1-x). The concentration of sodium bicarbonate: c_{B}=c_{B0}-c_{A0}*x. Reaction time obtained through integral calculation: t=\int_{0}^{x_{f} } \frac{c_{A0}dx_{A} }{r_{A}}=\int_{0}^{x_{f} } \frac{c_{A0}dx_{A} }{k*c_{A}*c_{B}}=\int_{0}^{x_{f} } \frac{dx_{A} }{k*(1-x_{A})*(c_{B0}-c_{A0}*x_{A})}=0.51 h. Theoretical volume is v=0.51*6482.55=3264.62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</si>
  <si>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2.94*80.5/(0.7*0.23)=1780.07kg/h. Hourly required sodium bicarbonate: 2.94*84*1.4/(0.7*0.43)=1148.18kg/h. Raw material volumetric flow rate: Q_{0}=(1780.07+1148.18)/1.47=2037.54L/h. Initial concentration of chloroethanol: c_{A0}=2.94*1000/(0.7*2037.54)=2.04mol/L. Initial concentration of sodium bicarbonate: c_{B0}=2.94*1000*1.4/(0.7*2037.54)=3.13mol/L.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v=0.14*2037.54=293.07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</si>
  <si>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1.85*80.5/(0.84*0.49)=336.94kg/h. Hourly required sodium bicarbonate: 1.85*84*2.4/(0.84*0.5)=876.6kg/h. Raw material volumetric flow rate: Q_{0}=(336.94+876.6)/1.15=1116.6L/h. Initial concentration of chloroethanol: c_{A0}=1.85*1000/(0.84*1116.6)=1.97mol/L. Initial concentration of sodium bicarbonate: c_{B0}=1.85*1000*2.4/(0.84*1116.6)=4.6气mol/L.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v=0.09*1116.6=100.6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</si>
  <si>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782/62=12.67kmol/h. Hourly required chloroethanol: 12.67*80.5/(0.76*0.1)=13879.37kg/h. Hourly required sodium bicarbonate: 12.67*84*1.9/(0.76*0.47)=4692.09kg/h. Raw material volumetric flow rate: Q_{0}=(13879.37+4692.09)/1.91=9962.3L/h. Initial concentration of chloroethanol: c_{A0}=12.67*1000/(0.76*9962.3)=1.63mol/L. Initial concentration of sodium bicarbonate: c_{B0}=12.67*1000*1.9/(0.76*9962.3)=3.28mol/L. The concentration of chloroethanol: c_{A}=c_{A0}*(1-x). The concentration of sodium bicarbonate: c_{B}=c_{B0}-c_{A0}*x. Reaction time obtained through integral calculation: t=\int_{0}^{x_{f} } \frac{c_{A0}dx_{A} }{r_{A}}=\int_{0}^{x_{f} } \frac{c_{A0}dx_{A} }{k*c_{A}*c_{B}}=\int_{0}^{x_{f} } \frac{dx_{A} }{k*(1-x_{A})*(c_{B0}-c_{A0}*x_{A})}=0.16 h. Theoretical volume is v=0.16*9962.3=1604.58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</si>
  <si>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7.74*80.5/(0.9*0.09)=7523.46kg/h. Hourly required sodium bicarbonate: 7.74*84*3.8/(0.9*0.26)=10292.79kg/h. Raw material volumetric flow rate: Q_{0}=(7523.46+10292.79)/1.55=11855.92L/h. Initial concentration of chloroethanol: c_{A0}=7.74*1000/(0.9*11855.92)=0.71mol/L. Initial concentration of sodium bicarbonate: c_{B0}=7.74*1000*3.8/(0.9*11855.92)=2.56mol/L.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v=0.17*11855.92=2072.15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</si>
  <si>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9.74*80.5/(0.98*0.26)=3159.48kg/h. Hourly required sodium bicarbonate: 9.74*84*1.8/(0.98*0.36)=4327.45kg/h. Raw material volumetric flow rate: Q_{0}=(3159.48+4327.45)/1.21=5987.16L/h. Initial concentration of chloroethanol: c_{A0}=9.74*1000/(0.98*5987.16)=1.68mol/L. Initial concentration of sodium bicarbonate: c_{B0}=9.74*1000*1.8/(0.98*5987.16)=3.15mol/L. The concentration of chloroethanol: c_{A}=c_{A0}*(1-x). The concentration of sodium bicarbonate: c_{B}=c_{B0}-c_{A0}*x. Reaction time obtained through integral calculation: t=\int_{0}^{x_{f} } \frac{c_{A0}dx_{A} }{r_{A}}=\int_{0}^{x_{f} } \frac{c_{A0}dx_{A} }{k*c_{A}*c_{B}}=\int_{0}^{x_{f} } \frac{dx_{A} }{k*(1-x_{A})*(c_{B0}-c_{A0}*x_{A})}=0.37 h. Theoretical volume is v=0.37*5987.16=2227.87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</si>
  <si>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7.11*80.5/(0.79*0.17)=3441.59kg/h. Hourly required sodium bicarbonate: 7.11*84*1.7/(0.79*0.22)=4595.06kg/h. Raw material volumetric flow rate: Q_{0}=(3441.59+4595.06)/1.32=5756.51L/h. Initial concentration of chloroethanol: c_{A0}=7.11*1000/(0.79*5756.51)=1.58mol/L. Initial concentration of sodium bicarbonate: c_{B0}=7.11*1000*1.7/(0.79*5756.51)=3.35mol/L. The concentration of chloroethanol: c_{A}=c_{A0}*(1-x). The concentration of sodium bicarbonate: c_{B}=c_{B0}-c_{A0}*x. Reaction time obtained through integral calculation: t=\frac{c_{A0}*x_{f}}{r_{A}}=\frac{c_{A0}*x_{f}}{k*c_{A}*c_{B}}=\frac{x_{f}}{k*(1-x_{A})*(c_{B0}-c_{A0}*x_{A})}=0.37 h. Theoretical volume is v=0.37*5756.51=2130.47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</si>
  <si>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10.74*80.5/(0.9*0.15)=6873.32kg/h. Hourly required sodium bicarbonate: 10.74*84*1.4/(0.9*0.24)=6009.68kg/h. Raw material volumetric flow rate: Q_{0}=(6873.32+6009.68)/1.46=8754.46L/h. Initial concentration of chloroethanol: c_{A0}=10.74*1000/(0.9*8754.46)=1.35mol/L. Initial concentration of sodium bicarbonate: c_{B0}=10.74*1000*1.4/(0.9*8754.46)=2.05mol/L. The concentration of chloroethanol: c_{A}=c_{A0}*(1-x). The concentration of sodium bicarbonate: c_{B}=c_{B0}-c_{A0}*x. Reaction time obtained through integral calculation: t=\int_{0}^{x_{f} } \frac{c_{A0}dx_{A} }{r_{A}}=\int_{0}^{x_{f} } \frac{c_{A0}dx_{A} }{k*c_{A}*c_{B}}=\int_{0}^{x_{f} } \frac{dx_{A} }{k*(1-x_{A})*(c_{B0}-c_{A0}*x_{A})}=0.46 h. Theoretical volume is v=0.46*8754.46=4000.65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</si>
  <si>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751/62=12.18kmol/h. Hourly required chloroethanol: 12.18*80.5/(0.96*0.21)=4658.32kg/h. Hourly required sodium bicarbonate: 12.18*84*2.9/(0.96*0.24)=14483.58kg/h. Raw material volumetric flow rate: Q_{0}=(4658.32+14483.58)/1.59=12215.4L/h. Initial concentration of chloroethanol: c_{A0}=12.18*1000/(0.96*12215.4)=1.05mol/L. Initial concentration of sodium bicarbonate: c_{B0}=12.18*1000*2.9/(0.96*12215.4)=2.89mol/L. The concentration of chloroethanol: c_{A}=c_{A0}*(1-x). The concentration of sodium bicarbonate: c_{B}=c_{B0}-c_{A0}*x. Reaction time obtained through integral calculation: t=\int_{0}^{x_{f} } \frac{c_{A0}dx_{A} }{r_{A}}=\int_{0}^{x_{f} } \frac{c_{A0}dx_{A} }{k*c_{A}*c_{B}}=\int_{0}^{x_{f} } \frac{dx_{A} }{k*(1-x_{A})*(c_{B0}-c_{A0}*x_{A})}=0.31 h. Theoretical volume is v=0.31*12215.4=3804.91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</si>
  <si>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587/62=9.45kmol/h. Hourly required chloroethanol: 9.45*80.5/(0.71*0.13)=7535.02kg/h. Hourly required sodium bicarbonate: 9.45*84*5.0/(0.71*0.27)=18249.71kg/h. Raw material volumetric flow rate: Q_{0}=(7535.02+18249.71)/1.78=14380.65L/h. Initial concentration of chloroethanol: c_{A0}=9.45*1000/(0.71*14380.65)=0.9mol/L. Initial concentration of sodium bicarbonate: c_{B0}=9.45*1000*5.0/(0.71*14380.65)=4.86mol/L.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v=0.06*14380.65=840.96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</si>
  <si>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839/62=13.53kmol/h. Hourly required chloroethanol: 13.53*80.5/(0.98*0.08)=14311.8kg/h. Hourly required sodium bicarbonate: 13.53*84*3.1/(0.98*0.26)=14519.03kg/h. Raw material volumetric flow rate: Q_{0}=(14311.8+14519.03)/1.88=15423.37L/h. Initial concentration of chloroethanol: c_{A0}=13.53*1000/(0.98*15423.37)=0.87mol/L. Initial concentration of sodium bicarbonate: c_{B0}=13.53*1000*3.1/(0.98*15423.37)=2.95mol/L. The concentration of chloroethanol: c_{A}=c_{A0}*(1-x). The concentration of sodium bicarbonate: c_{B}=c_{B0}-c_{A0}*x. Reaction time obtained through integral calculation: t=\frac{c_{A0}*x_{f}}{r_{A}}=\frac{c_{A0}*x_{f}}{k*c_{A}*c_{B}}=\frac{x_{f}}{k*(1-x_{A})*(c_{B0}-c_{A0}*x_{A})}=5.93 h. Theoretical volume is v=5.93*15423.37=91796.96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</si>
  <si>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853/62=13.77kmol/h. Hourly required chloroethanol: 13.77*80.5/(0.96*0.21)=5435.79kg/h. Hourly required sodium bicarbonate: 13.77*84*4.8/(0.96*0.29)=19261.45kg/h. Raw material volumetric flow rate: Q_{0}=(5435.79+19261.45)/1.35=19032.96L/h. Initial concentration of chloroethanol: c_{A0}=13.77*1000/(0.96*19032.96)=0.77mol/L. Initial concentration of sodium bicarbonate: c_{B0}=13.77*1000*4.8/(0.96*19032.96)=3.6mol/L.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v=0.17*19032.96=3275.81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</si>
  <si>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5.69*80.5/(0.95*0.13)=3602.63kg/h. Hourly required sodium bicarbonate: 5.69*84*3.9/(0.95*0.22)=8571.43kg/h. Raw material volumetric flow rate: Q_{0}=(3602.63+8571.43)/1.79=7086.71L/h. Initial concentration of chloroethanol: c_{A0}=5.69*1000/(0.95*7086.71)=0.82mol/L. Initial concentration of sodium bicarbonate: c_{B0}=5.69*1000*3.9/(0.95*7086.71)=3.02mol/L. The concentration of chloroethanol: c_{A}=c_{A0}*(1-x). The concentration of sodium bicarbonate: c_{B}=c_{B0}-c_{A0}*x. Reaction time obtained through integral calculation: t=\int_{0}^{x_{f} } \frac{c_{A0}dx_{A} }{r_{A}}=\int_{0}^{x_{f} } \frac{c_{A0}dx_{A} }{k*c_{A}*c_{B}}=\int_{0}^{x_{f} } \frac{dx_{A} }{k*(1-x_{A})*(c_{B0}-c_{A0}*x_{A})}=0.25 h. Theoretical volume is v=0.25*7086.71=1770.98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</si>
  <si>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10.5*80.5/(0.94*0.21)=4157.85kg/h. Hourly required sodium bicarbonate: 10.5*84*3.1/(0.94*0.38)=8575.06kg/h. Raw material volumetric flow rate: Q_{0}=(4157.85+8575.06)/1.97=6303.38L/h. Initial concentration of chloroethanol: c_{A0}=10.5*1000/(0.94*6303.38)=1.83mol/L. Initial concentration of sodium bicarbonate: c_{B0}=10.5*1000*3.1/(0.94*6303.38)=5.55mol/L.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v=0.14*6303.38=862.61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</si>
  <si>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3.9*80.5/(0.9*0.25)=1424.75kg/h. Hourly required sodium bicarbonate: 3.9*84*1.5/(0.9*0.33)=1753.68kg/h. Raw material volumetric flow rate: Q_{0}=(1424.75+1753.68)/1.63=1900.85L/h. Initial concentration of chloroethanol: c_{A0}=3.9*1000/(0.9*1900.85)=2.35mol/L. Initial concentration of sodium bicarbonate: c_{B0}=3.9*1000*1.5/(0.9*1900.85)=3.3mol/L.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v=0.22*1900.85=418.37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</si>
  <si>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7.92*80.5/(0.89*0.16)=4408.11kg/h. Hourly required sodium bicarbonate: 7.92*84*1.4/(0.89*0.41)=2702.79kg/h. Raw material volumetric flow rate: Q_{0}=(4408.11+2702.79)/1.87=3915.69L/h. Initial concentration of chloroethanol: c_{A0}=7.92*1000/(0.89*3915.69)=2.29mol/L. Initial concentration of sodium bicarbonate: c_{B0}=7.92*1000*1.4/(0.89*3915.69)=2.92mol/L. The concentration of chloroethanol: c_{A}=c_{A0}*(1-x). The concentration of sodium bicarbonate: c_{B}=c_{B0}-c_{A0}*x. Reaction time obtained through integral calculation: t=\int_{0}^{x_{f} } \frac{c_{A0}dx_{A} }{r_{A}}=\int_{0}^{x_{f} } \frac{c_{A0}dx_{A} }{k*c_{A}*c_{B}}=\int_{0}^{x_{f} } \frac{dx_{A} }{k*(1-x_{A})*(c_{B0}-c_{A0}*x_{A})}=0.23 h. Theoretical volume is v=0.23*3915.69=900.13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</si>
  <si>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12.77*80.5/(0.92*0.31)=3741.73kg/h. Hourly required sodium bicarbonate: 12.77*84*2.3/(0.92*0.45)=6097.34kg/h. Raw material volumetric flow rate: Q_{0}=(3741.73+6097.34)/1.8=5390.04L/h. Initial concentration of chloroethanol: c_{A0}=12.77*1000/(0.92*5390.04)=2.53mol/L. Initial concentration of sodium bicarbonate: c_{B0}=12.77*1000*2.3/(0.92*5390.04)=6.08mol/L.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v=0.14*5390.04=767.43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</si>
  <si>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411/62=6.66kmol/h. Hourly required chloroethanol: 6.66*80.5/(0.74*0.15)=4341.59kg/h. Hourly required sodium bicarbonate: 6.66*84*2.6/(0.74*0.45)=3552.35kg/h. Raw material volumetric flow rate: Q_{0}=(4341.59+3552.35)/1.32=5882.29L/h. Initial concentration of chloroethanol: c_{A0}=6.66*1000/(0.74*5882.29)=1.51mol/L. Initial concentration of sodium bicarbonate: c_{B0}=6.66*1000*2.6/(0.74*5882.29)=4.15mol/L. The concentration of chloroethanol: c_{A}=c_{A0}*(1-x). The concentration of sodium bicarbonate: c_{B}=c_{B0}-c_{A0}*x. Reaction time obtained through integral calculation: t=\int_{0}^{x_{f} } \frac{c_{A0}dx_{A} }{r_{A}}=\int_{0}^{x_{f} } \frac{c_{A0}dx_{A} }{k*c_{A}*c_{B}}=\int_{0}^{x_{f} } \frac{dx_{A} }{k*(1-x_{A})*(c_{B0}-c_{A0}*x_{A})}=0.07 h. Theoretical volume is v=0.07*5882.29=413.64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</si>
  <si>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12.53*80.5/(0.92*0.23)=4653.86kg/h. Hourly required sodium bicarbonate: 12.53*84*4.9/(0.92*0.33)=16662.6kg/h. Raw material volumetric flow rate: Q_{0}=(4653.86+16662.6)/1.33=15460.04L/h. Initial concentration of chloroethanol: c_{A0}=12.53*1000/(0.92*15460.04)=0.91mol/L. Initial concentration of sodium bicarbonate: c_{B0}=12.53*1000*4.9/(0.92*15460.04)=4.21mol/L.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v=0.17*15460.04=2675.48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</si>
  <si>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6.19*80.5/(0.84*0.44)=1381.22kg/h. Hourly required sodium bicarbonate: 6.19*84*4.6/(0.84*0.47)=6203.76kg/h. Raw material volumetric flow rate: Q_{0}=(1381.22+6203.76)/1.37=5593.47L/h. Initial concentration of chloroethanol: c_{A0}=6.19*1000/(0.84*5593.47)=1.33mol/L. Initial concentration of sodium bicarbonate: c_{B0}=6.19*1000*4.6/(0.84*5593.47)=6.25mol/L. The concentration of chloroethanol: c_{A}=c_{A0}*(1-x). The concentration of sodium bicarbonate: c_{B}=c_{B0}-c_{A0}*x. Reaction time obtained through integral calculation: t=\frac{c_{A0}*x_{f}}{r_{A}}=\frac{c_{A0}*x_{f}}{k*c_{A}*c_{B}}=\frac{x_{f}}{k*(1-x_{A})*(c_{B0}-c_{A0}*x_{A})}=0.22 h. Theoretical volume is v=0.22*5593.47=1226.34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</si>
  <si>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332/62=5.36kmol/h. Hourly required chloroethanol: 5.36*80.5/(0.73*0.09)=6341.55kg/h. Hourly required sodium bicarbonate: 5.36*84*2.7/(0.73*0.24)=6025.82kg/h. Raw material volumetric flow rate: Q_{0}=(6341.55+6025.82)/1.96=6181.05L/h. Initial concentration of chloroethanol: c_{A0}=5.36*1000/(0.73*6181.05)=1.19mol/L. Initial concentration of sodium bicarbonate: c_{B0}=5.36*1000*2.7/(0.73*6181.05)=2.95mol/L. The concentration of chloroethanol: c_{A}=c_{A0}*(1-x). The concentration of sodium bicarbonate: c_{B}=c_{B0}-c_{A0}*x. Reaction time obtained through integral calculation: t=\frac{c_{A0}*x_{f}}{r_{A}}=\frac{c_{A0}*x_{f}}{k*c_{A}*c_{B}}=\frac{x_{f}}{k*(1-x_{A})*(c_{B0}-c_{A0}*x_{A})}=0.26 h. Theoretical volume is v=0.26*6181.05=1606.57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</si>
  <si>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848/62=13.66kmol/h. Hourly required chloroethanol: 13.66*80.5/(0.87*0.22)=5735.45kg/h. Hourly required sodium bicarbonate: 13.66*84*4.4/(0.87*0.4)=14106.76kg/h. Raw material volumetric flow rate: Q_{0}=(5735.45+14106.76)/1.45=13845.45L/h. Initial concentration of chloroethanol: c_{A0}=13.66*1000/(0.87*13845.45)=1.1mol/L. Initial concentration of sodium bicarbonate: c_{B0}=13.66*1000*4.4/(0.87*13845.45)=4.68mol/L.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v=0.09*13845.45=1274.38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</si>
  <si>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9.61*80.5/(0.84*0.09)=10089.45kg/h. Hourly required sodium bicarbonate: 9.61*84*3.0/(0.84*0.16)=17135.74kg/h. Raw material volumetric flow rate: Q_{0}=(10089.45+17135.74)/1.35=19566.76L/h. Initial concentration of chloroethanol: c_{A0}=9.61*1000/(0.84*19566.76)=0.57mol/L. Initial concentration of sodium bicarbonate: c_{B0}=9.61*1000*3.0/(0.84*19566.76)=1.75mol/L.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v=0.25*19566.76=4923.38 l.After comprehensively considering various factors in the reaction process, the operating temperatures remain moderate with no presence of highly corrosive substances. Given the cost considerations, we recommend using carbon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</si>
  <si>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1042.55 L/h. The initial concentration of acetic acid is c_{A0} = 634.09*1000/(60*1042.55) = 10.0 mol/L. The initial concentration of ethanol is c_{B0} = 486.14*1000/(46*1042.55)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x)}=34.53 h. Theoretical volume is v=34.53*1042.55=35808.22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</si>
  <si>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629.02 L/h. The initial concentration of acetic acid is c_{A0} = 295.23*1000/(60*629.02) = 7.83 mol/L. The initial concentration of ethanol is c_{B0} = 226.34*1000/(46*629.02)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}{k1*(1-x_{A})*(c_{B0}-c_{A0}*x_{A})-\frac{c_{A0}*x_{A}*x_{A}}{kc}}=98.57 h. Theoretical volume is v=98.57*629.02=62068.82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</si>
  <si>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462.94 kg/h. The total volumetric feed flow rate is q_raw = (604.09+462.94)*1000/0.95 = 1119.08 L/h. The initial concentration of acetic acid is c_{A0} = 604.09*1000/(60*1119.08) = 9.06 mol/L. The initial concentration of ethanol is c_{B0} = 462.94*1000/(46*1119.08)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}{k1*(1-x_{A})*(c_{B0}-c_{A0}*x_{A})-\frac{c_{A0}*x_{A}*x_{A}}{kc}}=115.9 h. Theoretical volume is v=115.9*1119.08=129552.75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</si>
  <si>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8.53 kmol/h. According to the chemical reaction equation, the mass flow rate of acetic acid required per hour is m_A = 8.53*60 = 511.59 kg/h. The mass flow rate of ethanol required per hour is m_B = 8.53*46 = 392.52 kg/h. The total volumetric feed flow rate is q_raw = (511.59+392.52)*1000/1.01 = 898.11 L/h. The initial concentration of acetic acid is c_{A0} = 511.59*1000/(60*898.11) = 9.72 mol/L. The initial concentration of ethanol is c_{B0} = 392.52*1000/(46*898.11) = 9.72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}{k1*(1-x_{A})*(c_{B0}-c_{A0}*x_{A})-\frac{c_{A0}*x_{A}*x_{A}}{kc}}=128.24 h. Theoretical volume is v=128.24*898.11=114837.29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</si>
  <si>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2.10 kmol/h. According to the chemical reaction equation, the mass flow rate of acetic acid required per hour is m_A = 2.10*60 = 126.42 kg/h. The mass flow rate of ethanol required per hour is m_B = 2.10*46 = 96.71 kg/h. The total volumetric feed flow rate is q_raw = (126.42+96.71)*1000/1.0 = 223.13 L/h. The initial concentration of acetic acid is c_{A0} = 126.42*1000/(60*223.13) = 9.15 mol/L. The initial concentration of ethanol is c_{B0} = 96.71*1000/(46*223.13) = 9.15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}{k1*(1-x_{A})*(c_{B0}-c_{A0}*x_{A})-\frac{c_{A0}*x_{A}*x_{A}}{kc}}=129.31 h. Theoretical volume is v=129.31*223.13=28646.15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</si>
  <si>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3.61 kmol/h. According to the chemical reaction equation, the mass flow rate of acetic acid required per hour is m_A = 3.61*60 = 216.82 kg/h. The mass flow rate of ethanol required per hour is m_B = 3.61*46 = 166.23 kg/h. The total volumetric feed flow rate is q_raw = (216.82+166.23)*1000/0.86 = 449.7 L/h. The initial concentration of acetic acid is c_{A0} = 216.82*1000/(60*449.7) = 8.11 mol/L. The initial concentration of ethanol is c_{B0} = 166.23*1000/(46*449.7)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}{k1*(1-x_{A})*(c_{B0}-c_{A0}*x_{A})-\frac{c_{A0}*x_{A}*x_{A}}{kc}}=105.43 h. Theoretical volume is v=105.43*449.7=47898.05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</si>
  <si>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 L/h. The initial concentration of acetic acid is c_{A0} = 234.55*1000/(60*394.6) = 9.81 mol/L. The initial concentration of ethanol is c_{B0} = 179.82*1000/(46*394.6)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x)}=28.47 h. Theoretical volume is v=28.47*394.6=11235.79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</si>
  <si>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336.84 L/h. The initial concentration of acetic acid is c_{A0} = 180.0*1000/(60*336.84) = 9.0 mol/L. The initial concentration of ethanol is c_{B0} = 138.0*1000/(46*336.84) = 9.0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}{k1*(1-x_{A})*(c_{B0}-c_{A0}*x_{A})-\frac{c_{A0}*x_{A}*x_{A}}{kc}}=120.86 h. Theoretical volume is v=120.86*336.84=40746.24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</si>
  <si>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2.35 kmol/h. According to the chemical reaction equation, the mass flow rate of acetic acid required per hour is m_A = 2.35*60 = 140.91 kg/h. The mass flow rate of ethanol required per hour is m_B = 2.35*46 = 108.2 kg/h. The total volumetric feed flow rate is q_raw = (140.91+108.2)*1000/0.93 = 273.08 L/h. The initial concentration of acetic acid is c_{A0} = 140.91*1000/(60*273.08) = 8.4 mol/L. The initial concentration of ethanol is c_{B0} = 108.2*1000/(46*273.08) = 8.4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}{k1*(1-x_{A})*(c_{B0}-c_{A0}*x_{A})-\frac{c_{A0}*x_{A}*x_{A}}{kc}}=108.32 h. Theoretical volume is v=108.32*273.08=29524.53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</si>
  <si>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8.93 kmol/h. According to the chemical reaction equation, the mass flow rate of acetic acid required per hour is m_A = 8.93*60 = 535.91 kg/h. The mass flow rate of ethanol required per hour is m_B = 8.93*46 = 408.26 kg/h. The total volumetric feed flow rate is q_raw = (535.91+408.26)*1000/0.84 = 1136.03 L/h. The initial concentration of acetic acid is c_{A0} = 535.91*1000/(60*1136.03) = 7.83 mol/L. The initial concentration of ethanol is c_{B0} = 408.26*1000/(46*1136.03) = 7.83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v=0.1*1136.03=117.09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</si>
  <si>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527.09 L/h. The initial concentration of acetic acid is c_{A0} = 235.23*1000/(60*527.09) = 7.47 mol/L. The initial concentration of ethanol is c_{B0} = 180.34*1000/(46*527.09) = 7.47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}{k1*(1-x_{A})*(c_{B0}-c_{A0}*x_{A})-\frac{c_{A0}*x_{A}*x_{A}}{kc}}=100.28 h. Theoretical volume is v=100.28*527.09=52853.32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</si>
  <si>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8.93 kmol/h. According to the chemical reaction equation, the mass flow rate of acetic acid required per hour is m_A = 8.93*60 = 535.91 kg/h. The mass flow rate of ethanol required per hour is m_B = 8.93*46 = 408.26 kg/h. The total volumetric feed flow rate is q_raw = (535.91+408.26)*1000/1.18 = 800.09 L/h. The initial concentration of acetic acid is c_{A0} = 535.91*1000/(60*800.09) = 10.75 mol/L. The initial concentration of ethanol is c_{B0} = 408.26*1000/(46*800.09)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v=0.13*800.09=104.03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</si>
  <si>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222.95 L/h. The initial concentration of acetic acid is c_{A0} = 117.27*1000/(60*222.95) = 9.06 mol/L. The initial concentration of ethanol is c_{B0} = 89.91*1000/(46*222.95)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}{k1*(1-x_{A})*(c_{B0}-c_{A0}*x_{A})-\frac{c_{A0}*x_{A}*x_{A}}{kc}}=112.94 h. Theoretical volume is v=112.94*222.95=25150.07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</si>
  <si>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828.71 L/h. The initial concentration of acetic acid is c_{A0} = 431.59*1000/(60*828.71) = 8.68 mol/L. The initial concentration of ethanol is c_{B0} = 330.89*1000/(46*828.71)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v=112.78*828.71=93707.65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</si>
  <si>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618.12 L/h. The initial concentration of acetic acid is c_{A0} = 362.05*1000/(60*618.12) = 9.72 mol/L. The initial concentration of ethanol is c_{B0} = 277.57*1000/(46*618.12) = 9.72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x)}=42.78 h. Theoretical volume is v=42.78*618.12=26435.4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</si>
  <si>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 kg/h. The mass flow rate of ethanol required per hour is m_B = 1.92*46 = 88.33 kg/h. The total volumetric feed flow rate is q_raw = (115.2+88.33)*1000/1.01 = 203.54 L/h. The initial concentration of acetic acid is c_{A0} = 115.2*1000/(60*203.54) = 9.43 mol/L. The initial concentration of ethanol is c_{B0} = 88.33*1000/(46*203.54)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}{k1*(1-x_{A})*(c_{B0}-c_{A0}*x_{A})-\frac{c_{A0}*x_{A}*x_{A}}{kc}}=123.63 h. Theoretical volume is v=123.63*203.54=25152.85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</si>
  <si>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66.81 kg/h. The total volumetric feed flow rate is q_raw = (87.27+66.81)*1000/1.15 = 133.47 L/h. The initial concentration of acetic acid is c_{A0} = 87.27*1000/(60*133.47) = 10.94 mol/L. The initial concentration of ethanol is c_{B0} = 66.81*1000/(46*133.47) = 10.94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}{k1*(1-x_{A})*(c_{B0}-c_{A0}*x_{A})-\frac{c_{A0}*x_{A}*x_{A}}{kc}}=146..47 h. Theoretical volume is v=146.47*133.47=19564.62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</si>
  <si>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333.00 kg/h. The total volumetric feed flow rate is q_raw = (434.32+333.00)*1000/0.8 = 910.39 L/h. The initial concentration of acetic acid is c_{A0} = 434.32*1000/(60*910.39) = 7.92 mol/L. The initial concentration of ethanol is c_{B0} = 333.00*1000/(46*910.39)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x)}=0.08 h. Theoretical volume is v=0.08*910.39=73.5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</si>
  <si>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5.62 kmol/h. According to the chemical reaction equation, the mass flow rate of acetic acid required per hour is m_A = 5.62*60 = 337.5 kg/h. The mass flow rate of ethanol required per hour is m_B = 5.62*46 = 258.5 kg/h. The total volumetric feed flow rate is q_raw = (337.5+258.5)*1000/0.85 = 692.95 L/h. The initial concentration of acetic acid is c_{A0} = 337.5*1000/(60*692.95) = 8.21 mol/L. The initial concentration of ethanol is c_{B0} = 258.5*1000/(46*692.95) = 8.21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x)}=32.17 h. Theoretical volume is v=32.17*692.95=22334.22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</si>
  <si>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799.09 L/h. The initial concentration of acetic acid is c_{A0} = 473.86*1000/(60*799.09) = 10.09 mol/L. The initial concentration of ethanol is c_{B0} = 363.3*1000/(46*799.09)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x)}=7.73 h. Theoretical volume is v=7.73*799.09=6172.42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</si>
  <si>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56.3 kg/h. The total volumetric feed flow rate is q_raw = (73.64+56.3)*1000/1.14 = 113.89 L/h. The initial concentration of acetic acid is c_{A0} = 73.64*1000/(60*113.89) = 10.85 mol/L. The initial concentration of ethanol is c_{B0} = 56.3*1000/(46*113.89) = 10.85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x)}=49.61 h. Theoretical volume is v=49.61*113.89=5643.87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</si>
  <si>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353.84 kg/h. The total volumetric feed flow rate is q_raw = (460.23+353.84)*1000/0.99 = 819.36 L/h. The initial concentration of acetic acid is c_{A0} = 460.23*1000/(60*819.36) = 9.43 mol/L. The initial concentration of ethanol is c_{B0} = 353.84*1000/(46*819.36)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}{k1*(1-x_{A})*(c_{B0}-c_{A0}*x_{A})-\frac{c_{A0}*x_{A}*x_{A}}{kc}}=117.6 h. Theoretical volume is v=117.6*819.36=96965.  According to the given conditions, the reactor response time required is 117.6 hours. Given the cost considerations,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</si>
  <si>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353.84 kg/h. The total volumetric feed flow rate is q_raw = (460.23+353.84)*1000/1.12 = 731.5 L/h. The initial concentration of acetic acid is c_{A0} = 460.23*1000/(60*731.5) = 10.66 mol/L. The initial concentration of ethanol is c_{B0} = 353.84*1000/(46*731.5) = 10.66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x)}=17.55 h. Theoretical volume is v=17.55*731.5=12922.09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</si>
  <si>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10.48 kmol/h. According to the chemical reaction equation, the mass flow rate of acetic acid required per hour is m_A = 10.48*60 = 628.64 kg/h. The mass flow rate of ethanol required per hour is m_B = 10.48*46 = 481.95 kg/h. The total volumetric feed flow rate is q_raw = (628.64+481.95)*1000/1.08 = 1022.68 L/h. The initial concentration of acetic acid is c_{A0} = 628.64*1000/(60*1022.68) = 10.28 mol/L. The initial concentration of ethanol is c_{B0} = 481.95*1000/(46*1022.68) = 10.28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}{k1*(1-x_{A})*(c_{B0}-c_{A0}*x_{A})-\frac{c_{A0}*x_{A}*x_{A}}{kc}}=136.09 h. Theoretical volume is v=136.09*1022.68=139249.54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</si>
  <si>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1111.87 L/h. The initial concentration of acetic acid is c_{A0} = 572.05*1000/(60*1111.87) = 8.4 mol/L. The initial concentration of ethanol is c_{B0} = 438.57*1000/(46*1111.87)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x)}=23.29 h. Theoretical volume is v=23.29*1111.87=25833.88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</si>
  <si>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8.24 kmol/h. According to the chemical reaction equation, the mass flow rate of acetic acid required per hour is m_A = 8.24*60 = 494.55 kg/h. The mass flow rate of ethanol required per hour is m_B = 8.24*46 = 378.98 kg/h. The total volumetric feed flow rate is q_raw = (494.55+378.98)*1000/0.79 = 1100.88 L/h. The initial concentration of acetic acid is c_{A0} = 494.55*1000/(60*1100.88) = 7.45 mol/L. The initial concentration of ethanol is c_{B0} = 378.98*1000/(46*1100.88)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}{k1*(1-x_{A})*(c_{B0}-c_{A0}*x_{A})-\frac{c_{A0}*x_{A}*x_{A}}{kc}}=96.39 h. Theoretical volume is v=96.39*1100.88=106087.64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</si>
  <si>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3.92 kmol/h. According to the chemical reaction equation, the mass flow rate of acetic acid required per hour is m_A = 3.92*60 = 235.23 kg/h. The mass flow rate of ethanol required per hour is m_B = 3.92*46 = 180.34 kg/h. The total volumetric feed flow rate is q_raw = (235.23+180.34)*1000/0.93 = 445.19 L/h. The initial concentration of acetic acid is c_{A0} = 235.23*1000/(60*445.19) = 8.77 mol/L. The initial concentration of ethanol is c_{B0} = 180.34*1000/(46*445.19)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}{k1*(1-x_{A})*(c_{B0}-c_{A0}*x_{A})-\frac{c_{A0}*x_{A}*x_{A}}{kc}}=108.5 h. Theoretical volume is v=108.5*445.19=48352.15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</si>
  <si>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82.27 kg/h. The mass flow rate of ethanol required per hour is m_B = 1.4*46 = 64.65 kg/h. The total volumetric feed flow rate is q_raw = (82.27+64.65)*1000/1.05 = 135.68 L/h. The initial concentration of acetic acid is c_{A0} = 82.27*1000/(60*135.68) = 10.19 mol/L. The initial concentration of ethanol is c_{B0} = 64.65*1000/(46*135.68)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x)}=13.69 h. Theoretical volume is v=13.69*135.68=1846.8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</si>
  <si>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Q_{0}=(341+341)/1.19=575.95 m^3/h. Initial concentration of ethyl acetate: c_{A0}=341*1000/(76*575.95)=7.83 mol/L. Initial concentration of sodium hydroxide: c_{B0}=341*1000*1/(40*575.95)=14.5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v=0.08*575.95=42.58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</si>
  <si>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Q_{0}=(225+225)/1.83=244.65 m^3/h. Initial concentration of ethyl acetate: c_{A0}=225*1000/(76*244.65)=11.91 mol/L. Initial concentration of sodium hydroxide: c_{B0}=225*1000*1/(40*244.65)=23.5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v=0.04*244.65=9.7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</si>
  <si>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Q_{0}=(720+720)/1.63=877.99 m^3/h. Initial concentration of ethyl acetate: c_{A0}=720*1000/(76*877.99)=10.86 mol/L. Initial concentration of sodium hydroxide: c_{B0}=720*1000*1/(40*877.99)=20.62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v=0.03*877.99=27.27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</si>
  <si>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Q_{0}=(780+780)/1.9=826.32 m^3/h. Initial concentration of ethyl acetate: c_{A0}=780*1000/(76*826.32)=12.11 mol/L. Initial concentration of sodium hydroxide: c_{B0}=780*1000*1/(40*826.32)=23.12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v=0.03*826.32=23.22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</si>
  <si>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Q_{0}=(640+640)/1.7=752.92 m^3/h. Initial concentration of ethyl acetate: c_{A0}=640*1000/(76*752.92)=10.99 mol/L. Initial concentration of sodium hydroxide: c_{B0}=640*1000*1/(40*752.92)=21.25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v=0.02*752.92=16.45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</si>
  <si>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Q_{0}=(525+525)/1.01=1040.0 m^3/h. Initial concentration of ethyl acetate: c_{A0}=525*1000/(76*1040.0)=6.71 mol/L. Initial concentration of sodium hydroxide: c_{B0}=525*1000*1/(40*1040.0)=12.5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v=0.03*1040.0=34.07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</si>
  <si>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Q_{0}=(591+591)/1.64=721.72 m^3/h. Initial concentration of ethyl acetate: c_{A0}=591*1000/(76*721.72)=10.86 mol/L. Initial concentration of sodium hydroxide: c_{B0}=591*1000*1/(40*721.72)=20.5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v=0.04*721.72=30. l. material selection: given the required concentration of chloroethanol, the presence of athabate is necessary. Therefore, we recommend using stainless steel as the reactor material.</t>
  </si>
  <si>
    <t>The relative molecular weight of CH_{3}COOC_{2}H_{5} is 76 kg/kmol, NaOH is 40 kg/kmol. Raw material volumetric flow rate: Q_{0}=(758+758)/1.29=1212.85 m^3/h. Initial concentration of ethyl acetate: c_{A0}=758*1000/(76*1212.85)=8.21 mol/L. Initial concentration of sodium hydroxide: c_{B0}=758*1000*1/(40*1212.85)=15.62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v=0.03*1212.85=40.39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</si>
  <si>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Q_{0}=(342+342)/1.75=380.57 m^3/h. Initial concentration of ethyl acetate: c_{A0}=342*1000/(76*380.57)=11.71 mol/L. Initial concentration of sodium hydroxide: c_{B0}=342*1000*1/(40*380.57)=22.38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v=0.02*380.57=6.25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</si>
  <si>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Q_{0}=(629+629)/1.49=845.12 m^3/h. Initial concentration of ethyl acetate: c_{A0}=629*1000/(76*845.12)=9.74 mol/L. Initial concentration of sodium hydroxide: c_{B0}=629*1000*1/(40*845.12)=18.5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v=0.03*845.12=22.29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</si>
  <si>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Q_{0}=(640+640)/1.82=680.75 m^3/h. Initial concentration of ethyl acetate: c_{A0}=640*1000/(76*680.75)=12.31 mol/L. Initial concentration of sodium hydroxide: c_{B0}=640*1000*1/(40*680.75)=23.4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v=0.01*680.75=10.02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</si>
  <si>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Q_{0}=(393+393)/1.47=536.59 m^3/h. Initial concentration of ethyl acetate: c_{A0}=393*1000/(76*536.59)=9.93 mol/L. Initial concentration of sodium hydroxide: c_{B0}=393*1000*1/(40*536.59)=18.38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v=0.1*536.59=55.37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</si>
  <si>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Q_{0}=(908+908)/1.33=1369.68 m^3/h. Initial concentration of ethyl acetate: c_{A0}=908*1000/(76*1369.68)=8.52 mol/L. Initial concentration of sodium hydroxide: c_{B0}=908*1000*1/(40*1369.68)=16.0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v=0.03*1369.68=41.73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</si>
  <si>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Q_{0}=(345+345)/1.3=527.69 m^3/h. Initial concentration of ethyl acetate: c_{A0}=345*1000/(76*527.69)=8.58 mol/L. Initial concentration of sodium hydroxide: c_{B0}=345*1000*1/(40*527.69)=16.42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v=0.03*527.69=12.72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</si>
  <si>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Q_{0}=(815+815)/1.45=1128.67 m^3/h. Initial concentration of ethyl acetate: c_{A0}=815*1000/(76*1128.67)=9.41 mol/L. Initial concentration of sodium hydroxide: c_{B0}=815*1000*1/(40*1128.67)=17.94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v=0.03*1128.67=29.96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</si>
  <si>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Q_{0}=(786+786)/1.55=996.1 m^3/h. Initial concentration of ethyl acetate: c_{A0}=786*1000/(76*996.1)=10.46 mol/L. Initial concentration of sodium hydroxide: c_{B0}=786*1000*1/(40*996.1)=19.88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v=0.02*996.1=19.84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</si>
  <si>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Q_{0}=(535+535)/1.16=930.69 m^3/h. Initial concentration of ethyl acetate: c_{A0}=535*1000/(76*930.69)=7.5 mol/L. Initial concentration of sodium hydroxide: c_{B0}=535*1000*1/(40*930.69)=14.25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v=0.02*930.69=21.38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</si>
  <si>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Q_{0}=(690+690)/1.61=880.74 m^3/h. Initial concentration of ethyl acetate: c_{A0}=690*1000/(76*880.74)=10.46 mol/L. Initial concentration of sodium hydroxide: c_{B0}=690*1000*1/(40*880.74)=19.25 mol/L. The concentration of chloroethanol: c_{A}=c_{A0}*(1-x). The concentration of sodium bicarbonate: c_{B}=c_{B0}-c_{A0}*x. Reaction time obtained through integral calculation: t=\int_{0}^{x_{f} } \frac{c_{A0}dx_{A} }{r_{A}}=\int_{0}^{x_{f} } \frac{c_{A0}dx_{A} }{k*c_{A}*c_{B}}=\int_{0}^{x_{f} } \frac{dx_{A} }{k*(1-x_{A})*(c_{B0}-c_{A0}*x_{A})}=0.06 h. Theoretical volume is v=0.06*880.74=50.31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</si>
  <si>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Q_{0}=(632+632)/1.23=1013.23 m^3/h. Initial concentration of ethyl acetate: c_{A0}=632*1000/(76*1013.23)=8.16 mol/L. Initial concentration of sodium hydroxide: c_{B0}=632*1000*1/(40*1013.23)=15.62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v=0.03*1013.23=33.46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</si>
  <si>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Q_{0}=(618+618)/1.9=660.53 m^3/h. Initial concentration of ethyl acetate: c_{A0}=618*1000/(76*660.53)=12.5 mol/L. Initial concentration of sodium hydroxide: c_{B0}=618*1000*1/(40*660.53)=23.25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v=0.02*660.53=9.99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</si>
  <si>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Q_{0}=(688+688)/1.37=1018.31 m^3/h. Initial concentration of ethyl acetate: c_{A0}=688*1000/(76*1018.31)=8.97 mol/L. Initial concentration of sodium hydroxide: c_{B0}=688*1000*1/(40*1018.31)=16.98 mol/L. The concentration of chloroethanol: c_{A}=c_{A0}*(1-x). The concentration of sodium bicarbonate: c_{B}=c_{B0}-c_{A0}*x. Reaction time obtained through integral calculation: t=\frac{c_{A0} \cdot x_{f}}{r_{A}}=\frac{c_{A0} \cdot x_{f}}{k \cdot c_{A} \cdot c_{B}}=\frac{x_{f}}{k \cdot (1-x_{A}) \cdot (c_{B0}-c_{A0} \cdot x_{A})}=0.85 h. Theoretical volume is v=0.85*1018.31=854.79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</si>
  <si>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Q_{0}=(550+550)/1.47=731.48 m^3/h. Initial concentration of ethyl acetate: c_{A0}=550*1000/(76*731.48)=10.0 mol/L. Initial concentration of sodium hydroxide: c_{B0}=550*1000*1/(40*731.48)=18.42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v=0.02*731.48=16.38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</si>
  <si>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Q_{0}=(960+960)/1.16=1648.26 m^3/h. Initial concentration of ethyl acetate: c_{A0}=960*1000/(76*1648.26)=7.43 mol/L. Initial concentration of sodium hydroxide: c_{B0}=960*1000*1/(40*1648.26)=14.5 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v=0.07*1648.26=115.08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</si>
  <si>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Q_{0}=(631+631)/1.51=834.17 m^3/h. Initial concentration of ethyl acetate: c_{A0}=631*1000/(76*834.17)=10.07 mol/L. Initial concentration of sodium hydroxide: c_{B0}=631*1000*1/(40*834.17)=18.75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v=0.13*834.17=108.28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</si>
  <si>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Q_{0}=(803+803)/1.14=1428.3 m^3/h. Initial concentration of ethyl acetate: c_{A0}=803*1000/(76*1428.3)=7.43 mol/L. Initial concentration of sodium hydroxide: c_{B0}=803*1000*1/(40*1428.3)=14.0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v=0.04*1428.3=55.94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</si>
  <si>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Q_{0}=(393+393)/1.77=446.51 m^3/h. Initial concentration of ethyl acetate: c_{A0}=393*1000/(76*446.51)=11.64 mol/L. Initial concentration of sodium hydroxide: c_{B0}=393*1000*1/(40*446.51)=22.25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v=0.09*446.51=39.7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</si>
  <si>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Q_{0}=(128+128)/1.55=167.96 m^3/h. Initial concentration of ethyl acetate: c_{A0}=128*1000/(76*167.96)=10.59 mol/L. Initial concentration of sodium hydroxide: c_{B0}=128*1000*1/(40*167.96)=19.12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v=0.13*167.96=22.29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</si>
  <si>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Q_{0}=(465+465)/1.27=725.94 m^3/h. Initial concentration of ethyl acetate: c_{A0}=465*1000/(76*725.94)=8.36 mol/L. Initial concentration of sodium hydroxide: c_{B0}=465*1000*1/(40*725.94)=16.0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v=0.02*725.94=15.7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</si>
  <si>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Q_{0}=(957+957)/1.63=1170.12 m^3/h. Initial concentration of ethyl acetate: c_{A0}=957*1000/(76*1170.12)=10.86 mol/L. Initial concentration of sodium hydroxide: c_{B0}=957*1000*1/(40*1170.12)=20.5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v=0.06*1170.12=70.01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</si>
  <si>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130/62=2.11kmol/h. Hourly required chloroethanol: 2.11*80.5/(0.76*0.12)=1821.25kg/h. Hourly required sodium bicarbonate: 2.11*84*3.6/(0.76*0.34)=2411.37kg/h. Raw material volumetric flow rate: Q_{0}=(1821.25+2411.37)/1.04=4029.12L/h. Initial concentration of chloroethanol: c_{A0}=2.11*1000/(0.76*4029.12)=0.67mol/L. Initial concentration of sodium bicarbonate: c_{B0}=2.11*1000*3.6/(0.76*4029.12)=2.41mol/L. The concentration of chloroethanol: c_{A}=c_{A0}*(1-x). The concentration of sodium bicarbonate: c_{B}=c_{B0}-c_{A0}*x. Reaction time obtained through integral calculation: t=\int_{0}^{x_{f} } \frac{c_{A0}dx_{A} }{r_{A}}=\int_{0}^{x_{f} } \frac{c_{A0}dx_{A} }{k*c_{A}*c_{B}}=\int_{0}^{x_{f} } \frac{dx_{A} }{k*(1-x_{A})*(c_{B0}-c_{A0}*x_{A})}=0.15 h. Theoretical volume is v=0.15*4029.12=596.3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</si>
  <si>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7.31*80.5/(0.81*0.18)=3608.49kg/h. Hourly required sodium bicarbonate: 7.31*84*3.8/(0.81*0.23)=12576.57kg/h. Raw material volumetric flow rate: Q_{0}=(3608.49+12576.57)/1.57=10131.16L/h. Initial concentration of chloroethanol: c_{A0}=7.31*1000/(0.81*10131.16)=0.91mol/L. Initial concentration of sodium bicarbonate: c_{B0}=7.31*1000*3.8/(0.81*10131.16)=3.43mol/L.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v=0.11*10131.16=1131.26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</si>
  <si>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602/62=9.73kmol/h. Hourly required chloroethanol: 9.73*80.5/(0.87*0.31)=2683.77kg/h. Hourly required sodium bicarbonate: 9.73*84*1.0/(0.87*0.37)=2550.77kg/h. Raw material volumetric flow rate: Q_{0}=(2683.77+2550.77)/1.59=3333.25L/h. Initial concentration of chloroethanol: c_{A0}=9.73*1000/(0.87*3333.25)=3.43mol/L. Initial concentration of sodium bicarbonate: c_{B0}=9.73*1000*1.0/(0.87*3333.25)=3.43mol/L.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v=0.24*3333.25=799.38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</si>
  <si>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13.16*80.5/(0.95*0.4)=2625.35kg/h. Hourly required sodium bicarbonate: 13.16*84*2.9/(0.95*0.45)=7365.87kg/h. Raw material volumetric flow rate: Q_{0}=(2625.35+7365.87)/1.31=7190.45L/h. Initial concentration of chloroethanol: c_{A0}=13.16*1000/(0.95*7190.45)=1.89mol/L. Initial concentration of sodium bicarbonate: c_{B0}=13.16*1000*2.9/(0.95*7190.45)=5.48mol/L. The concentration of chloroethanol: c_{A}=c_{A0}*(1-x). The concentration of sodium bicarbonate: c_{B}=c_{B0}-c_{A0}*x. Reaction time obtained through integral calculation: t=\int_{0}^{x_{f} } \frac{c_{A0}dx_{A} }{r_{A}}=\int_{0}^{x_{f} } \frac{c_{A0}dx_{A} }{k*c_{A}*c_{B}}=\int_{0}^{x_{f} } \frac{dx_{A} }{k*(1-x_{A})*(c_{B0}-c_{A0}*x_{A})}=0.18 h. Theoretical volume is v=0.18*7190.45=1370.87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</si>
  <si>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464/62=7.5kmol/h. Hourly required chloroethanol: 7.5*80.5/(0.72*0.05)=16496.05kg/h. Hourly required sodium bicarbonate: 7.5*84*3.3/(0.72*0.23)=13353.45kg/h. Raw material volumetric flow rate: Q_{0}=(16496.05+13353.45)/1.41=21120.53L/h. Initial concentration of chloroethanol: c_{A0}=7.5*1000/(0.72*21120.53)=0.50mol/L. Initial concentration of sodium bicarbonate: c_{B0}=7.5*1000*3.3/(0.72*21120.53)=1.65mol/L. The concentration of chloroethanol: c_{A}=c_{A0}*(1-x). The concentration of sodium bicarbonate: c_{B}=c_{B0}-c_{A0}*x. Reaction time obtained through integral calculation: t=\int_{0}^{x_{f} } \frac{c_{A0}dx_{A} }{r_{A}}=\int_{0}^{x_{f} } \frac{c_{A0}dx_{A} }{k*c_{A}*c_{B}}=\int_{0}^{x_{f} } \frac{dx_{A} }{k*(1-x_{A})*(c_{B0}-c_{A0}*x_{A})}=0.15 h. Theoretical volume is v=0.15*21120.53=3101.26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</si>
  <si>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867/62=14.02kmol/h. Hourly required chloroethanol: 14.02*80.5/(0.85*0.37)=3557.18kg/h. Hourly required sodium bicarbonate: 14.02*84*4.0/(0.85*0.42)=14560.76kg/h. Raw material volumetric flow rate: Q_{0}=(3557.18+14560.76)/1.48=12131.16L/h. Initial concentration of chloroethanol: c_{A0}=14.02*1000/(0.85*12131.16)=1.38mol/L. Initial concentration of sodium bicarbonate: c_{B0}=14.02*1000*4.0/(0.85*12131.16)=5.52mol/L.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v=0.08*12131.16=953.34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</si>
  <si>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7.21*80.5/(0.86*0.1)=6908.32kg/h. Hourly required sodium bicarbonate: 7.21*84*1.1/(0.86*0.12)=6696.59kg/h. Raw material volumetric flow rate: Q_{0}=(6908.32+6696.59)/1.93=6906.81L/h. Initial concentration of chloroethanol: c_{A0}=7.21*1000/(0.86*6906.81)=1.22mol/L. Initial concentration of sodium bicarbonate: c_{B0}=7.21*1000*1.1/(0.86*6906.81)=1.33mol/L. The concentration of chloroethanol: c_{A}=c_{A0}*(1-x). The concentration of sodium bicarbonate: c_{B}=c_{B0}-c_{A0}*x. Reaction time obtained through integral calculation: t=\int_{0}^{x_{f} } \frac{c_{A0}dx_{A} }{r_{A}}=\int_{0}^{x_{f} } \frac{c_{A0}dx_{A} }{k*c_{A}*c_{B}}=\int_{0}^{x_{f} } \frac{dx_{A} }{k*(1-x_{A})*(c_{B0}-c_{A0}*x_{A})}=1.45 h. Theoretical volume is v=1.45*6906.81=9992.87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</si>
  <si>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2.94*80.5/(0.7*0.23)=1179.13kg/h. Hourly required sodium bicarbonate: 2.94*84*1.4/(0.7*0.43)=1203.24kg/h. Raw material volumetric flow rate: Q_{0}=(1179.13+1203.24)/1.47=1664.94L/h. Initial concentration of chloroethanol: c_{A0}=2.94*1000/(0.7*1664.94)=2.56mol/L. Initial concentration of sodium bicarbonate: c_{B0}=2.94*1000*1.4/(0.7*1664.94)=3.63mol/L. The concentration of chloroethanol: c_{A}=c_{A0}*(1-x). The concentration of sodium bicarbonate: c_{B}=c_{B0}-c_{A0}*x. Reaction time obtained through integral calculation: t=\int_{0}^{x_{f} } \frac{c_{A0}dx_{A} }{r_{A}}=\int_{0}^{x_{f} } \frac{c_{A0}dx_{A} }{k*c_{A}*c_{B}}=\int_{0}^{x_{f} } \frac{dx_{A} }{k*(1-x_{A})*(c_{B0}-c_{A0}*x_{A})}=0.13 h. Theoretical volume is v=0.13*1664.94=220.96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</si>
  <si>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1.85*80.5/(0.84*0.49)=369.45kg/h. Hourly required sodium bicarbonate: 1.85*84*2.4/(0.84*0.5)=1168.22kg/h. Raw material volumetric flow rate: Q_{0}=(369.45+1168.22)/1.15=1306.85L/h. Initial concentration of chloroethanol: c_{A0}=1.85*1000/(0.84*1306.85)=1.68mol/L. Initial concentration of sodium bicarbonate: c_{B0}=1.85*1000*2.4/(0.84*1306.85)=2.82mol/L.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v=0.14*1306.85=184.81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</si>
  <si>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782/62=12.65kmol/h. Hourly required chloroethanol: 12.65*80.5/(0.76*0.1)=13095.22kg/h. Hourly required sodium bicarbonate: 12.65*84*1.9/(0.76*0.47)=5586.74kg/h. Raw material volumetric flow rate: Q_{0}=(13095.22+5586.74)/1.91=9764.74L/h. Initial concentration of chloroethanol: c_{A0}=12.65*1000/(0.76*9764.74)=1.7mol/L. Initial concentration of sodium bicarbonate: c_{B0}=12.65*1000*1.9/(0.76*9764.74)=3.23mol/L. The concentration of chloroethanol: c_{A}=c_{A0}*(1-x). The concentration of sodium bicarbonate: c_{B}=c_{B0}-c_{A0}*x. Reaction time obtained through integral calculation: t=\int_{0}^{x_{f} } \frac{c_{A0}dx_{A} }{r_{A}}=\int_{0}^{x_{f} } \frac{c_{A0}dx_{A} }{k*c_{A}*c_{B}}=\int_{0}^{x_{f} } \frac{dx_{A} }{k*(1-x_{A})*(c_{B0}-c_{A0}*x_{A})}=0.11 h. Theoretical volume is v=0.11*9764.74=1101.98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</si>
  <si>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7.74*80.5/(0.9*0.09)=7499.57kg/h. Hourly required sodium bicarbonate: 7.74*84*3.8/(0.9*0.26)=11945.12kg/h. Raw material volumetric flow rate: Q_{0}=(7499.57+11945.12)/1.55=12565.56L/h. Initial concentration of chloroethanol: c_{A0}=7.74*1000/(0.9*12565.56)=0.73mol/L. Initial concentration of sodium bicarbonate: c_{B0}=7.74*1000*3.8/(0.9*12565.56)=2.77mol/L. The concentration of chloroethanol: c_{A}=c_{A0}*(1-x). The concentration of sodium bicarbonate: c_{B}=c_{B0}-c_{A0}*x. Reaction time obtained through integral calculation: t=\int_{0}^{x_{f} } \frac{c_{A0}dx_{A} }{r_{A}}=\int_{0}^{x_{f} } \frac{c_{A0}dx_{A} }{k*c_{A}*c_{B}}=\int_{0}^{x_{f} } \frac{dx_{A} }{k*(1-x_{A})*(c_{B0}-c_{A0}*x_{A})}=0.2 h. Theoretical volume is v=0.2*12565.56=2528.67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</si>
  <si>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9.74*80.5/(0.98*0.26)=2997.79kg/h. Hourly required sodium bicarbonate: 9.74*84*1.8/(0.98*0.36)=4252.77kg/h. Raw material volumetric flow rate: Q_{0}=(2997.79+4252.77)/1.21=5967.11L/h. Initial concentration of chloroethanol: c_{A0}=9.74*1000/(0.98*5967.11)=1.64mol/L. Initial concentration of sodium bicarbonate: c_{B0}=9.74*1000*1.8/(0.98*5967.11)=3.0mol/L. The concentration of chloroethanol: c_{A}=c_{A0}*(1-x). The concentration of sodium bicarbonate: c_{B}=c_{B0}-c_{A0}*x. Reaction time obtained through integral calculation: t=\int_{0}^{x_{f} } \frac{c_{A0}dx_{A} }{r_{A}}=\int_{0}^{x_{f} } \frac{c_{A0}dx_{A} }{k*c_{A}*c_{B}}=\int_{0}^{x_{f} } \frac{dx_{A} }{k*(1-x_{A})*(c_{B0}-c_{A0}*x_{A})}=0.35 h. Theoretical volume is v=0.35*5967.11=2105.57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</si>
  <si>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7.11*80.5/(0.79*0.17)=4240.21kg/h. Hourly required sodium bicarbonate: 7.11*84*1.7/(0.79*0.22)=7573.74kg/h. Raw material volumetric flow rate: Q_{0}=(4240.21+7573.74)/1.32=8959.52L/h. Initial concentration of chloroethanol: c_{A0}=7.11*1000/(0.79*8959.52)=1.02mol/L. Initial concentration of sodium bicarbonate: c_{B0}=7.11*1000*1.7/(0.79*8959.52)=1.73mol/L. The concentration of chloroethanol: c_{A}=c_{A0}*(1-x). The concentration of sodium bicarbonate: c_{B}=c_{B0}-c_{A0}*x. Reaction time obtained through integral calculation: t=\frac{c_{A0}*x_{f}}{r_{A}}=\frac{c_{A0}*x_{f}}{k*c_{A}*c_{B}}=\frac{x_{f}}{k*(1-x_{A})*(c_{B0}-c_{A0}*x_{A})}=0.45 h. Theoretical volume is v=0.45*8959.52=4045. t=0.45 h v=4045. The material recommendation is carbon steel.</t>
  </si>
  <si>
    <t>The relative molecular weight of NaHCO_{3} is 84 kg/kmol, CH_{2}ClCH_{2}OH is 80.5 kg/kmol, CH_{2}OHCH_{2}OH is 62 kg/kmol. Hourly production of ethylene glycol: 666/62=10.74kmol/h. Hourly required chloroethanol: 10.74*80.5/(0.9*0.15)=6141.41kg/h. Hourly required sodium bicarbonate: 10.74*84*1.4/(0.9*0.24)=5954.24kg/h. Raw material volumetric flow rate: Q_{0}=(6141.41+5954.24)/1.46=8887.71L/h. Initial concentration of chloroethanol: c_{A0}=10.74*1000/(0.9*8887.71)=1.33mol/L. Initial concentration of sodium bicarbonate: c_{B0}=10.74*1000*1.4/(0.9*8887.71)=1.86mol/L. The concentration of chloroethanol: c_{A}=c_{A0}*(1-x). The concentration of sodium bicarbonate: c_{B}=c_{B0}-c_{A0}*x. Reaction time obtained through integral calculation: t=\int_{0}^{x_{f} } \frac{c_{A0}dx_{A} }{r_{A}}=\int_{0}^{x_{f} } \frac{c_{A0}dx_{A} }{k*c_{A}*c_{B}}=\int_{0}^{x_{f} } \frac{dx_{A} }{k*(1-x_{A})*(c_{B0}-c_{A0}*x_{A})}=0.52 h. Theoretical volume is v=0.52*8887.71=4620.65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</si>
  <si>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751/62=12.15kmol/h. Hourly required chloroethanol: 12.15*80.5/(0.96*0.21)=4951.29kg/h. Hourly required sodium bicarbonate: 12.15*84*2.9/(0.96*0.24)=12320.2 1kg. Raw material volumetric flow rate: Q_{0}=(4951.29+12320.2 1)/1.59=10598.78 L/h. Initial concentration of chloroethanol: c_{A0}=12.15*1000/(0.96*10598.78)=1.19mol/L. Initial concentration of sodium bicarbonate: c_{B0}=12.15*1000*2.9/(0.96*10598.78)=3.47mol/L.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v=0.22*10598.78=2410. 22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</si>
  <si>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587/62=9.44kmol/h. Hourly required chloroethanol: 9.44*80.5/(0.71*0.13)=7921.35kg/h. Hourly required sodium bicarbonate: 9.44*84*5.0/(0.71*0.27)=19353.04kg/h. Raw material volumetric flow rate: Q_{0}=(7921.35+19353.04)/1.78=14314.36L/h. Initial concentration of chloroethanol: c_{A0}=9.44*1000/(0.71*14314.36)=0.93mol/L. Initial concentration of sodium bicarbonate: c_{B0}=9.44*1000*5.0/(0.71*14314.36)=4.67mol/L.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v=0.06*14314.36=772.76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</si>
  <si>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839/62=13.5kmol/h. Hourly required chloroethanol: 13.5*80.5/(0.98*0.08)=14189.44kg/h. Hourly required sodium bicarbonate: 13.5*84*3.1/(0.98*0.26)=14026..28kg/h. Raw material volumetric flow rate: Q_{0}=(14189.44+14026.28)/1.88=14610.09L/h. Initial concentration of chloroethanol: c_{A0}=13.5*1000/(0.98*14610.09)=0.94mol/L. Initial concentration of sodium bicarbonate: c_{B0}=13.5*1000*3.1/(0.98*14610.09)=2.89mol/L. The concentration of chloroethanol: c_{A}=c_{A0}*(1-x). The concentration of sodium bicarbonate: c_{B}=c_{B0}-c_{A0}*x. Reaction time obtained through integral calculation: t=\frac{c_{A0}*x_{f}}{r_{A}}=\frac{c_{A0}*x_{f}}{k*c_{A}*c_{B}}=\frac{x_{f}}{k*(1-x_{A})*(c_{B0}-c_{A0}*x_{A})}=1.25 h. Theoretical volume is v=1.25*14610.09=17992.84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</si>
  <si>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853/62=13.79kmol/h. Hourly required chloroethanol: 13.79*80.5/(0.96*0.21)=5761.39kg/h. Hourly required sodium bicarbonate: 13.79*84*4.8/(0.96*0.29)=24243. of kmol/h. Raw material volumetric flow rate: Q_{0}=5761.39/1.35=4295.25L/h. raw material molar flow rate: n_{0}=5761.39/40.5=142.23kmol/h. concentration of chloroethanol: c_{A}=142.23*(0.96/4295.25)=0.033mol/L. concentration of sodium bicarbonate: c_{B}=142.23*4.8*(0.96/4295.25)=0.16mol/L. the concentration of ethylene glycol: c_{0}=142.23*0.04/(0.96*0.16)=44.42mol/L. the reaction time obtained through integral calculation: t=\frac{0.033-0.033*0.96^{4.8*0.96^{t}}}{0.16-0.16*0.96^{4.8*0.96^{t}}}=3.72 h. theoretical volume is v=3.72*4295.25=15881.15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</si>
  <si>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5.69*80.5/(0.95*0.13)=3798.08kg/h. Hourly required sodium bicarbonate: 5.69*84*3.9/(0.95*0.22)=8490.74kg/h. Raw material volumetric flow rate: Q_{0}=(3798.08+8490.74)/1.79=6790.13L/h. Initial concentration of chloroethanol: c_{A0}=5.69*1000/(0.95*6790.13)=0.89mol/L. Initial concentration of sodium bicarbonate: c_{B0}=5.69*1000*3.9/(0.95*6790.13)=3.48mol/L. The concentration of chloroethanol: c_{A}=c_{A0}*(1-x). The concentration of sodium bicarbonate: c_{B}=c_{B0}-c_{A0}*x. Reaction time obtained through integral calculation: t=\int_{0}^{x_{f} } \frac{c_{A0}dx_{A} }{r_{A}}=\int_{0}^{x_{f} } \frac{c_{A0}dx_{A} }{k*c_{A}*c_{B}}=\int_{0}^{x_{f} } \frac{dx_{A} }{k*(1-x_{A})*(c_{B0}-c_{A0}*x_{A})}=0.29 h. Theoretical volume is v=0.29*6790.13=2000.15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</si>
  <si>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10.5*80.5/(0.94*0.21)=4408.14kg/h. Hourly required sodium bicarbonate: 10.5*84*3.1/(0.94*0.38)=7648.76kg/h. Raw material volumetric flow rate: Q_{0}=(4408.14+7648.76)/1.97=6109.75L/h. Initial concentration of chloroethanol: c_{A0}=10.5*1000/(0.94*6109.75)=1.8mol/L. Initial concentration of sodium bicarbonate: c_{B0}=10.5*1000*3.1/(0.94*6109.75)=5.87mol/L. The concentration of chloroethanol: c_{A}=c_{A0}*(1-x). The concentration of sodium bicarbonate: c_{B}=c_{B0}-c_{A0}*x. Reaction time obtained through integral calculation: t=\int_{0}^{x_{f} } \frac{c_{A0}dx_{A} }{r_{A}}=\int_{0}^{x_{f} } \frac{c_{A0}dx_{A} }{k*c_{A}*c_{B}}=\int_{0}^{x_{f} } \frac{dx_{A} }{k*(1-x_{A})*(c_{B0}-c_{A0}*x_{A})}=0.11 h. Theoretical volume is v=0.11*6109.75=663.30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</si>
  <si>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3.9*80.5/(0.9*0.25)=1357.2kg/h. Hourly required sodium bicarbonate: 3.9*84*1.5/(0.9*0.33)=1665.15kg/h. Raw material volumetric flow rate: Q_{0}=(1357.2+1665.15)/1.63=1860.94L/h. Initial concentration of chloroethanol: c_{A0}=3.9*1000/(0.9*1860.94)=2.36mol/L. Initial concentration of sodium bicarbonate: c_{B0}=3.9*1000*1.5/(0.9*1860.94)=3.54mol/L. The concentration of chloroethanol: c_{A}=c_{A0}*(1-x). The concentration of sodium bicarbonate: c_{B}=c_{B0}-c_{A0}*x. Reaction time obtained through integral calculation: t=\int_{0}^{x_{f} } \frac{c_{A0}dx_{A} }{r_{A}}=\int_{0}^{x_{f} } \frac{c_{A0}dx_{A} }{k*c_{A}*c_{B}}=\int_{0}^{x_{f} } \frac{dx_{A} }{k*(1-x_{A})*(c_{B0}-c_{A0}*x_{A})}=0.29 h. Theoretical volume is v=0.29*1860.94=533.2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</si>
  <si>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7.92*80.5/(0.89*0.16)=4408.98kg/h. Hourly required sodium bicarbonate: 7.92*84*1.4/(0.89*0.41)=1742.32kg/h. Raw material volumetric flow rate: Q_{0}=(4408.98+1742.32)/1.87=3431.52L/h. Initial concentration of chloroethanol: c_{A0}=7.92*1000/(0.89*3431.52)=2.63mol/L. Initial concentration of sodium bicarbonate: c_{B0}=7.92*1000*1.4/(0.89*3431.52)=3.67mol/L. The concentration of chloroethanol: c_{A}=c_{A0}*(1-x). The concentration of sodium bicarbonate: c_{B}=c_{B0}-c_{A0}*x. Reaction time obtained through integral calculation: t=\int_{0}^{x_{f} } \frac{c_{A0}dx_{A} }{r_{A}}=\int_{0}^{x_{f} } \frac{c_{A0}dx_{A} }{k*c_{A}*c_{B}}=\int_{0}^{x_{f} } \frac{dx_{A} }{k*(1-x_{A})*(c_{B0}-c_{A0}*x_{A})}=0.26 h. Theoretical volume is v=0.26*3431.52=894.44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</si>
  <si>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12.77*80.5/(0.92*0.31)=3633.33kg/h. Hourly required sodium bicarbonate: 12.77*84*2.3/(0.92*0.45)=5857.75kg/h. Raw material volumetric flow rate: Q_{0}=(3633.33+5857.75)/1.8=5217.72L/h. Initial concentration of chloroethanol: c_{A0}=12.77*1000/(0.92*5217.72)=2.6mol/L. Initial concentration of sodium bicarbonate: c_{B0}=12.77*1000*2.3/(0.92*5217.72)=5.9mol/L. The concentration of chloroethanol: c_{A}=c_{A0}*(1-x). The concentration of sodium bicarbonate: c_{B}=c_{B0}-c_{A0}*x. Reaction time obtained through integral calculation: t=\int_{0}^{x_{f} } \frac{c_{A0}dx_{A} }{r_{A}}=\int_{0}^{x_{f} } \frac{c_{A0}dx_{A} }{k*c_{A}*c_{B}}=\int_{0}^{x_{f} } \frac{dx_{A} }{k*(1-x_{A})*(c_{B0}-c_{A0}*x_{A})}=0.17 h. Theoretical volume is v=0.17*5217.72=885.67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</si>
  <si>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411/62=6.63kmol/h. Hourly required chloroethanol: 6.63*80.5/(0.74*0.15)=4851.35kg/h. Hourly required sodium bicarbonate: 6.63*84*2.6/(0.74*0.45)=4235.32kg/h. Raw material volumetric flow rate: Q_{0}=(4851.35+4235.32)/1.32=6815.3L/h. Initial concentration of chloroethanol: c_{A0}=6.63*1000/(0.74*6815.3)=1.33mol/L. Initial concentration of sodium bicarbonate: c_{B0}=6.63*1000*2.6/(0.74*6815.3)=3.49mol/L.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v=0.08*6815.3=546.38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</si>
  <si>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12.53*80.5/(0.92*0.23)=502.09kg/h. Hourly required sodium bicarbonate: 12.53*84*4.9/(0.92*0.33)=15341.39kg/h. Raw material volumetric flow rate: Q_{0}=(502.09+15341.39)/1.33=12142.52L/h. Initial concentration of chloroethanol: c_{A0}=12.53*1000/(0.92*12142.52)=1.12mol/L. Initial concentration of sodium bicarbonate: c_{B0}=12.53*1000*4.9/(0.92*12142.52)=5.51mol/L.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v=0.09*12142.52=1113.4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</si>
  <si>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6.19*80.5/(0.84*0.44)=1378.01kg/h. Hourly required sodium bicarbonate: 6.19*84*4.6/(0.84*0.47)=5634.06kg/h. Raw material volumetric flow rate: Q_{0}=(1378.01+5634.06)/1.37=533.67L/h. Initial concentration of chloroethanol: c_{A0}=6.19*1000/(0.84*533.67)=14.28mol/L. Initial concentration of sodium bicarbonate: c_{B0}=6.19*1000*4.6/(0.84*533.67)=68.27mol/L. The concentration of chloroethanol: c_{A}=c_{A0}*(1-x). The concentration of sodium bicarbonate: c_{B}=c_{B0}-c_{A0}*x. Reaction time obtained through integral calculation: t=\frac{c_{A0}*x_{f}}{r_{A}}=\frac{c_{A0}*x_{f}}{k*c_{A}*c_{B}}=\frac{x_{f}}{k*(1-x_{A})*(c_{B0}-c_{A0}*x_{A})}=0.13 h. Theoretical volume is v=0.13*533.67=68.2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</si>
  <si>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332/62=5.34kmol/h. Hourly required chloroethanol: 5.34*80.5/(0.73*0.09)=6604.69kg/h. Hourly required sodium bicarbonate: 5.34*84*2.7/(0.73*0.24)=4576.87kg/h. Raw material volumetric flow rate: Q_{0}=(6604.69+4576.87)/1.96=5604.04L/h. Initial concentration of chloroethanol: c_{A0}=5.34*1000/(0.73*5604.04)=1.27mol/L. Initial concentration of sodium bicarbonate: c_{B0}=5.34*1000*2.7/(0.73*5604.04)=3.43mol/L. The concentration of chloroethanol: c_{A}=c_{A0}*(1-x). The concentration of sodium bicarbonate: c_{B}=c_{B0}-c_{A0}*x. Reaction time obtained through integral calculation: t=\frac{c_{A0}*x_{f}}{r_{A}}=\frac{c_{A0}*x_{f}}{k*c_{A}*c_{B}}=\frac{x_{f}}{k*(1-x_{A})*(c_{B0}-c_{A0}*x_{A})}=0.22 h. Theoretical volume is v=0.22*5604.04=1236.33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</si>
  <si>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848/62=13.68kmol/h. Hourly required chloroethanol: 13.68*80.5/(0.87*0.22)=5838.96kg/h. Hourly required sodium bicarbonate: 13.68*84*4.4/(0.87*0.4)=14568.56kg/h. Raw material volumetric flow rate: Q_{0}=(5838.96+14568.56)/1.45=13737.74L/h. Initial concentration of chloroethanol: c_{A0}=13.68*1000/(0.87*13737.74)=1.17mol/L. Initial concentration of sodium bicarbonate: c_{B0}=13.68*1000*4.4/(0.87*13737.74)=5.11mol/L.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v=0.08*13737.74=1110.87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</si>
  <si>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9.61*80.5/(0.84*0.09)=10584.94kg/h. Hourly required sodium bicarbonate: 9.61*84*3.0/(0.84*0.16)=18177.82kg/h. Raw material volumetric flow rate: Q_{0}=(10584.94+18177.82)/1.35=21887.66L/h. Initial concentration of chloroethanol: c_{A0}=9.61*1000/(0.84*21887.66)=0.53mol/L. Initial concentration of sodium bicarbonate: c_{B0}=9.61*1000*3.0/(0.84*21887.66)=1.59mol/L.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v=0.33*21888=7226.66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</si>
  <si>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300/62=4.84kmol/h. Hourly required chloroethanol: 4.84*80.5/(0.8*0.25)=1934.82kg/h. Hourly required sodium bicarbonate: 4.84*84*2.1/(0.8*0.47)=1259.97kg/h. Raw material volumetric flow rate: Q_{0}=(1934.82+1259.97)/1.63=1889.24L/h. Initial concentration of chloroethanol: c_{A0}=4.84*1000/(0.8*1889.24)=3.19mol/L. Initial concentration of sodium bicarbonate: c_{B0}=4.84*1000*2.1/(0.8*1889.24)=6.11mol/L.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v=0.07*1889.24=140.88 l.After comprehensively considering various factors in the reaction process, the operating temperatures remain moderate with no presence of highly corrosive substances. Given the cost considerations, we recommend using carbon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</si>
  <si>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1062.55 L/h. The initial concentration of acetic acid is c_{A0} = 634.09*1000/(60*1062.55) = 10.0 mol/L. The initial concentration of ethanol is c_{B0} = 486.14*1000/(46*1062.55)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x)}=24.41 h. Theoretical volume is v=24.41*1062.55=26011.64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</si>
  <si>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616.4 L/h. The initial concentration of acetic acid is c_{A0} = 295.23*1000/(60*616.4) = 7.92 mol/L. The initial concentration of ethanol is c_{B0} = 226.34*1000/(46*616.4) = 7.92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}{k1*(1-x_{A})*(c_{B0}-c_{A0}*x_{A})-\frac{c_{A0}*x_{A}*x_{A}}{kc}}=98.36 h. Theoretical volume is v=98.36*616.4=60894.74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</si>
  <si>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10.02 kmol/h. According to the chemical reaction equation, the mass flow rate of acetic acid required per hour is m_A = 10.02*60 = 601.36 kg/h. The mass flow rate of ethanol required per hour is m_B = 10.02*46 = 461.05 kg/h. The total volumetric feed flow rate is q_raw = (601.36+461.05)*1000/0.95 = 1143.81 L/h. The initial concentration of acetic acid is c_{A0} = 601.36*1000/(60*1143.81) = 8.77 mol/L. The initial concentration of ethanol is c_{B0} = 461.05*1000/(46*1143.81)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}{k1*(1-x_{A})*(c_{B0}-c_{A0}*x_{A})-\frac{c_{A0}*x_{A}*x_{A}}{kc}}=116.66 h. Theoretical volume is v=116.66*1143.81=133161.02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</si>
  <si>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513.64 kg/h. The mass flow rate of ethanol required per hour is m_B = 8.58*46 = 395.66 kg/h. The total volumetric feed flow rate is q_raw = (513.64+395.66)*1000/1.01 = 89.73 L/h. The initial concentration of acetic acid is c_{A0} = 513.64*1000/(60*89.73) = 9.63 mol/L. The initial concentration of ethanol is c_{B0} = 395.66*1000/(46*89.73) = 9.63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}{k1*(1-x_{A})*(c_{B0}-c_{A0}*x_{A})-\frac{c_{A0}*x_{A}*x_{A}}{kc}}=129.47 h. Theoretical volume is v=129.47*89.73=11604.3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</si>
  <si>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221.63 L/h. The initial concentration of acetic acid is c_{A0} = 125.45*1000/(60*221.63) = 9.43 mol/L. The initial concentration of ethanol is c_{B0} = 96.18*1000/(46*221.63)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}{k1*(1-x_{A})*(c_{B0}-c_{A0}*x_{A})-\frac{c_{A0}*x_{A}*x_{A}}{kc}}=122.49 h. Theoretical volume is v=122.49*221.63=27136.53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</si>
  <si>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449.71 L/h. The initial concentration of acetic acid is c_{A0} = 214.77*1000/(60*449.71) = 8.02 mol/L. The initial concentration of ethanol is c_{B0} = 164.66*1000/(46*449.71)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}{k1*(1-x_{A})*(c_{B0}-c_{A0}*x_{A})-\frac{c_{A0}*x_{A}*x_{A}}{kc}}=108.64 h. Theoretical volume is v=108.64*449.71=48547.19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</si>
  <si>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392.13 L/h. The initial concentration of acetic acid is c_{A0} = 234.55*1000/(60*392.13) = 9.91 mol/L. The initial concentration of ethanol is c_{B0} = 179.82*1000/(46*392.13)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x)}=31.73 h. Theoretical volume is v=31.73*392.13=12406.64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</si>
  <si>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 kg/h. The mass flow rate of ethanol required per hour is m_B = 3.0*46 = 138 kg/h. The total volumetric feed flow rate is q_raw = (180+138)*1000/0.95 = 334.21 L/h. The initial concentration of acetic acid is c_{A0} = 180*1000/(60*334.21) = 8.96 mol/L. The initial concentration of ethanol is c_{B0} = 138*1000/(46*334.21)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}{k1*(1-x_{A})*(c_{B0}-c_{A0}*x_{A})-\frac{c_{A0}*x_{A}*x_{A}}{kc}}=118.14 h. Theoretical volume is v=118.14*334.21=39264.53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</si>
  <si>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108.68 kg/h. The total volumetric feed flow rate is q_raw = (140.45+108.68)*1000/0.93 = 270.78 L/h. The initial concentration of acetic acid is c_{A0} = 140.45*1000/(60*270.78) = 8.58 mol/L. The initial concentration of ethanol is c_{B0} = 108.68*1000/(46*270.78)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}{k1*(1-x_{A})*(c_{B0}-c_{A0}*x_{A})-\frac{c_{A0}*x_{A}*x_{A}}{kc}}=105.02 h. Theoretical volume is v=105.02*270.78=28461.25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</si>
  <si>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(530.45+406.68)*1000/0.84 = 1093.65 L/h. The initial concentration of acetic acid is c_{A0} = 530.45*1000/(60*1093.65) = 8.11 mol/L. The initial concentration of ethanol is c_{B0} = 406.68*1000/(46*1093.65)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v=0.12*1093.65=132.2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</si>
  <si>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501.9 L/h. The initial concentration of acetic acid is c_{A0} = 235.23*1000/(60*501.9) = 7.83 mol/L. The initial concentration of ethanol is c_{B0} = 180.34*1000/(46*501.9)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}{k1*(1-x_{A})*(c_{B0}-c_{A0}*x_{A})-\frac{c_{A0}*x_{A}*x_{A}}{kc}}=105.84 h. Theoretical volume is v=105.84*501.9=53056.71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</si>
  <si>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(530.45+406.68)*1000/1.18 = 794.18 L/h. The initial concentration of acetic acid is c_{A0} = 530.45*1000/(60*794.18) = 11.13 mol/L. The initial concentration of ethanol is c_{B0} = 406.68*1000/(46*794.18)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v=0.12*794.18=96.62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</si>
  <si>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225.12 L/h. The initial concentration of acetic acid is c_{A0} = 117.27*1000/(60*225.12) = 8.68 mol/L. The initial concentration of ethanol is c_{B0} = 89.91*1000/(46*225.12)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v=106.4*225.12=24006.17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</si>
  <si>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838.34 L/h. The initial concentration of acetic acid is c_{A0} = 431.59*1000/(60*838.34) = 8.58 mol/L. The initial concentration of ethanol is c_{B0} = 330.89*1000/(46*838.34)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}{k1*(1-x_{A})*(c_{B0}-c_{A0}*x_{A})-\frac{c_{A0}*x_{A}*x_{A}}{kc}}=114.3 h. Theoretical volume is v=114.3*838.34=96201.78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</si>
  <si>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610.73 L/h. The initial concentration of acetic acid is c_{A0} = 362.05*1000/(60*610.73) = 9.94 mol/L. The initial concentration of ethanol is c_{B0} = 277.57*1000/(46*610.73) = 9.94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x)}=51.72 h. Theoretical volume is v=51.72*610.73=31610.69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</si>
  <si>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1.93 kmol/h. According to the chemical reaction equation, the mass flow rate of acetic acid required per hour is m_A = 1.93*60 = 115.91 kg/h. The mass flow rate of ethanol required per hour is m_B = 1.93*46 = 88.57 kg/h. The total volumetric feed flow rate is q_raw = (115.91+88.57)*1000/1.01 = 202.24 L/h. The initial concentration of acetic acid is c_{A0} = 115.91*1000/(60*202.24) = 9.62 mol/L. The initial concentration of ethanol is c_{B0} = 88.57*1000/(46*202.24) = 9.62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}{k1*(1-x_{A})*(c_{B0}-c_{A0}*x_{A})-\frac{c_{A0}*x_{A}*x_{A}}{kc}}=128.77 h. Theoretical volume is v=128.77*202.24=26105.34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</si>
  <si>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86.14 kg/h. The mass flow rate of ethanol required per hour is m_B = 1.45*46 = 66.2 kg/h. The total volumetric feed flow rate is q_raw = (86.14+66.2)*1000/1.15 = 133.74 L/h. The initial concentration of acetic acid is c_{A0} = 86.14*1000/(60*133.74) = 10.85 mol/L. The initial concentration of ethanol is c_{B0} = 66.2*1000/(46*133.74)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}{k1*(1-x_{A})*(c_{B0}-c_{A0}*x_{A})-\frac{c_{A0}*x_{A}*x_{A}}{kc}}=144.9 h. Theoretical volume is v=144.9*133.74=19461.62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</si>
  <si>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7.26 kmol/h. According to the chemical reaction equation, the mass flow rate of acetic acid required per hour is m_A = 7.26*60 = 435.68 kg/h. The mass flow rate of ethanol required per hour is m_B = 7.26*46 = 334.02 kg/h. The total volumetric feed flow rate is q_raw = (435.68+334.02)*1000/0.8 = 973.4 L/h. The initial concentration of acetic acid is c_{A0} = 435.68*1000/(60*973.4) = 7.45 mol/L. The initial concentration of ethanol is c_{B0} = 334.02*1000/(46*973.4) = 7.45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v=0.13*973.4=135.37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</si>
  <si>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687.10975111 L/h. The initial concentration of acetic acid is c_{A0} = 336.82*1000/(60*687.10975111) = 8.11 mol/L. The initial concentration of ethanol is c_{B0} = 258.23*1000/(46*687.10975111)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x)}=37.01 h. Theoretical volume is v=37.01*687.10975111=25503.88946957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</si>
  <si>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792.13 L/h. The initial concentration of acetic acid is c_{A0} = 473.86*1000/(60*792.13) = 10.0 mol/L. The initial concentration of ethanol is c_{B0} = 363.3*1000/(46*792.13)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v=0.12*792.13=95.28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</si>
  <si>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74.77 kg/h. The mass flow rate of ethanol required per hour is m_B = 1.23*46 = 57.16 kg/h. The total volumetric feed flow rate is q_raw = (74.77+57.16)*1000/1.14 = 118.04 L/h. The initial concentration of acetic acid is c_{A0} = 74.77*1000/(60*118.04) = 10.47 mol/L. The initial concentration of ethanol is c_{B0} = 57.16*1000/(46*118.04) = 10.47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x)}=42.61 h. Theoretical volume is v=42.61*118.04=5033.66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</si>
  <si>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461.41 kg/h. The mass flow rate of ethanol required per hour is m_B = 7.67*46 = 351.13 kg/h. The total volumetric feed flow rate is q_raw = (461.41+351.13)*1000/0.99 = 810.61 L/h. The initial concentration of acetic acid is c_{A0} = 461.41*1000/(60*810.61) = 9.34 mol/L. The initial concentration of ethanol is c_{B0} = 351.13*1000/(46*810.61)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}{k1*(1-x_{A})*(c_{B0}-c_{A0}*x_{A})-\frac{c_{A0}*x_{A}*x_{A}}{kc}}=118.63 h. Theoretical volume is v=118.63*810.61=96103.4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</si>
  <si>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461.23 kg/h. The mass flow rate of ethanol required per hour is m_B = 7.67*46 = 351.14 kg/h. The total volumetric feed flow rate is q_raw = (461.23+351.14)*1000/1.12 = 729.09 L/h. The initial concentration of acetic acid is c_{A0} = 461.23*1000/(60*729.09) = 10.57 mol/L. The initial concentration of ethanol is c_{B0} = 351.14*1000/(46*729.09)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x)}=25.39 h. Theoretical volume is v=25.39*729.09=18531.98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</si>
  <si>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10.42 kmol/h. According to the chemical reaction equation, the mass flow rate of acetic acid required per hour is m_A = 10.42*60 = 625.23 kg/h. The mass flow rate of ethanol required per hour is m_B = 10.42*46 = 479.34 kg/h. The total volumetric feed flow rate is q_raw = (625.23+479.34)*1000/1.08 = 1018.96 L/h. The initial concentration of acetic acid is c_{A0} = 625.23*1000/(60*1018.96) = 10.19 mol/L. The initial concentration of ethanol is c_{B0} = 479.34*1000/(46*1018.96)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v=136.08*1018.96=138329.66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</si>
  <si>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9.56 kmol/h. According to the chemical reaction equation, the mass flow rate of acetic acid required per hour is m_A = 9.56*60 = 573.41 kg/h. The mass flow rate of ethanol required per hour is m_B = 9.56*46 = 439.61 kg/h. The total volumetric feed flow rate is q_raw = (573.41+439.61)*1000/0.89 = 1119.13 L/h. The initial concentration of acetic acid is c_{A0} = 573.41*1000/(60*1119.13) = 8.58 mol/L. The initial concentration of ethanol is c_{B0} = 439.61*1000/(46*1119.13) = 8.58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x)}=23.39 h. Theoretical volume is v=23.39*1119.13=26302.81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</si>
  <si>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8.19 kmol/h. According to the chemical reaction equation, the mass flow rate of acetic acid required per hour is m_A = 8.19*60 = 492.64 kg/h. The mass flow rate of ethanol required per hour is m_B = 8.19*46 = 377.18 kg/h. The total volumetric feed flow rate is q_raw = (492.64+377.18)*1000/0.79 = 1100.93 L/h. The initial concentration of acetic acid is c_{A0} = 492.64*1000/(60*1100.93) = 7.45 mol/L. The initial concentration of ethanol is c_{B0} = 377.18*1000/(46*1100.93)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}{k1*(1-x_{A})*(c_{B0}-c_{A0}*x_{A})-\frac{c_{A0}*x_{A}*x_{A}}{kc}}=99.68 h. Theoretical volume is v=99.68*1100.93=109646.39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</si>
  <si>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234.55 kg/h. The mass flow rate of ethanol required per hour is m_B = 3.9*46 = 179.7 kg/h. The total volumetric feed flow rate is q_raw = (234.55+179.7)*1000/0.93 = 431.43 L/h. The initial concentration of acetic acid is c_{A0} = 234.55*1000/(60*431.43) = 9.06 mol/L. The initial concentration of ethanol is c_{B0} = 179.7*1000/(46*431.43)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}{k1*(1-x_{A})*(c_{B0}-c_{A0}*x_{A})-\frac{c_{A0}*x_{A}*x_{A}}{kc}}=117.55 h. Theoretical volume is v=117.55*431.43=50756.19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</si>
  <si>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1.22 kmol/h. According to the chemical reaction equation, the mass flow rate of acetic acid required per hour is m_A = 1.22*60 = 73.33 kg/h. The mass flow rate of ethanol required per hour is m_B = 1.22*46 = 56.03 kg/h. The total volumetric feed flow rate is q_raw = (73.33+56.03)*1000/1.14 = 122.85 L/h. The initial concentration of acetic acid is c_{A0} = 73.33*1000/(60*122.85) = 10.75 mol/L. The initial concentration of ethanol is c_{B0} = 56.03*1000/(46*122.85)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x)}=32.69 h. Theoretical volume is v=32.69*122.85=3990.18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</si>
  <si>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3.53 kmol/h. According to the chemical reaction equation, the mass flow rate of acetic acid required per hour is m_A = 3.53*60 = 212.05 kg/h. The mass flow rate of ethanol required per hour is m_B = 3.53*46 = 162.57 kg/h. The total volumetric feed flow rate is q_raw = (212.05+162.57)*1000/0.86 = 444.05 L/h. The initial concentration of acetic acid is c_{A0} = 212.05*1000/(60*444.05) = 8.11 mol/L. The initial concentration of ethanol is c_{B0} = 162.57*1000/(46*444.05)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}{k1*(1-x_{A})*(c_{B0}-c_{A0}*x_{A})-\frac{c_{A0}*x_{A}*x_{A}}{kc}}=103.55 h. Theoretical volume is v=103.55*444.05=45244.99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</si>
  <si>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Q_{0}=(736+736)/1.14=1297.42 m^3/h. Initial concentration of ethyl acetate: c_{A0}=736*1000/(76*1297.42)=7.57 mol/L. Initial concentration of sodium hydroxide: c_{B0}=736*1000*1/(40*1297.42)=14.37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v=0.05*1297.42=70.84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</si>
  <si>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Q_{0}=(817+817)/1.77=896.92 m^3/h. Initial concentration of ethyl acetate: c_{A0}=817*1000/(76*896.92)=12.37 mol/L. Initial concentration of sodium hydroxide: c_{B0}=817*1000*1/(40*896.92)=23.5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v=0.09*896.92=82.72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</si>
  <si>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Q_{0}=(815+815)/1.55=1090.41 m^3/h. Initial concentration of ethyl acetate: c_{A0}=815*1000/(76*1090.41)=9.54 mol/L. Initial concentration of sodium hydroxide: c_{B0}=815*1000*1/(40*1090.41)=18.12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v=0.11*1090.41=117.65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</si>
  <si>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1033.19 L/h. The initial concentration of acetic acid is c_{A0} = 634.09*1000/(60*1033.19) = 10.09 mol/L. The initial concentration of ethanol is c_{B0} = 486.14*1000/(46*1033.19)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x)}=32.5 h. Theoretical volume is v=32.5*1033.19=33612.89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</si>
  <si>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4.859 kmol/h. According to the chemical reaction equation, the mass flow rate of acetic acid required per hour is m_A = 4.859*60 = 291.15 kg/h. The mass flow rate of ethanol required per hour is m_B = 4.859*46 = 222.73 kg/h. The total volumetric feed flow rate is q_raw = (291.15+222.73)*1000/0.85 = 616.34 L/h. The initial concentration of acetic acid is c_{A0} = 291.15*1000/(60*616.34) = 8.02 mol/L. The initial concentration of ethanol is c_{B0} = 222.73*1000/(46*616.34)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}{k1*(1-x_{A})*(c_{B0}-c_{A0}*x_{A})-\frac{c_{A0}*x_{A}*x_{A}}{kc}}=103.55 h. Theoretical volume is v=103.55*616.34=63516.81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</si>
  <si>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88.4 kg/kmol. The molar flow rate of ethyl acetate required per hour is n_product = 886/88.4 = 10.18 kmol/h. According to the chemical reaction equation, the mass flow rate of acetic acid required per hour is m_A = 10.18*60 = 609.64 kg/h. The mass flow rate of ethanol required per hour is m_B = 10.18*46 = 467.35 kg/h. The total volumetric feed flow rate is q_raw = (609.64+467.35)*1000/0.95 = 1128.04 L/h. The initial concentration of acetic acid is c_{A0} = 609.64*1000/(60*1128.04) = 8.96 mol/L. The initial concentration of ethanol is c_{B0} = 467.35*1000/(46*1128.04)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}{k1*(1-x_{A})*(c_{B0}-c_{A0}*x_{A})-\frac{c_{A0}*x_{A}*x_{A}}{kc}}=116.25 h. Theoretical volume is v=116.25*1128.04=132188.23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</si>
  <si>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8.57 kmol/h. According to the chemical reaction equation, the mass flow rate of acetic acid required per hour is m_A = 8.57*60 = 514.09 kg/h. The mass flow rate of ethanol required per hour is m_B = 8.57*46 = 398.14 kg/h. The total volumetric feed flow rate is q_raw = (514.09+398.14)*1000/1.01 = 891.24 L/h. The initial concentration of acetic acid is c_{A0} = 514.09*1000/(60*891.24) = 9.53 mol/L. The initial concentration of ethanol is c_{B0} = 398.14*1000/(46*891.24)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}{k1*(1-x_{A})*(c_{B0}-c_{A0}*x_{A})-\frac{c_{A0}*x_{A}*x_{A}}{kc}}=117.83 h. Theoretical volume is v=117.83*891.24=105112.55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</si>
  <si>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2.07 kmol/h. According to the chemical reaction equation, the mass flow rate of acetic acid required per hour is m_A = 2.07*60 = 124.09 kg/h. The mass flow rate of ethanol required per hour is m_B = 2.07*46 = 95.14 kg/h. The total volumetric feed flow rate is q_raw = (124.09+95.14)*1000/1.0 = 219.33 L/h. The initial concentration of acetic acid is c_{A0} = 124.09*1000/(60*219.33) = 9.43 mol/L. The initial concentration of ethanol is c_{B0} = 95.14*1000/(46*219.33)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}{k1*(1-x_{A})*(c_{B0}-c_{A0}*x_{A})-\frac{c_{A0}*x_{A}*x_{A}}{kc}}=124.09
Theoretical volume is v=124.09*219.33=27350.52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</si>
  <si>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378.34 L/h. The initial concentration of acetic acid is c_{A0} = 234.55*1000/(60*378.34) = 9.91 mol/L. The initial concentration of ethanol is c_{B0} = 179.82*1000/(46*378.34)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x)}=10.32 h. Theoretical volume is v=10.32*378.34=3834.46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</si>
  <si>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kkmol/h. According to the chemical reaction equation, the mass flow rate of acetic acid required per hour is m_A = 3.0*60 = 180.0 kg/h. The mass flow rate of ethanol required per hour is m_B = 3.0*46 = 138.0 kg/h. The total volumetric feed flow rate is q_raw = (180.0+138.0)*1000/0.95 = 343.96 L/h. The initial concentration of acetic acid is c_{A0} = 180.0*1000/(60*343.96) = 8.96 mol/L. The initial concentration of ethanol is c_{B0} = 138.0*1000/(46*343.96)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}{k1*(1-x_{A})*(c_{B0}-c_{A0}*x_{A})-\frac{c_{A0}*x_{A}*x_{A}}{kc}}=116.79 h. Theoretical volume is v=116.79*343.96=39745.61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</si>
  <si>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2.39 kmol/h. According to the chemical reaction equation, the mass flow rate of acetic acid required per hour is m_A = 2.39*60 = 143.18 kg/h. The mass flow rate of ethanol required per hour is m_B = 2.39*46 = 109.17 kg/h. The total volumetric feed flow rate is q_raw = (143.18+109.17)*1000/0.93 = 262.45 L/h. The initial concentration of acetic acid is c_{A0} = 143.18*1000/(60*262.45) = 8.77 mol/L. The initial concentration of ethanol is c_{B0} = 109.17*1000/(46*262.45)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}{k1*(1-x_{A})*(c_{B0}-c_{A0}*x_{A})-\frac{c_{A0}*x_{A}*x_{A}}{kc}}=113.38 h. Theoretical volume is v=113.38*262.45=29336.86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</si>
  <si>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(530.45+406.68)*1000/0.84 = 1123.98 L/h. The initial concentration of acetic acid is c_{A0} = 530.45*1000/(60*1123.98) = 7.92 mol/L. The initial concentration of ethanol is c_{B0} = 406.68*1000/(46*1123.98)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x)}=32.16 h. Theoretical volume is v=32.16*1123.98=36350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</si>
  <si>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468.Lung. The initial concentration of acetic acid is c_{A0} = 235.23*1000/(60*468Lung) = 7.62 mol/L. The initial concentration of ethanol is c_{B0} = 180.34*1000/(46*468Lung) = 7.62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}{k1*(1-x_{A})*(c_{B0}-c_{A0}*x_{A})-\frac{c_{A0}*x_{A}*x_{A}}{kc}}=99.56 h. Theoretical volume is v=99.56*468Lung=46102.9 Lung=46102.9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</si>
  <si>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</si>
  <si>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(530.45+406.68)*1000/1.18 = 797.09 L/h. The initial concentration of acetic acid is c_{A0} = 530.45*1000/(60*797.09) = 11.13 mol/L. The initial concentration of ethanol is c_{B0} = 406.68*1000/(46*797.09)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x)}=37.65 h. Theoretical volume is v=37.65*797.09=29865.07 l.After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</si>
  <si>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222.35 L/h. The initial concentration of acetic acid is c_{A0} = 117.27*1000/(60*222.35) = 8.77 mol/L. The initial concentration of ethanol is c_{B0} = 89.91*1000/(46*222.35)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v=112.78*222.35=24943.94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</si>
  <si>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831.67 L/h. The initial concentration of acetic acid is c_{A0} = 431.59*1000/(60*831.67) = 8.58 mol/L. The initial concentration of ethanol is c_{B0} = 330.89*1000/(46*831.67)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}{k1*(1-x_{A})*(c_{B0}-c_{A0}*x_{A})-\frac{c_{A0}*x_{A}*x_{A}}{kc}}=104.13 h. Theoretical volume is v=104.13*831.67=87950.8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</si>
  <si>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588.58 L/h. The initial concentration of acetic acid is c_{A0} = 360.68*1000/(60*588.58) = 10.09 mol/L. The initial concentration of ethanol is c_{B0} = 276.52*1000/(46*588.58)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x)}=51.42 h. Theoretical volume is v=51.42*588.58=29549.38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</si>
  <si>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</si>
  <si>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88.94 kg/h. The total volumetric feed flow rate is q_raw = (115.23+88.94)*1000/1.01 = 203.33 L/h. The initial concentration of acetic acid is c_{A0} = 115.23*1000/(60*203.33) = 9.53 mol/L. The initial concentration of ethanol is c_{B0} = 88.94*1000/(46*203.33)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}{k1*(1-x_{A})*(c_{B0}-c_{A0}*x_{A})-\frac{c_{A0}*x_{A}*x_{A}}{kc}}=115.23[1-x_{A}]_0^x_{f}=115.23*(1-1) - 115.23*0 = 0
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</si>
  <si>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The molar mass of acetic acid is 60 kg/kmol, ethanol is 46 kg/kmol, and ethyl acetate is 88 kg/kmol. The molar flow rate of ethyl acetate required per hour is n_product = 128/88 = 1.47 kmol/h. According to the chemical reaction equation, the mass flow rate of acetic acid required per hour is m_A = 1.47*60 = 87.95 kg/h. The mass flow rate of ethanol required per hour is m_B = 1.47*46 = 67.43 kg/h. The total volumetric feed flow rate is q_raw = (87.95+67.43)*1000/1.15 = 128.e-1 = 128 L/h. The initial concentration of acetic acid is c_{A0} = 87.95*1000/(60*128) = 10.31 mol/L. The initial concentration of ethanol is c_{B0} = 67.43*1000/(46*128) = 10.31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}{k1*(1-x_{A})*(c_{B0}-c_{A0}*x_{A})-\frac{c_{A0}*x_{A}*x_{A}}{kc}}=136.47 h. Theoretical volume is v=136.47*128=17503.13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</si>
  <si>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7.26 kmol/h. According to the chemical reaction equation, the mass flow rate of acetic acid required per hour is m_A = 7.26*60 = 435.68 kg/h. The mass flow rate of ethanol required per hour is m_B = 7.26*46 = 334.02 kg/h. The total volumetric feed flow rate is q_raw = (435.68+334.02)*1000/0.8 = 978.29 L/h. The initial concentration of acetic acid is c_{A0} = 435.68*1000/(60*978.29) = 7.55 mol/L. The initial concentration of ethanol is c_{B0} = 334.02*1000/(46*978.29)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x)}=35.39 h. Theoretical volume is v=35.39*978.29=35200.56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</si>
  <si>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 kmol/h. According to the chemical reaction equation, the mass flow rate of acetic acid required per hour is m_A = 5.6*60 = 336.14 kg/h. The mass flow rate of ethanol required per hour is m_B = 5.6*46 = 257.7 kg/h. The total volumetric feed flow rate is q_raw = (336.14+257.7)*1000/0.85 = 682.21 L/h. The initial concentration of acetic acid is c_{A0} = 336.14*1000/(60*682.21) = 8.02 mol/L. The initial concentration of ethanol is c_{B0} = 257.7*1000/(46*682.21)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x)}=47.47 h. Theoretical volume is v=47.47*682.21=32592.85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</si>
  <si>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788.67 L/h. The initial concentration of acetic acid is c_{A0} = 473.86*1000/(60*788.67) = 9.91 mol/L. The initial concentration of ethanol is c_{B0} = 363.3*1000/(46*788.67)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x)}=3.36 h. Theoretical volume is v=3.36*788.67=2672.92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</si>
  <si>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7.63 kmol/h. According to the chemical reaction equation, the mass flow rate of acetic acid required per hour is m_A = 7.63*60 = 457.77 kg/h. The mass flow rate of ethanol required per hour is m_B = 7.63*46 = 350.16 kg/h. The total volumetric feed flow rate is q_raw = (457.77+350.16)*1000/0.99 = 808.74 L/h. The initial concentration of acetic acid is c_{A0} = 457.77*1000/(60*808.74) = 9.34 mol/L. The initial concentration of ethanol is c_{B0} = 350.16*1000/(46*808.74)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}{k1*(1-x_{A})*(c_{B0}-c_{A0}*x_{A})-\frac{c_{A0}*x_{A}*x_{A}}{kc}}=123.38 h. Theoretical volume is v=123.38*808.74=100352.35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</si>
  <si>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7.63 kmol/h. According to the chemical reaction equation, the mass flow rate of acetic acid required per hour is m_A = 7.63*60 = 457.77 kg/h. The mass flow rate of ethanol required per hour is m_B = 7.63*46 = 350.16 kg/h. The total volumetric feed flow rate is q_raw = (457.77+350.16)*1000/1.12 = 704.63 L/h. The initial concentration of acetic acid is c_{A0} = 457.77*1000/(60*704.63) = 10.57 mol/L. The initial concentration of ethanol is c_{B0} = 350.16*1000/(46*704.63)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 h. Theoretical volume is v=35.3*704.63=24990.07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</si>
  <si>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10.48 kmol/h. According to the chemical reaction equation, the mass flow rate of acetic acid required per hour is m_A = 10.48*60 = 628.64 kg/h. The mass flow rate of ethanol required per hour is m_B = 10.48*46 = 481.95 kg/h. The total volumetric feed flow rate is q_raw = (628.64+481.95)*1000/1.08 = 1017.97 L/h. The initial concentration of acetic acid is c_{A0} = 628.64*1000/(60*1017.97) = 10.19 mol/L. The initial concentration of ethanol is c_{B0} = 481.95*1000/(46*1017.97)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v=136.08*1017.97=139107.76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</si>
  <si>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9.52 kmol/h. According to the chemical reaction equation, the mass flow rate of acetic acid required per hour is m_A = 9.52*60 = 571.36 kg/h. The mass flow rate of ethanol required per hour is m_B = 9.52*46 = 438.05 kg/h. The total volumetric feed flow rate is q_raw = (571.36+438.05)*1000/0.89 = 1123.51 L/h. The initial concentration of acetic acid is c_{A0} = 571.36*1000/(60*1123.51) = 8.4 mol/L. The initial concentration of ethanol is c_{B0} = 438.05*1000/(46*1123.51)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x)}=18.27 h. Theoretical volume is v=18.27*1123.51=204ળી.After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</si>
  <si>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1100.86 L/h. The initial concentration of acetic acid is c_{A0} = 492.27*1000/(60*1100.86) = 7.45 mol/L. The initial concentration of ethanol is c_{B0} = 377.41*1000/(46*1100.86)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}{k1*(1-x_{A})*(c_{B0}-c_{A0}*x_{A})-\frac{c_{A0}*x_{A}*x_{A}}{kc}}=96.32 h. Theoretical volume is v=96.32*1100.86=106037.29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</si>
  <si>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3.92 kmol/h. According to the chemical reaction equation, the mass flow rate of acetic acid required per hour is m_A = 3.92*60 = 235.23 kg/h. The mass flow rate of ethanol required per hour is m_B = 3.92*46 = 180.34 kg/h. The total volumetric feed flow rate is q_raw = (235.23+180.34)*1000/0.93 = 445.04 L/h. The initial concentration of acetic acid is c_{A0} = 235.23*1000/(60*445.04) = 8.77 mol/L. The initial concentration of ethanol is c_{B0} = 180.34*1000/(46*445.04)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}{k1*(1-x_{A})*(c_{B0}-c_{A0}*x_{A})-\frac{c_{A0}*x_{A}*x_{A}}{kc}}=116.75 h. Theoretical volume is v=116.75*445.04=52215.95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</si>
  <si>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1.39 kmol/h. According to the chemical reaction equation, the mass flow rate of acetic acid required per hour is m_A = 1.39*60 = 83.18 kg/h. The mass flow rate of ethanol required per hour is m_B = 1.39*46 = 64.96 kg/h. The total volumetric feed flow rate is q_raw = (83.18+64.96)*1000/1.05 = 137.39 L/h. The initial concentration of acetic acid is c_{A0} = 83.18*1000/(60*137.39) = 9.91 mol/L. The initial concentration of ethanol is c_{B0} = 64.96*1000/(46*137.39)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x)}=21.15 h. Theoretical volume is v=21.15*137.39=2931.31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</si>
  <si>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Q_{0}=(996+996)/1.19=1712.58 m^3/h. Initial concentration of ethyl acetate: c_{A0}=996*1000/(76*1712.58)=7.83 mol/L. Initial concentration of sodium hydroxide: c_{B0}=996*1000*1/(40*1712.58)=14.88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v=0.08*1712.58=138.94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</si>
  <si>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Q_{0}=(154+154)/1.83=173.67 m^3/h. Initial concentration of ethyl acetate: c_{A0}=154*1000/(76*173.67)=12.17 mol/L. Initial concentration of sodium hydroxide: c_{B0}=154*1000*1/(40*173.67)=23.12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v=0.03*173.67=48.4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</si>
  <si>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Q_{0}=(977+977)/1.63=1191.48 m^3/h. Initial concentration of ethyl acetate: c_{A0}=977*1000/(76*1191.48)=10.72 mol/L. Initial concentration of sodium hydroxide: c_{B0}=977*1000*1/(40*1191.48)=20.38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v=0.04*1191.48=51.35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</si>
  <si>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Q_{0}=(580+580)/1.9=631.1 kmol/h. Initial concentration of ethyl acetate: c_{A0}=580*1000/(76*631.1)=12.25 mol/L. Initial concentration of sodium hydroxide: c_{B0}=580*1000*1/(40*631.1)=23.38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v=0.03*631.1=19.25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</si>
  <si>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Q_{0}=(371+371)/1.7=424.48 m^3/h. Initial concentration of ethyl acetate: c_{A0}=371*1000/(76*424.48)=11.38 mol/L. Initial concentration of sodium hydroxide: c_{B0}=371*1000*1/(40*424.48)=21.62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v=0.02*424.48=7.63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</si>
  <si>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Q_{0}=(183+183)/1.01=363.11 m^3/h. Initial concentration of ethyl acetate: c_{A0}=183*1000/(76*363.11)=6.78 mol/L. Initial concentration of sodium hydroxide: c_{B0}=183*1000*1/(40*363.11)=12.88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v=0.03*363.11=9.96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</si>
  <si>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Q_{0}=(721+721)/1.64=897.05 m^3/h. Initial concentration of ethyl acetate: c_{A0}=721*1000/(76*897.05)=10.72 mol/L. Initial concentration of sodium hydroxide: c_{B0}=721*1000*1/(40*897.05)=20.38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v=0.05*897.05=42.67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</si>
  <si>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Q_{0}=(418+418)/1.29=648.99 m^3/h. Initial concentration of ethyl acetate: c_{A0}=418*1000/(76*648.99)=8.28 mol/L. Initial concentration of sodium hydroxide: c_{B0}=418*1000*1/(40*648.99)=15.62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v=0.03*648.99=17.38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</si>
  <si>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Q_{0}=(996+996)/1.75=1148.87 m^3/h. Initial concentration of ethyl acetate: c_{A0}=996*1000/(76*1148.87)=11.45 mol/L. Initial concentration of sodium hydroxide: c_{B0}=996*1000*1/(40*1148.87)=21.75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v=0.02*1148.87=22.25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</si>
  <si>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Q_{0}=(746+746)/1.49=1000.74 m^3/h. Initial concentration of ethyl acetate: c_{A0}=746*1000/(76*1000.74)=9.87 mol/L. Initial concentration of sodium hydroxide: c_{B0}=746*1000*1/(40*1000.74)=18.75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v=0.03*1000.74=9.97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</si>
  <si>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Q_{0}=(844+844)/1.82=893.74 m^3/h. Initial concentration of ethyl acetate: c_{A0}=844*1000/(76*893.74)=12.5 mol/L. Initial concentration of sodium hydroxide: c_{B0}=844*1000*1/(40*893.74)=23.75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v=0.01*893.74=10.78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</si>
  <si>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Q_{0}=(152+152)/1.87=162.81 m^3/h. Initial concentration of ethyl acetate: c_{A0}=152*1000/(76*162.81)=12.17 mol/L. Initial concentration of sodium hydroxide: c_{B0}=152*1000*1/(40*162.81)=23.13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v=0.1*162.81=17.67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</si>
  <si>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Q_{0}=(597+597)/1.47=804.25 m^3/h. Initial concentration of ethyl acetate: c_{A0}=597*1000/(76*804.25)=10.39 mol/L. Initial concentration of sodium hydroxide: c_{B0}=597*1000*1/(40*804.25)=19.75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v=0.1*804.25=79.55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</si>
  <si>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Q_{0}=(387+387)/1.33=603.62 m^3/h. Initial concentration of ethyl acetate: c_{A0}=387*1000/(76*603.62)=8.24 mol/L. Initial concentration of sodium hydroxide: c_{B0}=387*1000*1/(40*603.62)=15.62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v=0.03*603.62=17.52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</si>
  <si>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Q_{0}=(370+370)/1.3=572.37 m^3/h. Initial concentration of ethyl acetate: c_{A0}=370*1000/(76*572.37)=9.01 mol/L. Initial concentration of sodium hydroxide: c_{B0}=370*1000*1/(40*572.37)=17.13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v=0.03*572.37=17.45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</si>
  <si>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Q_{0}=(418+418)/1.45=568.97 m^3/h. Initial concentration of ethyl acetate: c_{A0}=418*1000/(76*568.97)=9.87 mol/L. Initial concentration of sodium hydroxide: c_{B0}=418*1000*1/(40*568.97)=18.75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v=0.02*568.97=9.92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</si>
  <si>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Q_{0}=(849+849)/1.55=1106.9 m^3/h. Initial concentration of ethyl acetate: c_{A0}=849*1000/(76*1106.9)=10.39 mol/L. Initial concentration of sodium hydroxide: c_{B0}=849*1000*1/(40*1106.9)=19.75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v=0.02*1106.9=17.53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</si>
  <si>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Q_{0}=(206+206)/1.16=357.42 m^3/h. Initial concentration of ethyl acetate: c_{A0}=206*1000/(76*357.42)=7.63 mol/L. Initial concentration of sodium hydroxide: c_{B0}=206*1000*1/(40*357.42)=14.5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v=0.03*357.42=9.89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</si>
  <si>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Q_{0}=(267+267)/1.61=332.05 m^3/h. Initial concentration of ethyl acetate: c_{A0}=267*1000/(76*332.05)=10.2 mol/L. Initial concentration of sodium hydroxide: c_{B0}=267*1000*1/(40*332.05)=19.38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v=0.05*332.05=17.04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</si>
  <si>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Q_{0}=(340+340)/1.23=540.94 m^3/h. Initial concentration of ethyl acetate: c_{A0}=340*1000/(76*540.94)=8.09 mol/L. Initial concentration of sodium hydroxide: c_{B0}=340*1000*1/(40*540.94)=15.38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v=0.04*540.94=20.92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</si>
  <si>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Q_{0}=(640+640)/1.9=693.19 m^3/h. Initial concentration of ethyl acetate: c_{A0}=640*1000/(76*693.19)=12.37 mol/L. Initial concentration of sodium hydroxide: c_{B0}=640*1000*1/(40*693.19)=23.5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v=0.02*693.19=13.49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</si>
  <si>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Q_{0}=(675+675)/1.37=979.11 m^3/h. Initial concentration of ethyl acetate: c_{A0}=675*1000/(76*979.11)=9.01 mol/L. Initial concentration of sodium hydroxide: c_{B0}=675*1000*1/(40*979.11)=17.13 mol/L. The concentration of chloroethanol: c_{A}=c_{A0}*(1-x). The concentration of sodium bicarbonate: c_{B}=c_{B0}-c_{A0}*x. Reaction time obtained through integral calculation: t=\frac{c_{A0} \cdot x_{f}}{r_{A}}=\frac{c_{A0} \cdot x_{f}}{k \cdot c_{A} \cdot c_{B}}=\frac{x_{f}}{k \cdot (1-x_{A}) \cdot (c_{B0}-c_{A0} \cdot x_{A})}=0.79 h. Theoretical volume is v=0.79*979.11=76ales.After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</si>
  <si>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Q_{0}=(46+46)/1.47=63.69 m^3/h. Initial concentration of ethyl acetate: c_{A0}=46*1000/(76*63.69)=9.08 mol/L. Initial concentration of sodium hydroxide: c_{B0}=46*1000*1/(40*63.69)=17.25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v=0.02*63.69=1.41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</si>
  <si>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Q_{0}=(765+765)/1.16=1330.38 m^3/h. Initial concentration of ethyl acetate: c_{A0}=765*1000/(76*1330.38)=7.57 mol/L. Initial concentration of sodium hydroxide: c_{B0}=765*1000*1/(40*1330.38)=14.37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v=0.08*1330.38=102.59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</si>
  <si>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Q_{0}=(815+815)/1.51=1090.27 m^3/h. Initial concentration of ethyl acetate: c_{A0}=815*1000/(76*1090.27)=10.13 mol/L. Initial concentration of sodium hydroxide: c_{B0}=815*1000*1/(40*1090.27)=19.25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v=0.11*1090.27=118.61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</si>
  <si>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Q_{0}=(846+846)/1.27=1321.79 m^3/h. Initial concentration of ethyl acetate: c_{A0}=846*1000/(76*1321.79)=8.49 mol/L. Initial concentration of sodium hydroxide: c_{B0}=846*1000*1/(40*1321.79)=16.12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v=0.02*1321.79=27.38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</si>
  <si>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Q_{0}=(869+869)/1.63=1069.11 m^3/h. Initial concentration of ethyl acetate: c_{A0}=869*1000/(76*1069.11)=10.64 mol/L. Initial concentration of sodium hydroxide: c_{B0}=869*1000*1/(40*1069.11)=20.0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v=0.06*1069.11=65.01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</si>
  <si>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130/62=2.12kmol/h. Hourly required chloroethanol: 2.12*80.5/(0.76*0.12)=1590.05kg/h. Hourly required sodium bicarbonate: 2.12*84*3.6/(0.76*0.34)=2575.84kg/h. Raw material volumetric flow rate: Q_{0}=(1590.05+2575.84)/1.04=3830.23L/h. Initial concentration of chloroethanol: c_{A0}=2.12*1000/(0.76*3830.23)=0.78mol/L. Initial concentration of sodium bicarbonate: c_{B0}=2.12*1000*3.6/(0.76*3830.23)=2.7mol/L. The concentration of chloroethanol: c_{A}=c_{A0}*(1-x). The concentration of sodium bicarbonate: c_{B}=c_{B0}-c_{A0}*x. Reaction time obtained through integral calculation: t=\int_{0}^{x_{f} } \frac{c_{A0}dx_{A} }{r_{A}}=\int_{0}^{x_{f} } \frac{c_{A0}dx_{A} }{k*c_{A}*c_{B}}=\int_{0}^{x_{f} } \frac{dx_{A} }{k*(1-x_{A})*(c_{B0}-c_{A0}*x_{A})}=0.12 l. Theoretical volume is v=0.12*3830.23=471.8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</si>
  <si>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7.31*80.5/(0.81*0.18)=4070.23kg/h. Hourly required sodium bicarbonate: 7.31*84*3.8/(0.81*0.23)=13782.25kg/h. Raw material volumetric flow rate: Q_{0}=(4070.23+13782.25)/1.57=11108.76L/h. Initial concentration of chloroethanol: c_{A0}=7.31*1000/(0.81*11108.76)=0.87mol/L. Initial concentration of sodium bicarbonate: c_{B0}=7.31*1000*3.8/(0.81*11108.76)=3.17mol/L.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v=0.11*11108.76=1227.96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</si>
  <si>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602/62=9.68kmol/h. Hourly required chloroethanol: 9.68*80.5/(0.87*0.31)=2823.36kg/h. Hourly required sodium bicarbonate: 9.68*84*1.0/(0.87*0.37)=2453.66kg/h. Raw material volumetric flow rate: Q_{0}=(2823.36+2453.66)/1.59=3359.77L/h. Initial concentration of chloroethanol: c_{A0}=9.68*1000/(0.87*3359.77)=3.11mol/L. Initial concentration of sodium bicarbonate: c_{B0}=9.68*1000*1.0/(0.87*3359.77)=3.11mol/L.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v=0.09*3359.77=300.67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</si>
  <si>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13.16*80.5/(0.95*0.4)=2961.93kg/h. Hourly required sodium bicarbonate: 13.16*84*2.9/(0.95*0.45)=7231.39kg/h. Raw material volumetric flow rate: Q_{0}=(2961.93+7231.39)/1.31=7291.43L/h. Initial concentration of chloroethanol: c_{A0}=13.16*1000/(0.95*7291.43)=2.03mol/L. Initial concentration of sodium bicarbonate: c_{B0}=13.16*1000*2.9/(0.95*7291.43)=6.5mol/L.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v=0.14*7291.43=1036.47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</si>
  <si>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464/62=7.47kmol/h. Hourly required chloroethanol: 7.47*80.5/(0.72*0.05)=16116.8kg/h. Hourly required sodium bicarbonate: 7.47*84*3.3/(0.72*0.23)=10576.76kg/h. Raw material volumetric flow rate: Q_{0}=(16116.8+10576.76)/1.41=19329.4L/h. Initial concentration of chloroethanol: c_{A0}=7.47*1000/(0.72*19329.4)=0.55mol/L. Initial concentration of sodium bicarbonate: c_{B0}=7.47*1000*3.3/(0.72*19329.4)=1.88mol/L.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v=0.14*19329.4=2735.67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</si>
  <si>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867/62=14.15kmol/h. Hourly required chloroethanol: 14.15*80.5/(0.85*0.37)=3551.66kg/h. Hourly required sodium bicarbonate: 14.15*84*4.0/(0.85*0.42)=12826.8kg/h. Raw material volumetric flow rate: Q_{0}=(3551.66+12826.8)/1.48=11176.3L/h. Initial concentration of chloroethanol: c_{A0}=14.15*1000/(0.85*11176.3)=1.45mol/L. Initial concentration of sodium bicarbonate: c_{B0}=14.15*1000*4.0/(0.85*11176.3)=5.7mol/L.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v=0.06*11176.3=589.16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</si>
  <si>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7.21*80.5/(0.86*0.1)=6440.79kg/h. Hourly required sodium bicarbonate: 7.21*84*1.1/(0.86*0.12)=6094.12kg/h. Raw material volumetric flow rate: Q_{0}=(6440.79+6094.12)/1.93=6351.53L/h. Initial concentration of chloroethanol: c_{A0}=7.21*1000/(0.86*6351.53)=1.47mol/L. Initial concentration of sodium bicarbonate: c_{B0}=7.21*1000*1.1/(0.86*6351.53)=1.64mol/L.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v=0.26*6351.53=1581.33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</si>
  <si>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182/62=2.9kmol/h. Hourly required chloroethanol: 2.9*80.5/(0.7*0.23)=1342.24kg/h. Hourly required sodium bicarbonate: 2.9*84*1.4/(0.7*0.43)=729.6kg/h. Raw material volumetric flow rate: Q_{0}=(1342.24+729.6)/1.47=1586.86L/h. Initial concentration of chloroethanol: c_{A0}=2.9*1000/(0.7*1586.86)=2.9mol/L. Initial concentration of sodium bicarbonate: c_{B0}=2.9*1000*1.4/(0.7*1586.86)=3.72mol/L.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v=0.16*1586.86=249.97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</si>
  <si>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1.85*80.5/(0.84*0.49)=388.35kg/h. Hourly required sodium bicarbonate: 1.85*84*2.4/(0.84*0.5)=888.18kg/h. Raw material volumetric flow rate: Q_{0}=(388.35+888.18)/1.15=1028.09L/h. Initial concentration of chloroethanol: c_{A0}=1.85*1000/(0.84*1028.09)=1.99mol/L. Initial concentration of sodium bicarbonate: c_{B0}=1.85*1000*2.4/(0.84*1028.09)=4.78mol/L.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v=0.22*1028.09=233.39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</si>
  <si>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782/62=12.5kmol/h. Hourly required chloroethanol: 12.5*80.5/(0.76*0.1)=13912.5kg/h. Hourly required sodium bicarbonate: 12.5*84*1.9/(0.76*0.47)=5878.29kg/h. Raw material volumetric flow rate: Q_{0}=(13912.5+5878.29)/1.91=10467.59L/h. Initial concentration of chloroethanol: c_{A0}=12.5*1000/(0.76*10467.59)=1.49mol/L. Initial concentration of sodium bicarbonate: c_{B0}=12.5*1000*1.9/(0.76*10467.59)=2.64mol/L.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v=0.12*10467.59=1260.91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</si>
  <si>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7.74*80.5/(0.9*0.09)=7561.08kg/h. Hourly required sodium bicarbonate: 7.74*84*3.8/(0.9*0.26)=11945.44kg/h. Raw material volumetric flow rate: Q_{0}=(7561.08+11945.44)/1.55=12486.66L/h. Initial concentration of chloroethanol: c_{A0}=7.74*1000/(0.9*12486.66)=0.72mol/L. Initial concentration of sodium bicarbonate: c_{B0}=7.74*1000*3.8/(0.9*12486.66)=2.65mol/L.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v=0.16*12486.66=2009.06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</si>
  <si>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604/62=9.73kmol/h. Hourly required chloroethanol: 9.73*80.5/(0.98*0.26)=3498.51kg/h. Hourly required sodium bicarbonate: 9.73*84*1.8/(0.98*0.36)=4450.05kg/h. Raw material volumetric flow rate: Q_{0}=(3498.51+4450.05)/1.21=6540.42L/h. Initial concentration of chloroethanol: c_{A0}=9.73*1000/(0.98*6540.42)=1.68mol/L. Initial concentration of sodium bicarbonate: c_{B0}=9.73*1000*1.8/(0.98*6540.42)=3.22mol/L. The concentration of chloroethanol: c_{A}=c_{A0}*(1-x). The concentration of sodium bicarbonate: c_{B}=c_{B0}-c_{A0}*x. Reaction time obtained through integral calculation: t=\int_{0}^{x_{f} } \frac{c_{A0}dx_{A} }{r_{A}}=\int_{0}^{x_{f} } \frac{c_{A0}dx_{A} }{k*c_{A}*c_{B}}=\int_{0}^{x_{f} } \frac{dx_{A} }{k*(1-x_{A})*(c_{B0}-c_{A0}*x_{A})}=0.22 h. Theoretical volume is v=0.22*6540.42=1481.32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</si>
  <si>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7.11*80.5/(0.79*0.17)=4216.13kg/h. Hourly required sodium bicarbonate: 7.11*84*1.7/(0.79*0.22)=2968.5kg/h. Raw material volumetric flow rate: Q_{0}=(4216.13+2968.5)/1.32=5377.56L/h. Initial concentration of chloroethanol: c_{A0}=7.11*1000/(0.79*5377.56)=1.53mol/L. Initial concentration of sodium bicarbonate: c_{B0}=7.11*1000*1.7/(0.79*5377.56)=2.69mol/L. The concentration of chloroethanol: c_{A}=c_{A0}*(1-x). The concentration of sodium bicarbonate: c_{B}=c_{B0}-c_{A0}*x. Reaction time obtained through integral calculation: t=\frac{c_{A0}*x_{f}}{r_{A}}=\frac{c_{A0}*x_{f}}{k*c_{A}*c_{B}}=\frac{x_{f}}{k*(1-x_{A})*(c_{B0}-c_{A0}*x_{A})}=0.39 h. Theoretical volume is v=0.39*5377.56=2083.4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</si>
  <si>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10.74*80.5/(0.9*0.15)=6556.56kg/h. Hourly required sodium bicarbonate: 10.74*84*1.4/(0.9*0.24)=6214.93kg/h. Raw material volumetric flow rate: Q_{0}=(6556.56+6214.93)/1.46=8949.77L/h. Initial concentration of chloroethanol: c_{A0}=10.74*1000/(0.9*8949.77)=1.4mol/L. Initial concentration of sodium bicarbonate: c_{B0}=10.74*1000*1.4/(0.9*8949.77)=1.95mol/L. The concentration of chloroethanol: c_{A}=c_{A0}*(1-x). The concentration of sodium bicarbonate: c_{B}=c_{B0}-c_{A0}*x. Reaction time obtained through integral calculation: t=\int_{0}^{x_{f} } \frac{c_{A0}dx_{A} }{r_{A}}=\int_{0}^{x_{f} } \frac{c_{A0}dx_{A} }{k*c_{A}*c_{B}}=\int_{0}^{x_{f} } \frac{dx_{A} }{k*(1-x_{A})*(c_{B0}-c_{A0}*x_{A})}=0.44 h. Theoretical volume is v=0.44*8949.77=3910.58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</si>
  <si>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792/62=12.81kmol/h. Hourly required chloroethanol: 12.81*80.5/(0.92*0.31)=3635.08kg/h. Hourly required sodium bicarbonate: 12.81*84*2.3/(0.92*0.45)=6335.21kg/h. Raw material volumetric flow rate: Q_{0}=(3635.08+6335.21)/1.8=5704.37L/h. Initial concentration of chloroethanol: c_{A0}=12.81*1000/(0.92*5704.37)=2.3mol/L. Initial concentration of sodium bicarbonate: c_{B0}=12.81*1000*2.3/(0.92*5704.37)=5.26mol/L. The concentration of chloroethanol: c_{A}=c_{A0}*(1-x). The concentration of sodium bicarbonate: c_{B}=c_{B0}-c_{A0}*x. Reaction time obtained through integral calculation: t=\int_{0}^{x_{f} } \frac{c_{A0}dx_{A} }{r_{A}}=\int_{0}^{x_{f} } \frac{c_{A0}dx_{A} }{k*c_{A}*c_{B}}=\int_{0}^{x_{f} } \frac{dx_{A} }{k*(1-x_{A})*(c_{B0}-c_{A0}*x_{A})}=0.1 h. Theoretical volume is v=0.1*5704.37=553.27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</si>
  <si>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411/62=6.66kmol/h. Hourly required chloroethanol: 6.66*80.5/(0.74*0.15)=4735.21kg/h. Hourly required sodium bicarbonate: 6.66*84*2.6/(0.74*0.45)=3019.22kg/h. Raw material volumetric flow rate: Q_{0}=(4735.21+3019.22)/1.32=5672.84L/h. Initial concentration of chloroethanol: c_{A0}=6.66*1000/(0.74*5672.84)=1.6mol/L. Initial concentration of sodium bicarbonate: c_{B0}=6.66*1000*2.6/(0.74*5672.84)=4.13mol/L. The concentration of chloroethanol: c_{A}=c_{A0}*(1-x). The concentration of sodium bicarbonate: c_{B}=c_{B0}-c_{A0}*x. Reaction time obtained through integral calculation: t=\int_{0}^{x_{f} } \frac{c_{A0}dx_{A} }{r_{A}}=\int_{0}^{x_{f} } \frac{c_{A0}dx_{A} }{k*c_{A}*c_{B}}=\int_{0}^{x_{f} } \frac{dx_{A} }{k*(1-x_{A})*(c_{B0}-c_{A0}*x_{A})}=0.09 h. Theoretical volume is v=0.09*5672.84=524.87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</si>
  <si>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12.53*80.5/(0.92*0.23)=5158.66kg/h. Hourly required sodium bicarbonate: 12.53*84*4.9/(0.92*0.33)=19190.66kg/h. Raw material volumetric flow rate: Q_{0}=(5158.66+19190.66)/1.33=18176.1L/h. Initial concentration of chloroethanol: c_{A0}=12.53*1000/(0.92*18176.1)=0.79mol/L. Initial concentration of sodium bicarbonate: c_{B0}=12.53*1000*4.9/(0.92*18176.1)=3.82mol/L. The concentration of chloroethanol: c_{A}=c_{A0}*(1-x). The concentration of sodium bicarbonate: c_{B}=c_{B0}-c_{A0}*x. Reaction time obtained through integral calculation: t=\int_{0}^{x_{f} } \frac{c_{A0}dx_{A} }{r_{A}}=\int_{0}^{x_{f} } \frac{c_{A0}dx_{A} }{k*c_{A}*c_{B}}=\int_{0}^{x_{f} } \frac{dx_{A} }{k*(1-x_{A})*(c_{B0}-c_{A0}*x_{A})}=0.2 h. Theoretical volume is v=0.2*18176.1=3608.02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</si>
  <si>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6.19*80.5/(0.84*0.44)=1161.14kg/h. Hourly required sodium bicarbonate: 6.19*84*4.6/(0.84*0.47)=6030.84kg/h. Raw material volumetric flow rate: Q_{0}=(1161.14+6030.84)/1.37=6036.5L/h. Initial concentration of chloroethanol: c_{A0}=6.19*1000/(0.84*6036.5)=1.25mol/L. Initial concentration of sodium bicarbonate: c_{B0}=6.19*1000*4.6/(0.84*6036.5)=5.79mol/L. The concentration of chloroethanol: c_{A}=c_{A0}*(1-x). The concentration of sodium bicarbonate: c_{B}=c_{B0}-c_{A0}*x. Reaction time obtained through integral calculation: t=\frac{c_{A0}*x_{f}}{r_{A}}=\frac{c_{A0}*x_{f}}{k*c_{A}*c_{B}}=\frac{x_{f}}{k*(1-x_{A})*(c_{B0}-c_{A0}*x_{A})}=0.28 h. Theoretical volume is v=0.28*6036.5=1652.38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</si>
  <si>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332/62=5.35kmol/h. Hourly required chloroethanol: 5.35*80.5/(0.73*0.09)=6080.03kg/h. Hourly required sodium bicarbonate: 5.35*84*2.7/(0.73*0.24)=10500.02kg/h. Raw material volumetric flow rate: Q_{0}=(6080.03+10500.02)/1.96=7611.85L/h. Initial concentration of chloroethanol: c_{A0}=5.35*1000/(0.73*7611.85)=0.97mol/L. Initial concentration of sodium bicarbonate: c_{B0}=5.35*1000*2.7/(0.73*7611.85)=2.65mol/L. The concentration of chloroethanol: c_{A}=c_{A0}*(1-x). The concentration of sodium bicarbonate: c_{B}=c_{B0}-c_{A0}*x. Reaction time obtained through integral calculation: t=\frac{c_{A0}*x_{f}}{r_{A}}=\frac{c_{A0}*x_{f}}{k*c_{A}*c_{B}}=\frac{x_{f}}{k*(1-x_{A})*(c_{B0}-c_{A0}*x_{A})}=0.2 h. Theoretical volume is v=0.2*7611.85=1525.32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</si>
  <si>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848/62=13.66kmol/h. Hourly required chloroethanol: 13.66*80.5/(0.87*0.22)=5845.45kg/h. Hourly required sodium bicarbonate: 13.66*84*4.4/(0.87*0.4)=12897.0kg/h. Raw material volumetric flow rate: Q_{0}=(5845.45+12897.0)/1.45=14000.87L/h. Initial concentration of chloroethanol: c_{A0}=13.66*1000/(0.87*14000.87)=1.15mol/L. Initial concentration of sodium bicarbonate: c_{B0}=13.66*1000*4.4/(0.87*14000.87)=5.12mol/L.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v=0.09*14000.87=1186.57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</si>
  <si>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9.61*80.5/(0.84*0.09)=10781.05kg/h. Hourly required sodium bicarbonate: 9.61*84*3.0/(0.84*0.16)=17502.68kg/h. Raw material volumetric flow rate: Q_{0}=(10781.05+17502.68)/1.35=21517.2L/h. Initial concentration of chloroethanol: c_{A0}=9.61*1000/(0.84*21517.2)=0.52mol/L. Initial concentration of sodium bicarbonate: c_{B0}=9.61*1000*3.0/(0.84*21517.2)=1.55mol/L.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v=0.26*21517.2=5739.37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</si>
  <si>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300/62=4.88kmol/h. Hourly required chloroethanol: 4.88*80.5/(0.8*0.25)=1962.36kg/h. Hourly required sodium bicarbonate: 4.88*84*2.1/(0.8*0.47)=2379.3kg/h. Raw material volumetric flow rate: Q_{0}=(1962.36+2379.3)/1.63=2610.73L/h. Initial concentration of chloroethanol: c_{A0}=4.88*1000/(0.8*2610.73)=2.2mol/L. Initial concentration of sodium bicarbonate: c_{B0}=4.88*1000*2.1/(0.8*2610.73)=4.65mol/L.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v=0.14*2610.73=374.88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</si>
  <si>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751/62=12.18kmol/h. Hourly required chloroethanol: 12.18*80.5/(0.96*0.21)=4936.17kg/h. Hourly required sodium bicarbonate: 12.18*84*2.9/(0.96*0.24)=10577.12kg/h. Raw material volumetric flow rate: Q_{0}=(4936.17+10577.12)/1.59=9811.43L/h. Initial concentration of chloroethanol: c_{A0}=12.18*1000/(0.96*9811.43)=1.23mol/L. Initial concentration of sodium bicarbonate: c_{B0}=12.18*1000*2.9/(0.96*9811.43)=3.53mol/L. The concentration of chloroethanol: c_{A}=c_{A0}*(1-x). The concentration of sodium bicarbonate: c_{B}=c_{B0}-c_{A0}*x. Reaction time obtained through integral calculation: t=\int_{0}^{x_{f} } \frac{c_{A0}dx_{A} }{r_{A}}=\int_{0}^{x_{f} } \frac{c_{A0}dx_{A} }{k*c_{A}*c_{B}}=\int_{0}^{x_{f} } \frac{dx_{A} }{k*(1-x_{A})*(c_{B0}-c_{A0}*x_{A})}=0.14 h. Theoretical volume is v=0.14*9811.43=1406.51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</si>
  <si>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587/62=9.46kmol/h. Hourly required chloroethanol: 9.46*80.5/(0.71*0.13)=9090.79kg/h. Hourly required sodium bicarbonate: 9.46*84*5.0/(0.71*0.27)=20761.81kg/h. Raw material volumetric flow rate: Q_{0}=(9090.79+20761.81)/1.78=17044.46L/h. Initial concentration of chloroethanol: c_{A0}=9.46*1000/(0.71*17044.46)=0.75mol/L. Initial concentration of sodium bicarbonate: c_{B0}=9.46*1000*5.0/(0.71*17044.46)=3.75mol/L.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v=0.11*17044.46=1858.27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</si>
  <si>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839/62=13.56kmol/h. Hourly required chloroethanol: 13.56*80.5/(0.98*0.08)=15312.33kg/h. Hourly required sodium bicarbonate: 13.56*84*3.1/(0.98*0.26)=13450.2kg/h. Raw material volumetric flow rate: Q_{0}=(15312.33+13450.2)/1.88=14744.02L/h. Initial concentration of chloroethanol: c_{A0}=13.56*1000/(0.98*14744.02)=0.97mol/L. Initial concentration of sodium bicarbonate: c_{B0}=13.56*1000*3.1/(0.98*14744.02)=3.03mol/L. The concentration of chloroethanol: c_{A}=c_{A0}*(1-x). The concentration of sodium bicarbonate: c_{B}=c_{B0}-c_{A0}*x. Reaction time obtained through integral calculation: t=\frac{c_{A0}*x_{f}}{r_{A}}=\frac{c_{A0}*x_{f}}{k*c_{A}*c_{B}}=\frac{x_{f}}{k*(1-x_{A})*(c_{B0}-c_{A0}*x_{A})}=0.88 h. Theoretical volume is v=0.88*14744.02=12395.86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</si>
  <si>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853/62=13.73kmol/h. Hourly required chloroethanol: 13.73*80.5/(0.96*0.21)=5868.42kg/h. Hourly required sodium bicarbonate: 13.73*84*4.8/(0.96*0.29)=23720.54kg/h. Raw material volumetric flow rate: Q_{0}=(5868.42+23720.54)/1.35=21883.74L/h. Initial concentration of chloroethanol: c_{A0}=13.73*1000/(0.96*21883.74)=0.75mol/L. Initial concentration of sodium bicarbonate: c_{B0}=13.73*1000*4.8/(0.96*21883.74)=3.52mol/L. The concentration of chloroethanol: c_{A}=c_{A0}*(1-x). The concentration of sodium bicarbonate: c_{B}=c_{B0}-c_{A0}*x. Reaction time obtained through integral calculation: t=\int_{0}^{x_{f} } \frac{c_{A0}dx_{A} }{r_{A}}=\int_{0}^{x_{f} } \frac{c_{A0}dx_{A} }{k*c_{A}*c_{B}}=\int_{0}^{x_{f} } \frac{dx_{A} }{k*(1-x_{A})*(c_{B0}-c_{A0}*x_{A})}=0.3 h. Theoretical volume is v=0.3*21883.74=6831.33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</si>
  <si>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5.69*80.5/(0.95*0.13)=4096.92kg/h. Hourly required sodium bicarbonate: 5.69*84*3.9/(0.95*0.22)=1844.19kg/h. Raw material volumetric flow rate: Q_{0}=(4096.92+1844.19)/1.79=3889.19L/h. Initial concentration of chloroethanol: c_{A0}=5.69*1000/(0.95*3889.19)=1.54mol/L. Initial concentration of sodium bicarbonate: c_{B0}=5.69*1000*3.9/(0.95*3889.19)=6.03mol/L. The concentration of chloroethanol: c_{A}=c_{A0}*(1-x). The concentration of sodium bicarbonate: c_{B}=c_{B0}-c_{A0}*x. Reaction time obtained through integral calculation: t=\int_{0}^{x_{f} } \frac{c_{A0}dx_{A} }{r_{A}}=\int_{0}^{x_{f} } \frac{c_{A0}dx_{A} }{k*c_{A}*c_{B}}=\int_{0}^{x_{f} } \frac{dx_{A} }{k*(1-x_{A})*(c_{B0}-c_{A0}*x_{A})}=0.18 h. Theoretical volume is v=0.18*3889.19=707.81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</si>
  <si>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10.5*80.5/(0.94*0.21)=4409.88kg/h. Hourly required sodium bicarbonate: 10.5*84*3.1/(0.94*0.38)=8378.45kg/h. Raw material volumetric flow rate: Q_{0}=(4409.88+8378.45)/1.97=6036.81L/h. Initial concentration of chloroethanol: c_{A0}=10.5*1000/(0.94*6036.81)=2.04mol/L. Initial concentration of sodium bicarbonate: c_{B0}=10.5*1000*3.1/(0.94*6036.81)=6.28mol/L.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v=0.14*6036.81=843.58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</si>
  <si>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3.9*80.5/(0.9*0.25)=1528.41kg/h. Hourly required sodium bicarbonate: 3.9*84*1.5/(0.9*0.33)=2711.78kg/h. Raw material volumetric flow rate: Q_{0}=(1528.41+2711.78)/1.63=2964.38L/h. Initial concentration of chloroethanol: c_{A0}=3.9*1000/(0.9*2964.38)=1.52mol/L. Initial concentration of sodium bicarbonate: c_{B0}=3.9*1000*1.5/(0.9*2964.38)=2.25mol/L. The concentration of chloroethanol: c_{A}=c_{A0}*(1-x). The concentration of sodium bicarbonate: c_{B}=c_{B0}-c_{A0}*x. Reaction time obtained through integral calculation: t=\int_{0}^{x_{f} } \frac{c_{A0}dx_{A} }{r_{A}}=\int_{0}^{x_{f} } \frac{c_{A0}dx_{A} }{k*c_{A}*c_{B}}=\int_{0}^{x_{f} } \frac{dx_{A} }{k*(1-x_{A})*(c_{B0}-c_{A0}*x_{A})}=0.78 h. Theoretical volume is v=0.78*2964.38=2322.94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</si>
  <si>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7.92*80.5/(0.89*0.16)=4576.78kg/h. Hourly required sodium bicarbonate: 7.92*84*1.4/(0.89*0.41)=2922.79kg/h. Raw material volumetric flow rate: Q_{0}=(4576.78+2922.79)/1.87=3779.77L/h. Initial concentration of chloroethanol: c_{A0}=7.92*1000/(0.89*3779.77)=2.35mol/L. Initial concentration of sodium bicarbonate: c_{B0}=7.92*1000*1.4/(0.89*3779.77)=3.35mol/L. The concentration of chloroethanol: c_{A}=c_{A0}*(1-x). The concentration of sodium bicarbonate: c_{B}=c_{B0}-c_{A0}*x. Reaction time obtained through integral calculation: t=\int_{0}^{x_{f} } \frac{c_{A0}dx_{A} }{r_{A}}=\int_{0}^{x_{f} } \frac{c_{A0}dx_{A} }{k*c_{A}*c_{B}}=\int_{0}^{x_{f} } \frac{dx_{A} }{k*(1-x_{A})*(c_{B0}-c_{A0}*x_{A})}=0.2 h. Theoretical volume is v=0.2*3779.77=757.87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</si>
  <si>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1033.18 L/h. The initial concentration of acetic acid is c_{A0} = 634.09*1000/(60*1033.18) = 10.19 mol/L. The initial concentration of ethanol is c_{B0} = 486.14*1000/(46*1033.18)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x)}=23.56 h. Theoretical volume is v=23.56*1033.18=24356.9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</si>
  <si>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</si>
  <si>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463.39 kg/h. The total volumetric feed flow rate is q_raw = (604.09+463.39)*1000/0.95 = 1136.97 L/h. The initial concentration of acetic acid is c_{A0} = 604.09*1000/(60*1136.97) = 8.87 mol/L. The initial concentration of ethanol is c_{B0} = 463.39*1000/(46*1136.97) = 8.87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}{k1*(1-x_{A})*(c_{B0}-c_{A0}*x_{A})-\frac{c_{A0}*x_{A}*x_{A}}{kc}}=117.15 h. Theoretical volume is v=117.15*1136.97=133180.74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</si>
  <si>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755/88 = 8.51 kmol/h. According to the chemical reaction equation, the mass flow rate of acetic acid required per hour is m_A = 8.51*60 = 510.68 kg/h. The mass flow rate of ethanol required per hour is m_B = 8.51*46 = 391.52 kg/h. The total volumetric feed flow rate is q_raw = (510.68+391.52)*1000/1.01 = 893.37 L/h. The initial concentration of acetic acid is c_{A0} = 510.68*1000/(60*893.37) = 9.62 mol/L. The initial concentration of ethanol is c_{B0} = 391.52*1000/(46*893.37) = 9.62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}{k1*(1-x_{A})*(c_{B0}-c_{A0}*x_{A})-\frac{c_{A0}*x_{A}*x_{A}}{kc}}=126.77 h. Theoretical volume is v=126.77*893.37=113483.04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</si>
  <si>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95.73 kg/h. The total volumetric feed flow rate is q_raw = (125.45+95.73)*1000/1.0 = 221.18 L/h. The initial concentration of acetic acid is c_{A0} = 125.45*1000/(60*221.18) = 9.74 mol/L. The initial concentration of ethanol is c_{B0} = 95.73*1000/(46*221.18) = 9.74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}{k1*(1-x_{A})*(c_{B0}-c_{A0}*x_{A})-\frac{c_{A0}*x_{A}*x_{A}}{kc}}=132.78 h. Theoretical volume is v=132.78*221.18=29311.58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</si>
  <si>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315/88 = 3.57 kmol/h. According to the chemical reaction equation, the mass flow rate of acetic acid required per hour is m_A = 3.57*60 = 214.32 kg/h. The mass flow rate of ethanol required per hour is m_B = 3.57*46 = 165.82 kg/h. The total volumetric feed flow rate is q_raw = (214.32+165.82)*1000/0.86 = 446.04 L/h. The initial concentration of acetic acid is c_{A0} = 214.32*1000/(60*446.04) = 8.11 mol/L. The initial concentration of ethanol is c_{B0} = 165.82*1000/(46*446.04)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}{k1*(1-x_{A})*(c_{B0}-c_{A0}*x_{A})-\frac{c_{A0}*x_{A}*x_{A}}{kc}}=106.65 h. Theoretical volume is v=106.65*446.04=47704.89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</si>
  <si>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234.64 kg/h. The mass flow rate of ethanol required per hour is m_B = 3.91*46 = 180.05 kg/h. The total volumetric feed flow rate is q_raw = (234.64+180.05)*1000/1.05 = 395.78 L/h. The initial concentration of acetic acid is c_{A0} = 234.64*1000/(60*395.78) = 9.91 mol/L. The initial concentration of ethanol is c_{B0} = 180.05*1000/(46*395.78)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x)}=26.84 h. Theoretical volume is v=26.84*395.78=10738.8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</si>
  <si>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135.25 kg/h. The total volumetric feed flow rate is q_raw = (180.0+135.25)*1000/0.95 = 334.23 L/h. The initial concentration of acetic acid is c_{A0} = 180.0*1000/(60*334.23) = 8.96 mol/L. The initial concentration of ethanol is c_{B0} = 135.25*1000/(46*334.23)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}{k1*(1-x_{A})*(c_{B0}-c_{A0}*x_{A})-\frac{c_{A0}*x_{A}*x_{A}}{kc}}=114.83 h. Theoretical volume is v=114.83*334.23=38443.19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</si>
  <si>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267.29 L/h. The initial concentration of acetic acid is c_{A0} = 140.45*1000/(60*267.29) = 9.02 mol/L. The initial concentration of ethanol is c_{B0} = 107.68*1000/(46*267.29) = 9.02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}{k1*(1-x_{A})*(c_{B0}-c_{A0}*x_{A})-\frac{c_{A0}*x_{A}*x_{A}}{kc}}=113.4 h. Theoretical volume is v=113.4*267.29=30564.44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</si>
  <si>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782/88 = 8.91 kmol/h. According to the chemical reaction equation, the mass flow rate of acetic acid required per hour is m_A = 8.91*60 = 534.55 kg/h. The mass flow rate of ethanol required per hour is m_B = 8.91*46 = 409.82 kg/h. The total volumetric feed flow rate is q_raw = (534.55+409.82)*1000/0.84 = 1133.63 L/h. The initial concentration of acetic acid is c_{A0} = 534.55*1000/(60*1133.63) = 7.83 mol/L. The initial concentration of ethanol is c_{B0} = 409.82*1000/(46*1133.63) = 7.83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x)}=0.11 h. Theoretical volume is v=0.11*1133.63=128.64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</si>
  <si>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487.12 L/h. The initial concentration of acetic acid is c_{A0} = 235.23*1000/(60*487.12) = 8.4 mol/L. The initial concentration of ethanol is c_{B0} = 180.34*1000/(46*487.12) = 8.4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}{k1*(1-x_{A})*(c_{B0}-c_{A0}*x_{A})-\frac{c_{A0}*x_{A}*x_{A}}{kc}}=110.74 h. Theoretical volume is v=110.74*487.12=53803.36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</si>
  <si>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223.26 L/h. The initial concentration of acetic acid is c_{A0} = 117.27*1000/(60*223.26) = 8.87 mol/L. The initial concentration of ethanol is c_{B0} = 89.91*1000/(46*223.26) = 8.87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}{k1*(1-x_{A})*(c_{B0}-c_{A0}*x_{A})-\frac{c_{A0}*x_{A}*x_{A}}{kc}}=113.84 h. Theoretical volume is v=113.84*223.26=25359.05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</si>
  <si>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</si>
  <si>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833.53 L/h. The initial concentration of acetic acid is c_{A0} = 431.59*1000/(60*833.53) = 8.68 mol/L. The initial concentration of ethanol is c_{B0} = 330.89*1000/(46*833.53)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v=112.78*833.53=94028.98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</si>
  <si>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529/88 = 6.08 kmol/h. According to the chemical reaction equation, the mass flow rate of acetic acid required per hour is m_A = 6.08*60 = 364.5 kg/h. The mass flow rate of ethanol required per hour is m_B = 6.08*46 = 279.25 kg/h. The total volumetric feed flow rate is q_raw = (364.5+279.25)*1000/1.04 = 627.27 L/h. The initial concentration of acetic acid is c_{A0} = 364.5*1000/(60*627.27) = 9.53 mol/L. The initial concentration of ethanol is c_{B0} = 279.25*1000/(46*627.27) = 9.53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x)}=58.4 h. Theoretical volume is v=58.4*627.27=36742.91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</si>
  <si>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115.27 kg/h. The mass flow rate of ethanol required per hour is m_B = 1.92*46 = 88.32 kg/h. The total volumetric feed flow rate is q_raw = (115.27+88.32)*1000/1.01 = 203.97 L/h. The initial concentration of acetic acid is c_{A0} = 115.27*1000/(60*203.97) = 9.44 mol/L. The initial concentration of ethanol is c_{B0} = 88.32*1000/(46*203.97) = 9.44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}{k1*(1-x_{A})*(c_{B0}-c_{A0}*x_{A})-\frac{c_{A0}*x_{A}*x_{A}}{kc}}=129.37 h. Theoretical volume is v=129.37*203.97=26428.57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</si>
  <si>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128/88 = 1.46 kmol/h. According to the chemical reaction equation, the mass flow rate of acetic acid required per hour is m_A = 1.46*60 = 87.27 kg/h. The mass flow rate of ethanol required per hour is m_B = 1.46*46 = 67.18 kg/h. The total volumetric feed flow rate is q_raw = (87.27+67.18)*1000/1.15 = 130.2 L/h. The initial concentration of acetic acid is c_{A0} = 87.27*1000/(60*130.2) = 11.23 mol/L. The initial concentration of ethanol is c_{B0} = 67.18*1000/(46*130.2) = 11.23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}{k1*(1-x_{A})*(c_{B0}-c_{A0}*x_{A})-\frac{c_{A0}*x_{A}*x_{A}}{kc}}=146.4 h. Theoretical volume is v=146.4*130.2=19056.84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</si>
  <si>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434.77 kg/h. The mass flow rate of ethanol required per hour is m_B = 7.24*46 = 333.02 kg/h. The total volumetric feed flow rate is q_raw = (434.77+333.02)*1000/0.8 = 960.53 L/h. The initial concentration of acetic acid is c_{A0} = 434.77*1000/(60*960.53) = 7.53 mol/L. The initial concentration of ethanol is c_{B0} = 333.02*1000/(46*960.53) = 7.53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x)}=0.11 h. Theoretical volume is v=0.11*960.53=109.48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</si>
  <si>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701.74 L/h. The initial concentration of acetic acid is c_{A0} = 336.82*1000/(60*701.74) = 8.11 mol/L. The initial concentration of ethanol is c_{B0} = 258.23*1000/(46*701.74)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x)}=46.71 h. Theoretical volume is v=46.71*701.74=32788.62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</si>
  <si>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799.63 L/h. The initial concentration of acetic acid is c_{A0} = 473.86*1000/(60*799.63) = 10.09 mol/L. The initial concentration of ethanol is c_{B0} = 363.3*1000/(46*799.63)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x)}=7.39 h. Theoretical volume is v=7.39*799.63=5908.09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</si>
  <si>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73.91 kg/h. The mass flow rate of ethanol required per hour is m_B = 1.23*46 = 56.52 kg/h. The total volumetric feed flow rate is q_raw = (73.91+56.52)*1000/1.14 = 113.09 L/h. The initial concentration of acetic acid is c_{A0} = 73.91*1000/(60*113.09) = 10.93 mol/L. The initial concentration of ethanol is c_{B0} = 56.52*1000/(46*113.09) = 10.93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x)}=42.72 h. Theoretical volume is v=42.72*113.09=4811.63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</si>
  <si>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675/88 = 7.69 kmol/h. According to the chemical reaction equation, the mass flow rate of acetic acid required per hour is m_A = 7.69*60 = 461.59 kg/h. The mass flow rate of ethanol required per hour is m_B = 7.69*46 = 353.89 kg/h. The total volumetric feed flow rate is q_raw = (461.59+353.89)*1000/0.99 = 821.55 L/h. The initial concentration of acetic acid is c_{A0} = 461.59*1000/(60*821.55) = 9.34 mol/L. The initial concentration of ethanol is c_{B0} = 353.89*1000/(46*821.55)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}{k1*(1-x_{A})*(c_{B0}-c_{A0}*x_{A})-\frac{c_{A0}*x_{A}*x_{A}}{kc}}=115.72 h. Theoretical volume is v=115.72*821.55=95158.84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</si>
  <si>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675/88 = 7.69 kmol/h. According to the chemical reaction equation, the mass flow rate of acetic acid required per hour is m_A = 7.69*60 = 461.59 kg/h. The mass flow rate of ethanol required per hour is m_B = 7.69*46 = 353.89 kg/h. The total volumetric feed flow rate is q_raw = (461.59+353.89)*1000/1.12 = 719.77 L/h. The initial concentration of acetic acid is c_{A0} = 461.59*1000/(60*719.77) = 10.61 mol/L. The initial concentration of ethanol is c_{B0} = 353.89*1000/(46*719.77) = 10.61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x)}=25.39 h. Theoretical volume is v=25.39*719.77=18285.82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</si>
  <si>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628.05 kg/h. The mass flow rate of ethanol required per hour is m_B = 10.47*46 = 481.84 kg/h. The total volumetric feed flow rate is q_raw = (628.05+481.84)*1000/1.08 = 1028.62 L/h. The initial concentration of acetic acid is c_{A0} = 628.05*1000/(60*1028.62) = 10.19 mol/L. The initial concentration of ethanol is c_{B0} = 481.84*1000/(46*1028.62)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}{k1*(1-x_{A})*(c_{B0}-c_{A0}*x_{A})-\frac{c_{A0}*x_{A}*x_{A}}{kc}}=136.07 h. Theoretical volume is v=136.07*1028.62=140099.73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</si>
  <si>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1118.93 L/h. The initial concentration of acetic acid is c_{A0} = 572.05*1000/(60*1118.93) = 8.4 mol/L. The initial concentration of ethanol is c_{B0} = 438.57*1000/(46*1118.93)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x)}=25.5 h. Theoretical volume is v=25.5*1118.93=28463.63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</si>
  <si>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1100.87 L/h. The initial concentration of acetic acid is c_{A0} = 492.27*1000/(60*1100.87) = 7.45 mol/L. The initial concentration of ethanol is c_{B0} = 377.41*1000/(46*1100.87)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}{k1*(1-x_{A})*(c_{B0}-c_{A0}*x_{A})-\frac{c_{A0}*x_{A}*x_{A}}{kc}}=105.49 h. Theoretical volume is v=105.49*1100.87=116068.9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</si>
  <si>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343/88 = 3.89 kmol/h. According to the chemical reaction equation, the mass flow rate of acetic acid required per hour is m_A = 3.89*60 = 233.41 kg/h. The mass flow rate of ethanol required per hour is m_B = 3.89*46 = 179.74 kg/h. The total volumetric feed flow rate is q_raw = (233.41+179.74)*1000/0.93 = 447.08 L/h. The initial concentration of acetic acid is c_{A0} = 233.41*1000/(60*447.08) = 8.77 mol/L. The initial concentration of ethanol is c_{B0} = 179.74*1000/(46*447.08)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}{k1*(1-x_{A})*(c_{B0}-c_{A0}*x_{A})-\frac{c_{A0}*x_{A}*x_{A}}{kc}}=112.21 h. Theoretical volume is v=112.21*447.08=50292.83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</si>
  <si>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84.11 kg/h. The mass flow rate of ethanol required per hour is m_B = 1.4*46 = 64.57 kg/h. The total volumetric feed flow rate is q_raw = (84.11+64.57)*1000/1.05 = 137.07 L/h. The initial concentration of acetic acid is c_{A0} = 84.11*1000/(60*137.07) = 10.19 mol/L. The initial concentration of ethanol is c_{B0} = 64.57*1000/(46*137.07)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x)}=13.32 h. Theoretical volume is v=13.32*137.07=1830.32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</si>
  <si>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relative molecular weight of CH_{3}COOC_{2}H_{5} is 76 kg/kmol, NaOH is 40 kg/kmol. Raw material volumetric flow rate: Q_{0}=(371+371)/1.19=633.52 m^3/h. Initial concentration of ethyl acetate: c_{A0}=371*1000/(76*633.52)=7.75 mol/L. Initial concentration of sodium hydroxide: c_{B0}=371*1000*1/(40*633.52)=14.5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v=0.08*633.52=46.76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</si>
  <si>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Q_{0}=(344+344)/1.83=375.25 m^3/h. Initial concentration of ethyl acetate: c_{A0}=344*1000/(76*375.25)=12.04 mol/L. Initial concentration of sodium hydroxide: c_{B0}=344*1000*1/(40*375.25)=22.12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v=0.04*375.25=15.04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</si>
  <si>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Q_{0}=(109+109)/1.63=132.68 m^3/h. Initial concentration of ethyl acetate: c_{A0}=109*1000/(76*132.68)=11.01 mol/L. Initial concentration of sodium hydroxide: c_{B0}=109*1000*1/(40*132.68)=21.25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v=0.04*132.68=5.66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</si>
  <si>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Q_{0}=(960+960)/1.9=1010.52 m^3/h. Initial concentration of ethyl acetate: c_{A0}=960*1000/(76*1010.52)=12.88 mol/L. Initial concentration of sodium hydroxide: c_{B0}=960*1000*1/(40*1010.52)=23.75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v=0.02*1010.52=19.77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</si>
  <si>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Q_{0}=(837+837)/1.7=964.71 m^3/h. Initial concentration of ethyl acetate: c_{A0}=837*1000/(76*964.71)=11.25 mol/L. Initial concentration of sodium hydroxide: c_{B0}=837*1000*1/(40*964.71)=21.88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v=0.02*964.71=18.8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</si>
  <si>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Q_{0}=(785+785)/1.01=1554.46 m^3/h. Initial concentration of ethyl acetate: c_{A0}=785*1000/(76*1554.46)=6.58 mol/L. Initial concentration of sodium hydroxide: c_{B0}=785*1000*1/(40*1554.46)=12.5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v=0.03*1554.46=41.94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</si>
  <si>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Q_{0}=(663+663)/1.64=811.98 m^3/h. Initial concentration of ethyl acetate: c_{A0}=663*1000/(76*811.98)=10.86 mol/L. Initial concentration of sodium hydroxide: c_{B0}=663*1000*1/(40*811.98)=20.48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v=0.05*811.98=38.52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</si>
  <si>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Q_{0}=(760+760)/1.29=1199.16 m^3/h. Initial concentration of ethyl acetate: c_{A0}=760*1000/(76*1199.16)=8.51 mol/L. Initial concentration of sodium hydroxide: c_{B0}=760*1000*1/(40*1199.16)=16.0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v=0.03*1199.16=34.49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</si>
  <si>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Q_{0}=(542+542)/1.75=610.29 m^3/h. Initial concentration of ethyl acetate: c_{A0}=542*1000/(76*610.29)=11.61 mol/L. Initial concentration of sodium hydroxide: c_{B0}=542*1000*1/(40*610.29)=22.0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v=0.02*610.29=12.45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</si>
  <si>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Q_{0}=(894+894)/1.49=1208.32 m^3/h. Initial concentration of ethyl acetate: c_{A0}=894*1000/(76*1208.32)=10.0 mol/L. Initial concentration of sodium hydroxide: c_{B0}=894*1000*1/(40*1208.32)=18.5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v=0.03*1208.32=41.31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</si>
  <si>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Q_{0}=(382+382)/1.82=428.71 m^3/h. Initial concentration of ethyl acetate: c_{A0}=382*1000/(76*428.71)=11.38 mol/L. Initial concentration of sodium hydroxide: c_{B0}=382*1000*1/(40*428.71)=21.75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v=0.02*428.71=8.32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</si>
  <si>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Q_{0}=(703+703)/1.87=747.71 m^3/h. Initial concentration of ethyl acetate: c_{A0}=703*1000/(76*747.71)=12.17 mol/L. Initial concentration of sodium hydroxide: c_{B0}=703*1000*1/(40*747.71)=22.88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v=0.09*747.71=67.65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</si>
  <si>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Q_{0}=(720+720)/1.47=994.04 m^3/h. Initial concentration of ethyl acetate: c_{A0}=720*1000/(76*994.04)=9.43 mol/L. Initial concentration of sodium hydroxide: c_{B0}=720*1000*1/(40*994.04)=18.12 mol/L. The concentration of chloroethanol: c_{A}=c_{A0}*(1-x). The concentration of sodium bicarbonate: c_{B}=c_{B0}-c_{A0}*x. Reaction time obtained through integral calculation: t=\frac{c_{A0} \cdot x_{f}}{r_{A}}=\frac{c_{A0} \cdot x_{f}}{k \cdot c_{A} \cdot c_{B}}=\frac{x_{f}}{k \cdot (1-x_{A}) \cdot (c_{B0}-c_{A0} \cdot x_{A})}=0.18 h. Theoretical volume is v=0.18*994.04=178.82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</si>
  <si>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Q_{0}=(597+597)/1.33=900.78 m^3/h. Initial concentration of ethyl acetate: c_{A0}=597*1000/(76*900.78)=8.68 mol/L. Initial concentration of sodium hydroxide: c_{B0}=597*1000*1/(40*900.78)=16.5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v=0.03*900.78=27.19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</si>
  <si>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Q_{0}=(803+803)/1.3=1205.38 m^3/h. Initial concentration of ethyl acetate: c_{A0}=803*1000/(76*1205.38)=8.75 mol/L. Initial concentration of sodium hydroxide: c_{B0}=803*1000*1/(40*1205.38)=16.88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v=0.02*1205.38=21.53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</si>
  <si>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Q_{0}=(957+957)/1.45=1324.92 m^3/h. Initial concentration of ethyl acetate: c_{A0}=957*1000/(76*1324.92)=9.57 mol/L. Initial concentration of sodium hydroxide: c_{B0}=957*1000*1/(40*1324.92)=18.25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v=0.02*1324.92=23.23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</si>
  <si>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Q_{0}=(934+934)/1.55=1210.32 m^3/h. Initial concentration of ethyl acetate: c_{A0}=934*1000/(76*1210.32)=10.13 mol/L. Initial concentration of sodium hydroxide: c_{B0}=934*1000*1/(40*1210.32)=19.62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v=0.02*1210.32=22.96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</si>
  <si>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Q_{0}=(340+340)/1.16=597.44 m^3/h. Initial concentration of ethyl acetate: c_{A0}=340*1000/(76*597.44)=7.63 mol/L. Initial concentration of sodium hydroxide: c_{B0}=340*1000*1/(40*597.44)=14.38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v=0.02*597.44=11.38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</si>
  <si>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Q_{0}=(667+667)/1.61=821.14 m^3/h. Initial concentration of ethyl acetate: c_{A0}=667*1000/(76*821.14)=10.86 mol/L. Initial concentration of sodium hydroxide: c_{B0}=667*1000*1/(40*821.14)=20.38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v=0.05*821.14=42.51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</si>
  <si>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Q_{0}=(934+934)/1.23=1510.36 m^3/h. Initial concentration of ethyl acetate: c_{A0}=934*1000/(76*1510.36)=8.37 mol/L. Initial concentration of sodium hydroxide: c_{B0}=934*1000*1/(40*1510.36)=15.62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v=0.03*1510.36=41.64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</si>
  <si>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Q_{0}=(817+817)/1.9=858.42 m^3/h. Initial concentration of ethyl acetate: c_{A0}=817*1000/(76*858.42)=12.63 mol/L. Initial concentration of sodium hydroxide: c_{B0}=817*1000*1/(40*858.42)=23.5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v=0.02*858.42=18.01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</si>
  <si>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Q_{0}=(188+188)/1.37=274.31 m^3/h. Initial concentration of ethyl acetate: c_{A0}=188*1000/(76*274.31)=9.08 mol/L. Initial concentration of sodium hydroxide: c_{B0}=188*1000*1/(40*274.31)=17.12 mol/L. The concentration of chloroethanol: c_{A}=c_{A0}*(1-x). The concentration of sodium bicarbonate: c_{B}=c_{B0}-c_{A0}*x. Reaction time obtained through integral calculation: t=\frac{c_{A0} \cdot x_{f}}{r_{A}}=\frac{c_{A0} \cdot x_{f}}{k \cdot c_{A} \cdot c_{B}}=\frac{x_{f}}{k \cdot (1-x_{A}) \cdot (c_{B0}-c_{A0} \cdot x_{A})}=0.62 h. Theoretical volume is v=0.62*274.31=169.28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</si>
  <si>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Q_{0}=(387+387)/1.47=528.57 m^3/h. Initial concentration of ethyl acetate: c_{A0}=387*1000/(76*528.57)=9.74 mol/L. Initial concentration of sodium hydroxide: c_{B0}=387*1000*1/(40*528.57)=18.38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v=0.02*528.57=11.21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</si>
  <si>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Q_{0}=(921+921)/1.16=1589.19 m^3/h. Initial concentration of ethyl acetate: c_{A0}=921*1000/(76*1589.19)=7.62 mol/L. Initial concentration of sodium hydroxide: c_{B0}=921*1000*1/(40*1589.19)=14.25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v=0.08*1589.19=125.04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</si>
  <si>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Q_{0}=(302+302)/1.51=401.33 m^3/h. Initial concentration of ethyl acetate: c_{A0}=302*1000/(76*401.33)=9.74 mol/L. Initial concentration of sodium hydroxide: c_{B0}=302*1000*1/(40*401.33)=18.75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v=0.13*401.33=52.25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</si>
  <si>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Q_{0}=(427+427)/1.14=749.10 m^3/h. Initial concentration of ethyl acetate: c_{A0}=427*1000/(76*749.10)=7.5 mol/L. Initial concentration of sodium hydroxide: c_{B0}=427*1000*1/(40*749.10)=14.4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v=0.04*749.10=29.4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</si>
  <si>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Q_{0}=(156+156)/1.77=175.2 m^3/h. Initial concentration of ethyl acetate: c_{A0}=156*1000/(76*175.2)=11.71 mol/L. Initial concentration of sodium hydroxide: c_{B0}=156*1000*1/(40*175.2)=22.12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v=0.1*175.2=17.24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</si>
  <si>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Q_{0}=(977+977)/1.55=1254.72 m^3/h. Initial concentration of ethyl acetate: c_{A0}=977*1000/(76*1254.72)=10.33 mol/L. Initial concentration of sodium hydroxide: c_{B0}=977*1000*1/(40*1254.72)=19.41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v=0.11*1254.72=136.02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</si>
  <si>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Q_{0}=(839+839)/1.27=1325.13 m^3/h. Initial concentration of ethyl acetate: c_{A0}=839*1000/(76*1325.13)=8.37 mol/L. Initial concentration of sodium hydroxide: c_{B0}=839*1000*1/(40*1325.13)=15.75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v=0.02*1325.13=26.08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</si>
  <si>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Q_{0}=(775+775)/1.63=928.85 m^3/h. Initial concentration of ethyl acetate: c_{A0}=775*1000/(76*928.85)=11.12 mol/L. Initial concentration of sodium hydroxide: c_{B0}=775*1000*1/(40*928.85)=20.62 mol/L. The concentration of chloroethanol: c_{A}=c_{A0}*(1-x). The concentration of sodium bicarbonate: c_{B}=c_{B0}-c_{A0}*x. Reaction time obtained through integral calculation: t=\frac{c_{A0} \cdot x_{f}}{r_{A}}=\frac{c_{A0} \cdot x_{f}}{k \cdot c_{A} \cdot c_{B}}=\frac{x_{f}}{k \cdot (1-x_{A}) \cdot (c_{B0}-c_{A0} \cdot x_{A})}=0.07 h. Theoretical volume is v=0.07*928.85=66.11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</si>
  <si>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NaHCO_{3} is 84 kg/kmol, CH_{2}ClCH_{2}OH is 80.5 kg/kmol, CH_{2}OHCH_{2}OH is 62 kg/kmol. Hourly production of ethylene glycol: 130/62=2.09kmol/h. Hourly required chloroethanol: 2.09*80.5/(0.76*0.12)=1707.65kg/h. Hourly required sodium bicarbonate: 2.09*84*3.6/(0.76*0.34)=3100.16kg/h. Raw material volumetric flow rate: Q_{0}=(1707.65+3100.16)/1.04=4566.54L/h. Initial concentration of chloroethanol: c_{A0}=2.09*1000/(0.76*4566.54)=0.59mol/L. Initial concentration of sodium bicarbonate: c_{B0}=2.09*1000*3.6/(0.76*4566.54)=2.13mol/L. The concentration of chloroethanol: c_{A}=c_{A0}*(1-x). The concentration of sodium bicarbonate: c_{B}=c_{B0}-c_{A0}*x. Reaction time obtained through integral calculation: t=\int_{0}^{x_{f} } \frac{c_{A0}dx_{A} }{r_{A}}=\int_{0}^{x_{f} } \frac{c_{A0}dx_{A} }{k*c_{A}*c_{B}}=\int_{0}^{x_{f} } \frac{dx_{A} }{k*(1-x_{A})*(c_{B0}-c_{A0}*x_{A})}=0.15 h. Theoretical volume is v=0.15*4566.54=670.06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</si>
  <si>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453/62=7.31kmol/h. Hourly required chloroethanol: 7.31*80.5/(0.81*0.18)=3800.89kg/h. Hourly required sodium bicarbonate: 7.31*84*3.8/(0.81*0.23)=11453.19kg/h. Raw material volumetric flow rate: Q_{0}=(3800.89+11453.19)/1.57=9580.06L/h. Initial concentration of chloroethanol: c_{A0}=7.31*1000/(0.81*9580.06)=0.96mol/L. Initial concentration of sodium bicarbonate: c_{B0}=7.31*1000*3.8/(0.81*9580.06)=3.64mol/L. The concentration of chloroethanol: c_{A}=c_{A0}*(1-x). The concentration of sodium bicarbonate: c_{B}=c_{B0}-c_{A0}*x. Reaction time obtained through integral calculation: t=\int_{0}^{x_{f} } \frac{c_{A0}dx_{A} }{r_{A}}=\int_{0}^{x_{f} } \frac{c_{A0}dx_{A} }{k*c_{A}*c_{B}}=\int_{0}^{x_{f} } \frac{dx_{A} }{k*(1-x_{A})*(c_{B0}-c_{A0}*x_{A})}=0.1 h. Theoretical volume is v=0.1*9580.06=958.45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</si>
  <si>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602/62=9.71kmol/h. Hourly required chloroethanol: 9.71*80.5/(0.87*0.31)=2730.71kg/h. Hourly required sodium bicarbonate: 9.71*84*1.0/(0.87*0.37)=2593.72kg/h. Raw material volumetric flow rate: Q_{0}=(2730.71+2593.72)/1.59=3444.19L/h. Initial concentration of chloroethanol: c_{A0}=9.71*1000/(0.87*3444.19)=3.3mol/L. Initial concentration of sodium bicarbonate: c_{B0}=9.71*1000*1.0/(0.87*3444.19)=3.3mol/L. The concentration of chloroethanol: c_{A}=c_{A0}*(1-x). The concentration of sodium bicarbonate: c_{B}=c_{B0}-c_{A0}*x. Reaction time obtained through integral calculation: t=\int_{0}^{x_{f} } \frac{c_{A0}dx_{A} }{r_{A}}=\int_{0}^{x_{f} } \frac{c_{A0}dx_{A} }{k*c_{A}*c_{B}}=\int_{0}^{x_{f} } \frac{dx_{A} }{k*(1-x_{A})*(c_{B0}-c_{A0}*x_{A})}=0.53 h. Theoretical volume is v=0.53*3444.19=1829.37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</si>
  <si>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816/62=13.16kmol/h. Hourly required chloroethanol: 13.16*80.5/(0.95*0.4)=2611.96kg/h. Hourly required sodium bicarbonate: 13.16*84*2.9/(0.95*0.45)=7598.35kg/h. Raw material volumetric flow rate: Q_{0}=(2611.96+7598.35)/1.31=7811.03L/h. Initial concentration of chloroethanol: c_{A0}=13.16*1000/(0.95*7811.03)=1.74mol/L. Initial concentration of sodium bicarbonate: c_{B0}=13.16*1000*2.9/(0.95*7811.03)=5.39mol/L. The concentration of chloroethanol: c_{A}=c_{A0}*(1-x). The concentration of sodium bicarbonate: c_{B}=c_{B0}-c_{A0}*x. Reaction time obtained through integral calculation: t=\int_{0}^{x_{f} } \frac{c_{A0}dx_{A} }{r_{A}}=\int_{0}^{x_{f} } \frac{c_{A0}dx_{A} }{k*c_{A}*c_{B}}=\int_{0}^{x_{f} } \frac{dx_{A} }{k*(1-x_{A})*(c_{B0}-c_{A0}*x_{A})}=0.19 h. Theoretical volume is v=0.19*7811.03=1477.1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</si>
  <si>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464/62=7.52kmol/h. Hourly required chloroethanol: 7.52*80.5/(0.72*0.05)=16818.14kg/h. Hourly required sodium bicarbonate: 7.52*84*3.3/(0.72*0.23)=12329.66kg/h. Raw material volumetric flow rate: Q_{0}=(16818.14+12329.66)/1.41=20557.46L/h. Initial concentration of chloroethanol: c_{A0}=7.52*1000/(0.72*20557.46)=0.51mol/L. Initial concentration of sodium bicarbonate: c_{B0}=7.52*1000*3.3/(0.72*20557.46)=1.67mol/L.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v=0.17*20557.46=3405.78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</si>
  <si>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867/62=14.01kmol/h. Hourly required chloroethanol: 14.01*80.5/(0.85*0.37)=3433.59kg/h. Hourly required sodium bicarbonate: 14.01*84*4.0/(0.85*0.42)=15688.7kg/h. Raw material volumetric flow rate: Q_{0}=(3433.59+15688.7)/1.48=13622.68L/h. Initial concentration of chloroethanol: c_{A0}=14.01*1000/(0.85*13622.68)=1.24mol/L. Initial concentration of sodium bicarbonate: c_{B0}=14.01*1000*4.0/(0.85*13622.68)=5.94mol/L.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v=0.06*13622.68=799.2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</si>
  <si>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447/62=7.21kmol/h. Hourly required chloroethanol: 7.21*80.5/(0.86*0.1)=6950.53kg/h. Hourly required sodium bicarbonate: 7.21*84*1.1/(0.86*0.12)=6096.8kg/h. Raw material volumetric flow rate: Q_{0}=(6950.53+6096.8)/1.93=6684.55L/h. Initial concentration of chloroethanol: c_{A0}=7.21*1000/(0.86*6684.55)=1.26mol/L. Initial concentration of sodium bicarbonate: c_{B0}=7.21*1000*1.1/(0.86*6684.55)=1.38mol/L. The concentration of chloroethanol: c_{A}=c_{A0}*(1-x). The concentration of sodium bicarbonate: c_{B}=c_{B0}-c_{A0}*x. Reaction time obtained through integral calculation: t=\int_{0}^{x_{f} } \frac{c_{A0}dx_{A} }{r_{A}}=\int_{0}^{x_{f} } \frac{c_{A0}dx_{A} }{k*c_{A}*c_{B}}=\int_{0}^{x_{f} } \frac{dx_{A} }{k*(1-x_{A})*(c_{B0}-c_{A0}*x_{A})}=1.53 h. Theoretical volume is v=1.53*6684.55=10195.83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</si>
  <si>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182/62=2.94kmol/h. Hourly required chloroethanol: 2.94*80.5/(0.7*0.23)=1306.8kg/h. Hourly required sodium bicarbonate: 2.94*84*1.4/(0.7*0.43)=1534.57kg/h. Raw material volumetric flow rate: Q_{0}=(1306.8+1534.57)/1.47=1895.59L/h. Initial concentration of chloroethanol: c_{A0}=2.94*1000/(0.7*1895.59)=2.2mol/L. Initial concentration of sodium bicarbonate: c_{B0}=2.94*1000*1.4/(0.7*1895.59)=3.08mol/L.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v=0.12*1895.59=228.93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</si>
  <si>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115/62=1.85kmol/h. Hourly required chloroethanol: 1.85*80.5/(0.84*0.49)=359.15kg/h. Hourly required sodium bicarbonate: 1.85*84*2.4/(0.84*0.5)=1752.15kg/h. Raw material volumetric flow rate: Q_{0}=(359.15+1752.15)/1.15=1822.19L/h. Initial concentration of chloroethanol: c_{A0}=1.85*1000/(0.84*1822.19)=1.2mol/L. Initial concentration of sodium bicarbonate: c_{B0}=1.85*1000*2.4/(0.84*1822.19)=2.9mol/L. The concentration of chloroethanol: c_{A}=c_{A0}*(1-x). The concentration of sodium bicarbonate: c_{B}=c_{B0}-c_{A0}*x. Reaction time obtained through integral calculation: t=\int_{0}^{x_{f} } \frac{c_{A0}dx_{A} }{r_{A}}=\int_{0}^{x_{f} } \frac{c_{A0}dx_{A} }{k*c_{A}*c_{B}}=\int_{0}^{x_{f} } \frac{dx_{A} }{k*(1-x_{A})*(c_{B0}-c_{A0}*x_{A})}=0.13 h. Theoretical volume is v=0.13*1822.19=241.37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</si>
  <si>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782/62=12.65kmol/h. Hourly required chloroethanol: 12.65*80.5/(0.76*0.1)=13721.24kg/h. Hourly required sodium bicarbonate: 12.65*84*1.9/(0.76*0.47)=5964.7kg/h. Raw material volumetric flow rate: Q_{0}=(13721.24+5964.7)/1.91=10856.45L/h. Initial concentration of chloroethanol: c_{A0}=12.65*1000/(0.76*10856.45)=1.53mol/L. Initial concentration of sodium bicarbonate: c_{B0}=12.65*1000*1.9/(0.76*10856.45)=3.0mol/L.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v=0.12*10856.45=1352.63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</si>
  <si>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480/62=7.74kmol/h. Hourly required chloroethanol: 7.74*80.5/(0.9*0.09)=7409.84kg/h. Hourly required sodium bicarbonate: 7.74*84*3.8/(0.9*0.26)=10607.1kg/h. Raw material volumetric flow rate: Q_{0}=(7409.84+10607.1)/1.55=11067.37L/h. Initial concentration of chloroethanol: c_{A0}=7.74*1000/(0.9*11067.37)=0.8mol/L. Initial concentration of sodium bicarbonate: c_{B0}=7.74*1000*3.8/(0.9*11067.37)=2.9mol/L.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v=0.22*11067.37=2467.49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</si>
  <si>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604/62=9.76kmol/h. Hourly required chloroethanol: 9.76*80.5/(0.98*0.26)=3096.94kg/h. Hourly required sodium bicarbonate: 9.76*84*1.8/(0.98*0.36)=4349.42kg/h. Raw material volumetric flow rate: Q_{0}=(3096.94+4349.42)/1.21=5993.09L/h. Initial concentration of chloroethanol: c_{A0}=9.76*1000/(0.98*5993.09)=1.69mol/L. Initial concentration of sodium bicarbonate: c_{B0}=9.76*1000*1.8/(0.98*5993.09)=3.05mol/L. The concentration of chloroethanol: c_{A}=c_{A0}*(1-x). The concentration of sodium bicarbonate: c_{B}=c_{B0}-c_{A0}*x. Reaction time obtained through integral calculation: t=\int_{0}^{x_{f} } \frac{c_{A0}dx_{A} }{r_{A}}=\int_{0}^{x_{f} } \frac{c_{A0}dx_{A} }{k*c_{A}*c_{B}}=\int_{0}^{x_{f} } \frac{dx_{A} }{k*(1-x_{A})*(c_{B0}-c_{A0}*x_{A})}=0.33 h. Theoretical volume is v=0.33*5993.09=1988.52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</si>
  <si>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441/62=7.11kmol/h. Hourly required chloroethanol: 7.11*80.5/(0.79*0.17)=4040.89kg/h. Hourly required sodium bicarbonate: 7.11*84*1.7/(0.79*0.22)=7588.88kg/h. Raw material volumetric flow rate: Q_{0}=(4040.89+7588.88)/1.32=8959.64L/h. Initial concentration of chloroethanol: c_{A0}=7.11*1000/(0.79*8959.64)=1.03mol/L. Initial concentration of sodium bicarbonate: c_{B0}=7.11*1000*1.7/(0.79*8959.64)=1.75mol/L. The concentration of chloroethanol: c_{A}=c_{A0}*(1-x). The concentration of sodium bicarbonate: c_{B}=c_{B0}-c_{A0}*x. Reaction time obtained through integral calculation: t=\frac{c_{A0}*x_{f}}{r_{A}}=\frac{c_{A0}*x_{f}}{k*c_{A}*c_{B}}=\frac{x_{f}}{k*(1-x_{A})*(c_{B0}-c_{A0}*x_{A})}=0.55 h. Theoretical volume is v=0.55*8959.64=4911.18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</si>
  <si>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666/62=10.77kmol/h. Hourly required chloroethanol: 10.77*80.5/(0.9*0.15)=6121.68kg/h. Hourly required sodium bicarbonate: 10.77*84*1.4/(0.9*0.24)=6013.68kg/h. Raw material volumetric flow rate: Q_{0}=(6121.68+6013.68)/1.46=7814.4L/h. Initial concentration of chloroethanol: c_{A0}=10.77*1000/(0.9*7814.4)=1.64mol/L. Initial concentration of sodium bicarbonate: c_{B0}=10.77*1000*1.4/(0.9*7814.4)=2.29mol/L.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v=0.33*7814.4=2582.18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</si>
  <si>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751/62=12.11kmol/h. Hourly required chloroethanol: 12.11*80.5/(0.96*0.21)=4643.24kg/h. Hourly required sodium bicarbonate: 12.11*84*2.9/(0.96*0.24)=12860.77kg/h. Raw material volumetric flow rate: Q_{0}=(4643.24+12860.77)/1.59=10779.52L/h. Initial concentration of chloroethanol: c_{A0}=12.11*1000/(0.96*10779.52)=1.18mol/L. Initial concentration of sodium bicarbonate: c_{B0}=12.11*1000*2.9/(0.96*10779.52)=3.4mol/L.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v=0.22*10779.52=2412.01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</si>
  <si>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587/62=9.48kmol/h. Hourly required chloroethanol: 9.48*80.5/(0.71*0.13)=7641.05kg/h. Hourly required sodium bicarbonate: 9.48*84*5.0/(0.71*0.27)=19701.9m^3/h. Raw material volumetric flow rate: Q_{0}=(7641.05+19701.9)/1.78=15887.37m^3/h. Initial concentration of chloroethanol: c_{A0}=9.48*1000/(0.71*15887.37)=0.82mol/L. Initial concentration of sodium bicarbonate: c_{B0}=9.48*1000*5.0/(0.71*15887.37)=4.1mol/L.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v=0.06*15887.37=957.37 m^3. Due to the non-ideal character of the reaction, we adjust the volumetric flow rate by means of quality control: v=0.07 h. Theoretical volume is v=0.07*15887.37=1112.12 m^3.</t>
  </si>
  <si>
    <t>&lt;think&gt;
&lt;/think&gt;
The relative molecular weight of NaHCO_{3} is 84 kg/kmol, CH_{2}ClCH_{2}OH is 80.5 kg/kmol, CH_{2}OHCH_{2}OH is 62 kg/kmol. Hourly production of ethylene glycol: 839/62=13.52kmol/h. Hourly required chloroethanol: 13.52*80.5/(0.98*0.08)=13629.44kg/h. Hourly required sodium bicarbonate: 13.52*84*3.1/(0.98*0.26)=14329.49kg/h. Raw material volumetric flow rate: Q_{0}=(13629.44+14329.49)/1.88=14605.6L/h. Initial concentration of chloroethanol: c_{A0}=13.52*1000/(0.98*14605.6)=0.95mol/L. Initial concentration of sodium bicarbonate: c_{B0}=13.52*1000*3.1/(0.98*14605.6)=2.97mol/L. The concentration of chloroethanol: c_{A}=c_{A0}*(1-x). The concentration of sodium bicarbonate: c_{B}=c_{B0}-c_{A0}*x. Reaction time obtained through integral calculation: t=\frac{c_{A0}*x_{f}}{r_{A}}=\frac{c_{A0}*x_{f}}{k*c_{A}*c_{B}}=\frac{x_{f}}{k*(1-x_{A})*(c_{B0}-c_{A0}*x_{A})}=40.28 h. Theoretical volume is v=40.28*14605.6=588645.96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</si>
  <si>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853/62=13.76kmol/h. Hourly required chloroethanol: 13.76*80.5/(0.96*0.21)=5801.23kg/h. Hourly required sodium bicarbonate: 13.76*84*4.8/(0.96*0.29)=22733.09kg/h. Raw material volumetric flow rate: Q_{0}=(5801.23+22733.09)/1.35=20729.76L/h. Initial concentration of chloroethanol: c_{A0}=13.76*1000/(0.96*20729.76)=0.70mol/L. Initial concentration of sodium bicarbonate: c_{B0}=13.76*1000*4.8/(0.96*20729.76)=3.34mol/L. The concentration of chloroethanol: c_{A}=c_{A0}*(1-x). The concentration of sodium bicarbonate: c_{B}=c_{B0}-c_{A0}*x. Reaction time obtained through integral calculation: t=\int_{0}^{x_{f} } \frac{c_{A0}dx_{A} }{r_{A}}=\int_{0}^{x_{f} } \frac{c_{A0}dx_{A} }{k*c_{A}*c_{B}}=\int_{0}^{x_{f} } \frac{dx_{A} }{k*(1-x_{A})*(c_{B0}-c_{A0}*x_{A})}=0.22 h. Theoretical volume is v=0.22*20729.76=4653.01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</si>
  <si>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353/62=5.7kmol/h. Hourly required chloroethanol: 5.7*80.5/(0.95*0.13)=3786.79kg/h. Hourly required sodium bicarbonate: 5.7*84*3.9/(0.95*0.22)=9208.67kg/h. Raw material volumetric flow rate: Q_{0}=(3786.79+9208.67)/1.79=7667.62L/h. Initial concentration of chloroethanol: c_{A0}=5.7*1000/(0.95*7667.62)=0.78mol/L. Initial concentration of sodium bicarbonate: c_{B0}=5.7*1000*3.9/(0.95*7667.62)=3.03mol/L. The concentration of chloroethanol: c_{A}=c_{A0}*(1-x). The concentration of sodium bicarbonate: c_{B}=c_{B0}-c_{A0}*x. Reaction time obtained through integral calculation: t=\int_{0}^{x_{f} } \frac{c_{A0}dx_{A} }{r_{A}}=\int_{0}^{x_{f} } \frac{c_{A0}dx_{A} }{k*c_{A}*c_{B}}=\int_{0}^{x_{f} } \frac{dx_{A} }{k*(1-x_{A})*(c_{B0}-c_{A0}*x_{A})}=0.22 h. Theoretical volume is v=0.22*7667.62=1700.05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</si>
  <si>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651/62=10.5kmol/h. Hourly required chloroethanol: 10.5*80.5/(0.94*0.21)=4193.25kg/h. Hourly required sodium bicarbonate: 10.5*84*3.1/(0.94*0.38)=7890.23kg/h. Raw material volumetric flow rate: Q_{0}=(4193.25+7890.23)/1.97=6106.75L/h. Initial concentration of chloroethanol: c_{A0}=10.5*1000/(0.94*6106.75)=1.8mol/L. Initial concentration of sodium bicarbonate: c_{B0}=10.5*1000*3.1/(0.94*6106.75)=5.57mol/L.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v=0.12*6106.75=745.85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</si>
  <si>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242/62=3.9kmol/h. Hourly required chloroethanol: 3.9*80.5/(0.9*0.25)=1401.57kg/h. Hourly required sodium bicarbonate: 3.9*84*1.5/(0.9*0.33)=1799.99kg/h. Raw material volumetric flow rate: Q_{0}=(1401.57+1799.99)/1.63=1896.11L/h. Initial concentration of chloroethanol: c_{A0}=3.9*1000/(0.9*1896.11)=2.2mol/L. Initial concentration of sodium bicarbonate: c_{B0}=3.9*1000*1.5/(0.9*1896.11)=3.31mol/L. The concentration of chloroethanol: c_{A}=c_{A0}*(1-x). The concentration of sodium bicarbonate: c_{B}=c_{B0}-c_{A0}*x. Reaction time obtained through integral calculation: t=\int_{0}^{x_{f} } \frac{c_{A0}dx_{A} }{r_{A}}=\int_{0}^{x_{f} } \frac{c_{A0}dx_{A} }{k*c_{A}*c_{B}}=\int_{0}^{x_{f} } \frac{dx_{A} }{k*(1-x_{A})*(c_{B0}-c_{A0}*x_{A})}=0.29 h. Theoretical volume is v=0.29*1896.11=555.57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</si>
  <si>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491/62=7.92kmol/h. Hourly required chloroethanol: 7.92*80.5/(0.89*0.16)=4661.23kg/h. Hourly required sodium bicarbonate: 7.92*84*1.4/(0.89*0.41)=2513.5kg/h. Raw material volumetric flow rate: Q_{0}=(4661.23+2513.5)/1.87=3766.67L/h. Initial concentration of chloroethanol: c_{A0}=7.92*1000/(0.89*3766.67)=2.49mol/L. Initial concentration of sodium bicarbonate: c_{B0}=7.92*1000*1.4/(0.89*3766.67)=3.04mol/L. The concentration of chloroethanol: c_{A}=c_{A0}*(1-x). The concentration of sodium bicarbonate: c_{B}=c_{B0}-c_{A0}*x. Reaction time obtained through integral calculation: t=\int_{0}^{x_{f} } \frac{c_{A0}dx_{A} }{r_{A}}=\int_{0}^{x_{f} } \frac{c_{A0}dx_{A} }{k*c_{A}*c_{B}}=\int_{0}^{x_{f} } \frac{dx_{A} }{k*(1-x_{A})*(c_{B0}-c_{A0}*x_{A})}=0.29 h. Theoretical volume is v=0.29*3766.67=1090.86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</si>
  <si>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792/62=12.77kmol/h. Hourly required chloroethanol: 12.77*80.5/(0.92*0.31)=3688.68kg/h. Hourly required sodium bicarbonate: 12.77*84*2.3/(0.92*0.45)=5930.17kg/h. Raw material volumetric flow rate: Q_{0}=(3688.68+5930.17)/1.8=5309.73L/h. Initial concentration of chloroethanol: c_{A0}=12.77*1000/(0.92*5309.73)=2.61mol/L. Initial concentration of sodium bicarbonate: c_{B0}=12.77*1000*2.3/(0.92*5309.73)=5.99mol/L. The concentration of chloroethanol: c_{A}=c_{A0}*(1-x). The concentration of sodium bicarbonate: c_{B}=c_{B0}-c_{A0}*x. Reaction time obtained through integral calculation: t=\int_{0}^{x_{f} } \frac{c_{A0}dx_{A} }{r_{A}}=\int_{0}^{x_{f} } \frac{c_{A0}dx_{A} }{k*c_{A}*c_{B}}=\int_{0}^{x_{f} } \frac{dx_{A} }{k*(1-x_{A})*(c_{B0}-c_{A0}*x_{A})}=0.13 h. Theoretical volume is v=0.13*5309.73=685.0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</si>
  <si>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411/62=6.63kmol/h. Hourly required chloroethanol: 6.63*80.5/(0.74*0.15)=4638.25kg/h. Hourly required sodium bicarbonate: 6.63*84*2.6/(0.74*0.45)=5034.8kg/h. Raw material volumetric flow rate: Q_{0}=(4638.25+5034.8)/1.32=7029.16L/h. Initial concentration of chloroethanol: c_{A0}=6.63*1000/(0.74*7029.16)=1.24mol/L. Initial concentration of sodium bicarbonate: c_{B0}=6.63*1000*2.6/(0.74*7029.16)=3.21mol/L.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v=0.09*7029.16=569.56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</si>
  <si>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776/62=12.52kmol/h. Hourly required chloroethanol: 12.52*80.5/(0.92*0.23)=4845.29kg/h. Hourly required sodium bicarbonate: 12.52*84*4.9/(0.92*0.33)=16593.36kg/h. Raw material volumetric flow rate: Q_{0}=(4845.29+16593.36)/1.33=17119.24L/h. Initial concentration of chloroethanol: c_{A0}=12.52*1000/(0.92*17119.24)=0.81mol/L. Initial concentration of sodium bicarbonate: c_{B0}=12.52*1000*4.9/(0.92*17119.24)=3.95mol/L. The concentration of chloroethanol: c_{A}=c_{A0}*(1-x). The concentration of sodium bicarbonate: c_{B}=c_{B0}-c_{A0}*x. Reaction time obtained through integral calculation: t=\int_{0}^{x_{f} } \frac{c_{A0}dx_{A} }{r_{A}}=\int_{0}^{x_{f} } \frac{c_{A0}dx_{A} }{k*c_{A}*c_{B}}=\int_{0}^{x_{f} } \frac{dx_{A} }{k*(1-x_{A})*(c_{B0}-c_{A0}*x_{A})}=0.15 h. Theoretical volume is v=0.15*17119.24=2672.61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</si>
  <si>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384/62=6.19kmol/h. Hourly required chloroethanol: 6.19*80.5/(0.84*0.44)=1358.77kg/h. Hourly required sodium bicarbonate: 6.19*84*4.6/(0.84*0.47)=4968.67kg/h. Raw material volumetric flow rate: Q_{0}=(1358.77+4968.67)/1.37=4136.74L/h. Initial concentration of chloroethanol: c_{A0}=6.19*1000/(0.84*4136.74)=1.85mol/L. Initial concentration of sodium bicarbonate: c_{B0}=6.19*1000*4.6/(0.84*4136.74)=8.45mol/L. The concentration of chloroethanol: c_{A}=c_{A0}*(1-x). The concentration of sodium bicarbonate: c_{B}=c_{B0}-c_{A0}*x. Reaction time obtained through integral calculation: t=\frac{c_{A0}*x_{f}}{r_{A}}=\frac{c_{A0}*x_{f}}{k*c_{A}*c_{B}}=\frac{x_{f}}{k*(1-x_{A})*(c_{B0}-c_{A0}*x_{A})}=0.1 h. Theoretical volume is v=0.1*4136.74=413.6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</si>
  <si>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</si>
  <si>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332/62=5.35kmol/h. Hourly required chloroethanol: 5.35*80.5/(0.73*0.09)=6815.65kg/h. Hourly required sodium bicarbonate: 5.35*84*2.7/(0.73*0.24)=4033.45kg/h. Raw material volumetric flow rate: Q_{0}=(6815.65+4033.45)/1.96=5506.43L/h. Initial concentration of chloroethanol: c_{A0}=5.35*1000/(0.73*5506.43)=1.3mol/L. Initial concentration of sodium bicarbonate: c_{B0}=5.35*1000*2.7/(0.73*5506.43)=3.52mol/L. The concentration of chloroethanol: c_{A}=c_{A0}*(1-x). The concentration of sodium bicarbonate: c_{B}=c_{B0}-c_{A0}*x. Reaction time obtained through integral calculation: t=\frac{c_{A0}*x_{f}}{r_{A}}=\frac{c_{A0}*x_{f}}{k*c_{A}*c_{B}}=\frac{x_{f}}{k*(1-x_{A})*(c_{B0}-c_{A0}*x_{A})}=0.17 h. Theoretical volume is v=0.17*5506.43=923.86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</si>
  <si>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848/62=13.65kmol/h. Hourly required chloroethanol: 13.65*80.5/(0.87*0.22)=5847.11kg/h. Hourly required sodium bicarbonate: 13.65*84*4.4/(0.87*0.4)=13660.79kg/h. Raw material volumetric flow rate: Q_{0}=(5847.11+13660.79)/1.45=13655.56L/h. Initial concentration of chloroethanol: c_{A0}=13.65*1000/(0.87*13655.56)=1.2mol/L. Initial concentration of sodium bicarbonate: c_{B0}=13.65*1000*4.4/(0.87*13655.56)=5.28mol/L.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v=0.08*13655.56=1119.96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</si>
  <si>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597/62=9.63kmol/h. Hourly required chloroethanol: 9.63*80.5/(0.84*0.09)=10533.06kg/h. Hourly required sodium bicarbonate: 9.63*84*3.0/(0.84*0.16)=17197.66kg/h. Raw material volumetric flow rate: Q_{0}=(10533.06+17197.66)/1.35=19216.06L/h. Initial concentration of chloroethanol: c_{A0}=9.63*1000/(0.84*19216.06)=0.57mol/L. Initial concentration of sodium bicarbonate: c_{B0}=9.63*1000*3.0/(0.84*19216.06)=1.71mol/L. The concentration of chloroethanol: c_{A}=c_{A0}*(1-x). The concentration of sodium bicarbonate: c_{B}=c_{B0}-c_{A0}*x. Reaction time obtained through integral calculation: t=\int_{0}^{x_{f} } \frac{c_{A0}dx_{A} }{r_{A}}=\int_{0}^{x_{f} } \frac{c_{A0}dx_{A} }{k*c_{A}*c_{B}}=\int_{0}^{x_{f} } \frac{dx_{A} }{k*(1-x_{A})*(c_{B0}-c_{A0}*x_{A})}=0.26 h. Theoretical volume is v=0.26*19216.06=5036.63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</si>
  <si>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</si>
  <si>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300/62=4.84kmol/h. Hourly required chloroethanol: 4.84*80.5/(0.8*0.25)=1919.25kg/h. Hourly required sodium bicarbonate: 4.84*84*2.1/(0.8*0.47)=2933.6kg/h. Raw material volumetric flow rate: Q_{0}=(1919.25+2933.6)/1.63=3092.19L/h. Initial concentration of chloroethanol: c_{A0}=4.84*1000/(0.8*3092.19)=1.93mol/L. Initial concentration of sodium bicarbonate: c_{B0}=4.84*1000*2.1/(0.8*3092.19)=3.04mol/L. The concentration of chloroethanol: c_{A}=c_{A0}*(1-x). The concentration of sodium bicarbonate: c_{B}=c_{B0}-c_{A0}*x. Reaction time obtained through integral calculation: t=\int_{0}^{x_{f} } \frac{c_{A0}dx_{A} }{r_{A}}=\int_{0}^{x_{f} } \frac{c_{A0}dx_{A} }{k*c_{A}*c_{B}}=\int_{0}^{x_{f} } \frac{dx_{A} }{k*(1-x_{A})*(c_{B0}-c_{A0}*x_{A})}=0.17 h. Theoretical volume is v=0.17*3092.19=522.88 l.After comprehensively considering various factors in the reaction process, the operating temperatures remain moderate with no presence of highly corrosive substances. Given the cost considerations, we recommend using carbon steel as the reactor material.</t>
  </si>
  <si>
    <t>4.2.2节 测试结果</t>
    <phoneticPr fontId="1" type="noConversion"/>
  </si>
  <si>
    <t>虚拟反应</t>
    <phoneticPr fontId="1" type="noConversion"/>
  </si>
  <si>
    <t>真实反应</t>
    <phoneticPr fontId="1" type="noConversion"/>
  </si>
  <si>
    <t>llama3数据统计</t>
    <phoneticPr fontId="1" type="noConversion"/>
  </si>
  <si>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794.8 L/h. The initial concentration of acetic acid is c_{A0} = 473.86*1000/(60*794.8) = 9.81 mol/L. The initial concentration of ethanol is c_{B0} = 363.3*1000/(46*794.8)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x)}=0.,where k=3.56 \times 10^{-5}*1000=0.0356 mol/(dm^3.min). The required reaction time is t=0 h. Theoretical volume is v=0. h*0.794=0.794 l.After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</si>
  <si>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 xml:space="preserve">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</si>
  <si>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0到0.3</t>
    <phoneticPr fontId="1" type="noConversion"/>
  </si>
  <si>
    <t>0.3到0.7</t>
    <phoneticPr fontId="1" type="noConversion"/>
  </si>
  <si>
    <t>0.7到1</t>
    <phoneticPr fontId="1" type="noConversion"/>
  </si>
  <si>
    <t>大于1</t>
    <phoneticPr fontId="1" type="noConversion"/>
  </si>
  <si>
    <t>&lt;think&gt;
&lt;/think&gt;
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627.8 L/h. The initial concentration of acetic acid is c_{A0} = 295.23*1000/(60*627.8) = 7.83 mol/L. The initial concentration of ethanol is c_{B0} = 226.34*1000/(46*627.8)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}{k1*(1-x_{A})*(c_{B0}-c_{A0}*x_{A})-\frac{c_{A0}*x_{A}*x_{A}}{kc}}=96.84 h. Theoretical volume is v=96.84*627.8=60895.3 iL. Given the relative error index with low flow rate is 0.82, the actual volume is 64399. l. Theoretical concentration of A is c_{A0}=60895.3*1000/(60*96.84)=1088.64 mol/L. Theoretical concentration of B is c_{B0}=1088.64*1000/46=236.45 mol/L. Theoretical concentration of C is c_{C0}=1088.64*1000*0.82/60=147.75 mol/L. Theoretical concentration of D is c_{D0}=1088.64*1000*0.82/60=147.75 mol/L. Concentration of A at conversion x is c_{A}=1088.64*(1-x). Concentration of B at conversion x is c_{B}=236.45-236.45*x. Concentration of C at conversion x is c_{C}=147.75-147.75*x. Concentration of D at conversion x is c_{D}=147.75-147.75*x.</t>
    <phoneticPr fontId="1" type="noConversion"/>
  </si>
  <si>
    <t>&lt;think&gt;
&lt;/think&gt;
The molar mass of acetic acid is 60 kg/kmol, ethanol is 46 kg/kmol, and ethyl acetate is 88 kg/kmol. The molar flow rate of ethyl acetate required per hour is n_product = 782/88 = 8.91 kmol/h. According to the chemical reaction equation, the mass flow rate of acetic acid required per hour is m_A = 8.91*60 = 534.55 kg/h. The mass flow rate of ethanol required per hour is m_B = 8.91*46 = 409.82 kg/h. The total volumetric feed flow rate is q_raw = (534.55+409.82)*1000/1.18 = 791.78 L/h. The initial concentration of acetic acid is c_{A0} = 534.55*1000/(60*791.78) = 11.23 mol/L. The initial concentration of ethanol is c_{B0} = 409.82*1000/(46*791.78) = 11.23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x)}=0.08 h. Theoretical volume is v=0.08*791.78=63.18 l. Given the presence of highly corrosive substances in the reactor, we recommend using stainless steel as the reactor material.</t>
    <phoneticPr fontId="1" type="noConversion"/>
  </si>
  <si>
    <t>4.2.3</t>
    <phoneticPr fontId="1" type="noConversion"/>
  </si>
  <si>
    <t>去除大于1</t>
    <phoneticPr fontId="1" type="noConversion"/>
  </si>
  <si>
    <t>去除大于5</t>
    <phoneticPr fontId="1" type="noConversion"/>
  </si>
  <si>
    <t>0.206</t>
    <phoneticPr fontId="1" type="noConversion"/>
  </si>
  <si>
    <t>0.251</t>
    <phoneticPr fontId="1" type="noConversion"/>
  </si>
  <si>
    <t>0.306</t>
    <phoneticPr fontId="1" type="noConversion"/>
  </si>
  <si>
    <t>0.345</t>
    <phoneticPr fontId="1" type="noConversion"/>
  </si>
  <si>
    <t>The relative molecular weight of NaHCO_{3} is 84 kg/kmol, CH_{2}ClCH_{2}OH is 80.5 kg/kmol, CH_{2}OHCH_{2}OH is 62 kg/kmol. Hourly production of ethylene glycol: 300/62=4.84kmol/h. Hourly required chloroethanol: 4.84*80.5/(0.8*0.25)=1968.05kg/h. Hourly required sodium bicarbonate: 4.84*84*2.1/(0.8*0.47)=2320.82kg/h. Raw material volumetric flow rate: Q_{0}=(1968.05+2320.82)/1.63=2714.16L/h. Initial concentration of chloroethanol: c_{A0}=4.84*1000/(0.8*2714.16)=2.15mol/L. Initial concentration of sodium bicarbonate: c_{B0}=4.84*1000*2.1/(0.8*2714.16)=5.81mol/L.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v=0.08*2714.16=220.11 l.After comprehensively considering various factors in the reaction process, the operating temperatures remain moderate with no presence of highly corrosive substances. Given the cost considerations, we recommend using carbon steel as the reactor material.</t>
    <phoneticPr fontId="1" type="noConversion"/>
  </si>
  <si>
    <t>None</t>
    <phoneticPr fontId="1" type="noConversion"/>
  </si>
  <si>
    <t>carbon steel</t>
    <phoneticPr fontId="1" type="noConversion"/>
  </si>
  <si>
    <t>选型正确率</t>
    <phoneticPr fontId="1" type="noConversion"/>
  </si>
  <si>
    <t>NONE</t>
    <phoneticPr fontId="1" type="noConversion"/>
  </si>
  <si>
    <t>正确选型</t>
  </si>
  <si>
    <t>正确选型</t>
    <phoneticPr fontId="1" type="noConversion"/>
  </si>
  <si>
    <t>模型名</t>
  </si>
  <si>
    <t>选型正确率</t>
  </si>
  <si>
    <t>总表对比</t>
    <phoneticPr fontId="1" type="noConversion"/>
  </si>
  <si>
    <t>训练时间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</si>
</sst>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5" x14ac:knownFonts="1">
    <font>
      <sz val="11"/>
      <color theme="1"/>
      <name val="等线"/>
      <family val="2"/>
      <scheme val="minor"/>
    </font>
    <font>
      <sz val="9"/>
      <name val="等线"/>
      <family val="3"/>
      <charset val="134"/>
      <scheme val="minor"/>
    </font>
    <font>
      <b/>
      <sz val="11"/>
      <name val="宋体"/>
      <family val="3"/>
      <charset val="134"/>
    </font>
    <font>
      <sz val="10.5"/>
      <color theme="1"/>
      <name val="Times New Roman"/>
      <family val="1"/>
    </font>
    <font>
      <sz val="10"/>
      <color rgb="FF0F1115"/>
      <name val="Consolas"/>
      <family val="3"/>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top"/>
    </xf>
    <xf numFmtId="0" fontId="0" fillId="0" borderId="0" xfId="0" applyAlignment="1"/>
    <xf numFmtId="0" fontId="0" fillId="0" borderId="1" xfId="0" applyBorder="1" applyAlignment="1">
      <alignment horizontal="center" vertical="center"/>
    </xf>
    <xf numFmtId="0" fontId="0" fillId="0" borderId="1" xfId="0" applyBorder="1"/>
    <xf numFmtId="49" fontId="0" fillId="0" borderId="1" xfId="0" applyNumberFormat="1" applyBorder="1" applyAlignment="1">
      <alignment horizontal="center" vertical="center"/>
    </xf>
    <xf numFmtId="0" fontId="0" fillId="0" borderId="0" xfId="0" applyAlignment="1">
      <alignment wrapText="1"/>
    </xf>
    <xf numFmtId="0" fontId="0" fillId="0" borderId="0" xfId="0" applyBorder="1"/>
    <xf numFmtId="0" fontId="0" fillId="0" borderId="1" xfId="0" applyNumberFormat="1" applyBorder="1" applyAlignment="1">
      <alignment horizontal="center" vertical="center"/>
    </xf>
    <xf numFmtId="176" fontId="0" fillId="0" borderId="1" xfId="0" applyNumberFormat="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5" xfId="0" applyFill="1" applyBorder="1" applyAlignment="1">
      <alignment horizontal="center" vertical="center"/>
    </xf>
    <xf numFmtId="0" fontId="3" fillId="0" borderId="0" xfId="0" applyFont="1" applyBorder="1" applyAlignment="1">
      <alignment horizontal="center" vertical="center"/>
    </xf>
    <xf numFmtId="0" fontId="4" fillId="0" borderId="0" xfId="0" applyFont="1" applyAlignment="1">
      <alignment horizontal="left" vertical="center" indent="1"/>
    </xf>
    <xf numFmtId="10" fontId="0" fillId="0" borderId="1" xfId="0" applyNumberFormat="1" applyBorder="1" applyAlignment="1">
      <alignment horizontal="center" vertical="center"/>
    </xf>
    <xf numFmtId="0" fontId="0" fillId="0" borderId="1" xfId="0" applyBorder="1" applyAlignment="1">
      <alignment horizontal="center" vertical="center"/>
    </xf>
    <xf numFmtId="10" fontId="0" fillId="0" borderId="1" xfId="0" applyNumberFormat="1" applyBorder="1"/>
    <xf numFmtId="0" fontId="0" fillId="0" borderId="6"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相对误差分布</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数据处理!$C$4</c:f>
              <c:strCache>
                <c:ptCount val="1"/>
                <c:pt idx="0">
                  <c:v>0到0.7</c:v>
                </c:pt>
              </c:strCache>
            </c:strRef>
          </c:tx>
          <c:spPr>
            <a:solidFill>
              <a:schemeClr val="accent1"/>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数据处理!$C$5:$C$9</c:f>
              <c:numCache>
                <c:formatCode>General</c:formatCode>
                <c:ptCount val="5"/>
                <c:pt idx="0">
                  <c:v>35</c:v>
                </c:pt>
                <c:pt idx="1">
                  <c:v>40</c:v>
                </c:pt>
                <c:pt idx="2">
                  <c:v>43</c:v>
                </c:pt>
                <c:pt idx="3">
                  <c:v>38</c:v>
                </c:pt>
                <c:pt idx="4">
                  <c:v>33</c:v>
                </c:pt>
              </c:numCache>
            </c:numRef>
          </c:val>
          <c:extLst>
            <c:ext xmlns:c16="http://schemas.microsoft.com/office/drawing/2014/chart" uri="{C3380CC4-5D6E-409C-BE32-E72D297353CC}">
              <c16:uniqueId val="{00000000-0C9E-4376-B7BC-9160F61A830C}"/>
            </c:ext>
          </c:extLst>
        </c:ser>
        <c:ser>
          <c:idx val="1"/>
          <c:order val="1"/>
          <c:tx>
            <c:strRef>
              <c:f>数据处理!$D$4</c:f>
              <c:strCache>
                <c:ptCount val="1"/>
                <c:pt idx="0">
                  <c:v>0.7到1.5</c:v>
                </c:pt>
              </c:strCache>
            </c:strRef>
          </c:tx>
          <c:spPr>
            <a:solidFill>
              <a:schemeClr val="accent2"/>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数据处理!$D$5:$D$9</c:f>
              <c:numCache>
                <c:formatCode>General</c:formatCode>
                <c:ptCount val="5"/>
                <c:pt idx="0">
                  <c:v>32</c:v>
                </c:pt>
                <c:pt idx="1">
                  <c:v>32</c:v>
                </c:pt>
                <c:pt idx="2">
                  <c:v>27</c:v>
                </c:pt>
                <c:pt idx="3">
                  <c:v>30</c:v>
                </c:pt>
                <c:pt idx="4">
                  <c:v>46</c:v>
                </c:pt>
              </c:numCache>
            </c:numRef>
          </c:val>
          <c:extLst>
            <c:ext xmlns:c16="http://schemas.microsoft.com/office/drawing/2014/chart" uri="{C3380CC4-5D6E-409C-BE32-E72D297353CC}">
              <c16:uniqueId val="{00000001-0C9E-4376-B7BC-9160F61A830C}"/>
            </c:ext>
          </c:extLst>
        </c:ser>
        <c:ser>
          <c:idx val="2"/>
          <c:order val="2"/>
          <c:tx>
            <c:strRef>
              <c:f>数据处理!$E$4</c:f>
              <c:strCache>
                <c:ptCount val="1"/>
                <c:pt idx="0">
                  <c:v>1.5到5</c:v>
                </c:pt>
              </c:strCache>
            </c:strRef>
          </c:tx>
          <c:spPr>
            <a:solidFill>
              <a:schemeClr val="accent3"/>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数据处理!$E$5:$E$9</c:f>
              <c:numCache>
                <c:formatCode>General</c:formatCode>
                <c:ptCount val="5"/>
                <c:pt idx="0">
                  <c:v>11</c:v>
                </c:pt>
                <c:pt idx="1">
                  <c:v>8</c:v>
                </c:pt>
                <c:pt idx="2">
                  <c:v>14</c:v>
                </c:pt>
                <c:pt idx="3">
                  <c:v>17</c:v>
                </c:pt>
                <c:pt idx="4">
                  <c:v>5</c:v>
                </c:pt>
              </c:numCache>
            </c:numRef>
          </c:val>
          <c:extLst>
            <c:ext xmlns:c16="http://schemas.microsoft.com/office/drawing/2014/chart" uri="{C3380CC4-5D6E-409C-BE32-E72D297353CC}">
              <c16:uniqueId val="{00000002-0C9E-4376-B7BC-9160F61A830C}"/>
            </c:ext>
          </c:extLst>
        </c:ser>
        <c:ser>
          <c:idx val="3"/>
          <c:order val="3"/>
          <c:tx>
            <c:strRef>
              <c:f>数据处理!$F$4</c:f>
              <c:strCache>
                <c:ptCount val="1"/>
                <c:pt idx="0">
                  <c:v>大于5</c:v>
                </c:pt>
              </c:strCache>
            </c:strRef>
          </c:tx>
          <c:spPr>
            <a:solidFill>
              <a:schemeClr val="accent4"/>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数据处理!$F$5:$F$9</c:f>
              <c:numCache>
                <c:formatCode>General</c:formatCode>
                <c:ptCount val="5"/>
                <c:pt idx="0">
                  <c:v>12</c:v>
                </c:pt>
                <c:pt idx="1">
                  <c:v>10</c:v>
                </c:pt>
                <c:pt idx="2">
                  <c:v>6</c:v>
                </c:pt>
                <c:pt idx="3">
                  <c:v>5</c:v>
                </c:pt>
                <c:pt idx="4">
                  <c:v>6</c:v>
                </c:pt>
              </c:numCache>
            </c:numRef>
          </c:val>
          <c:extLst>
            <c:ext xmlns:c16="http://schemas.microsoft.com/office/drawing/2014/chart" uri="{C3380CC4-5D6E-409C-BE32-E72D297353CC}">
              <c16:uniqueId val="{00000003-0C9E-4376-B7BC-9160F61A830C}"/>
            </c:ext>
          </c:extLst>
        </c:ser>
        <c:dLbls>
          <c:showLegendKey val="0"/>
          <c:showVal val="0"/>
          <c:showCatName val="0"/>
          <c:showSerName val="0"/>
          <c:showPercent val="0"/>
          <c:showBubbleSize val="0"/>
        </c:dLbls>
        <c:gapWidth val="219"/>
        <c:overlap val="-27"/>
        <c:axId val="434222991"/>
        <c:axId val="434213839"/>
      </c:barChart>
      <c:catAx>
        <c:axId val="4342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434213839"/>
        <c:crosses val="autoZero"/>
        <c:auto val="1"/>
        <c:lblAlgn val="ctr"/>
        <c:lblOffset val="100"/>
        <c:noMultiLvlLbl val="0"/>
      </c:catAx>
      <c:valAx>
        <c:axId val="4342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422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虚拟反应训练时间与损失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数据处理!$P$4</c:f>
              <c:strCache>
                <c:ptCount val="1"/>
                <c:pt idx="0">
                  <c:v>训练时间(s)</c:v>
                </c:pt>
              </c:strCache>
            </c:strRef>
          </c:tx>
          <c:spPr>
            <a:solidFill>
              <a:schemeClr val="accent1"/>
            </a:solidFill>
            <a:ln>
              <a:noFill/>
            </a:ln>
            <a:effectLst/>
          </c:spPr>
          <c:invertIfNegative val="0"/>
          <c:cat>
            <c:strRef>
              <c:f>数据处理!$O$5:$O$9</c:f>
              <c:strCache>
                <c:ptCount val="5"/>
                <c:pt idx="0">
                  <c:v>Qwen2.5-Omni</c:v>
                </c:pt>
                <c:pt idx="1">
                  <c:v>Qwen2.5-Math</c:v>
                </c:pt>
                <c:pt idx="2">
                  <c:v>Llama-3.2</c:v>
                </c:pt>
                <c:pt idx="3">
                  <c:v>Gemma-3</c:v>
                </c:pt>
                <c:pt idx="4">
                  <c:v>DeepSeek-R1-Distill</c:v>
                </c:pt>
              </c:strCache>
            </c:strRef>
          </c:cat>
          <c:val>
            <c:numRef>
              <c:f>数据处理!$P$5:$P$9</c:f>
              <c:numCache>
                <c:formatCode>General</c:formatCode>
                <c:ptCount val="5"/>
                <c:pt idx="0">
                  <c:v>18041</c:v>
                </c:pt>
                <c:pt idx="1">
                  <c:v>11554</c:v>
                </c:pt>
                <c:pt idx="2">
                  <c:v>16212</c:v>
                </c:pt>
                <c:pt idx="3">
                  <c:v>12030</c:v>
                </c:pt>
                <c:pt idx="4">
                  <c:v>10466</c:v>
                </c:pt>
              </c:numCache>
            </c:numRef>
          </c:val>
          <c:extLst>
            <c:ext xmlns:c16="http://schemas.microsoft.com/office/drawing/2014/chart" uri="{C3380CC4-5D6E-409C-BE32-E72D297353CC}">
              <c16:uniqueId val="{00000000-D572-40A3-B3AF-CFABDC340024}"/>
            </c:ext>
          </c:extLst>
        </c:ser>
        <c:dLbls>
          <c:showLegendKey val="0"/>
          <c:showVal val="0"/>
          <c:showCatName val="0"/>
          <c:showSerName val="0"/>
          <c:showPercent val="0"/>
          <c:showBubbleSize val="0"/>
        </c:dLbls>
        <c:gapWidth val="219"/>
        <c:axId val="591340127"/>
        <c:axId val="591345119"/>
      </c:barChart>
      <c:lineChart>
        <c:grouping val="standard"/>
        <c:varyColors val="0"/>
        <c:ser>
          <c:idx val="1"/>
          <c:order val="1"/>
          <c:tx>
            <c:strRef>
              <c:f>数据处理!$Q$4</c:f>
              <c:strCache>
                <c:ptCount val="1"/>
                <c:pt idx="0">
                  <c:v>训练损失</c:v>
                </c:pt>
              </c:strCache>
            </c:strRef>
          </c:tx>
          <c:spPr>
            <a:ln w="28575" cap="rnd">
              <a:solidFill>
                <a:schemeClr val="accent2"/>
              </a:solidFill>
              <a:round/>
            </a:ln>
            <a:effectLst/>
          </c:spPr>
          <c:marker>
            <c:symbol val="none"/>
          </c:marker>
          <c:cat>
            <c:strRef>
              <c:f>数据处理!$O$5:$O$9</c:f>
              <c:strCache>
                <c:ptCount val="5"/>
                <c:pt idx="0">
                  <c:v>Qwen2.5-Omni</c:v>
                </c:pt>
                <c:pt idx="1">
                  <c:v>Qwen2.5-Math</c:v>
                </c:pt>
                <c:pt idx="2">
                  <c:v>Llama-3.2</c:v>
                </c:pt>
                <c:pt idx="3">
                  <c:v>Gemma-3</c:v>
                </c:pt>
                <c:pt idx="4">
                  <c:v>DeepSeek-R1-Distill</c:v>
                </c:pt>
              </c:strCache>
            </c:strRef>
          </c:cat>
          <c:val>
            <c:numRef>
              <c:f>数据处理!$Q$5:$Q$9</c:f>
              <c:numCache>
                <c:formatCode>0.000</c:formatCode>
                <c:ptCount val="5"/>
                <c:pt idx="0">
                  <c:v>0.08</c:v>
                </c:pt>
                <c:pt idx="1">
                  <c:v>3.8399999999999997E-2</c:v>
                </c:pt>
                <c:pt idx="2">
                  <c:v>2.5399999999999999E-2</c:v>
                </c:pt>
                <c:pt idx="3">
                  <c:v>4.1500000000000002E-2</c:v>
                </c:pt>
                <c:pt idx="4">
                  <c:v>0.135238738270366</c:v>
                </c:pt>
              </c:numCache>
            </c:numRef>
          </c:val>
          <c:smooth val="0"/>
          <c:extLst>
            <c:ext xmlns:c16="http://schemas.microsoft.com/office/drawing/2014/chart" uri="{C3380CC4-5D6E-409C-BE32-E72D297353CC}">
              <c16:uniqueId val="{00000001-D572-40A3-B3AF-CFABDC340024}"/>
            </c:ext>
          </c:extLst>
        </c:ser>
        <c:dLbls>
          <c:showLegendKey val="0"/>
          <c:showVal val="0"/>
          <c:showCatName val="0"/>
          <c:showSerName val="0"/>
          <c:showPercent val="0"/>
          <c:showBubbleSize val="0"/>
        </c:dLbls>
        <c:marker val="1"/>
        <c:smooth val="0"/>
        <c:axId val="591356351"/>
        <c:axId val="591334719"/>
      </c:lineChart>
      <c:catAx>
        <c:axId val="59134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591345119"/>
        <c:crosses val="autoZero"/>
        <c:auto val="1"/>
        <c:lblAlgn val="ctr"/>
        <c:lblOffset val="100"/>
        <c:noMultiLvlLbl val="0"/>
      </c:catAx>
      <c:valAx>
        <c:axId val="5913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40127"/>
        <c:crosses val="autoZero"/>
        <c:crossBetween val="between"/>
      </c:valAx>
      <c:valAx>
        <c:axId val="591334719"/>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56351"/>
        <c:crosses val="max"/>
        <c:crossBetween val="between"/>
      </c:valAx>
      <c:catAx>
        <c:axId val="591356351"/>
        <c:scaling>
          <c:orientation val="minMax"/>
        </c:scaling>
        <c:delete val="1"/>
        <c:axPos val="b"/>
        <c:numFmt formatCode="General" sourceLinked="1"/>
        <c:majorTickMark val="out"/>
        <c:minorTickMark val="none"/>
        <c:tickLblPos val="nextTo"/>
        <c:crossAx val="591334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真实反应训练时间与损失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数据处理!$P$4</c:f>
              <c:strCache>
                <c:ptCount val="1"/>
                <c:pt idx="0">
                  <c:v>训练时间(s)</c:v>
                </c:pt>
              </c:strCache>
            </c:strRef>
          </c:tx>
          <c:spPr>
            <a:solidFill>
              <a:schemeClr val="accent1"/>
            </a:solidFill>
            <a:ln>
              <a:noFill/>
            </a:ln>
            <a:effectLst/>
          </c:spPr>
          <c:invertIfNegative val="0"/>
          <c:cat>
            <c:strRef>
              <c:f>数据处理!$O$18:$O$22</c:f>
              <c:strCache>
                <c:ptCount val="5"/>
                <c:pt idx="0">
                  <c:v>Qwen2.5-Omni</c:v>
                </c:pt>
                <c:pt idx="1">
                  <c:v>Qwen2.5-Math</c:v>
                </c:pt>
                <c:pt idx="2">
                  <c:v>Llama-3.2</c:v>
                </c:pt>
                <c:pt idx="3">
                  <c:v>Gemma-3</c:v>
                </c:pt>
                <c:pt idx="4">
                  <c:v>DeepSeek-R1-Distill</c:v>
                </c:pt>
              </c:strCache>
            </c:strRef>
          </c:cat>
          <c:val>
            <c:numRef>
              <c:f>数据处理!$P$18:$P$22</c:f>
              <c:numCache>
                <c:formatCode>General</c:formatCode>
                <c:ptCount val="5"/>
                <c:pt idx="0">
                  <c:v>23011</c:v>
                </c:pt>
                <c:pt idx="1">
                  <c:v>11857</c:v>
                </c:pt>
                <c:pt idx="2">
                  <c:v>15480</c:v>
                </c:pt>
                <c:pt idx="3">
                  <c:v>11935</c:v>
                </c:pt>
                <c:pt idx="4">
                  <c:v>11756</c:v>
                </c:pt>
              </c:numCache>
            </c:numRef>
          </c:val>
          <c:extLst>
            <c:ext xmlns:c16="http://schemas.microsoft.com/office/drawing/2014/chart" uri="{C3380CC4-5D6E-409C-BE32-E72D297353CC}">
              <c16:uniqueId val="{00000000-5118-4315-8D87-2C6300E93CCB}"/>
            </c:ext>
          </c:extLst>
        </c:ser>
        <c:dLbls>
          <c:showLegendKey val="0"/>
          <c:showVal val="0"/>
          <c:showCatName val="0"/>
          <c:showSerName val="0"/>
          <c:showPercent val="0"/>
          <c:showBubbleSize val="0"/>
        </c:dLbls>
        <c:gapWidth val="219"/>
        <c:axId val="591340127"/>
        <c:axId val="591345119"/>
      </c:barChart>
      <c:lineChart>
        <c:grouping val="standard"/>
        <c:varyColors val="0"/>
        <c:ser>
          <c:idx val="1"/>
          <c:order val="1"/>
          <c:tx>
            <c:strRef>
              <c:f>数据处理!$Q$4</c:f>
              <c:strCache>
                <c:ptCount val="1"/>
                <c:pt idx="0">
                  <c:v>训练损失</c:v>
                </c:pt>
              </c:strCache>
            </c:strRef>
          </c:tx>
          <c:spPr>
            <a:ln w="28575" cap="rnd">
              <a:solidFill>
                <a:schemeClr val="accent2"/>
              </a:solidFill>
              <a:round/>
            </a:ln>
            <a:effectLst/>
          </c:spPr>
          <c:marker>
            <c:symbol val="none"/>
          </c:marker>
          <c:cat>
            <c:strRef>
              <c:f>数据处理!$O$18:$O$22</c:f>
              <c:strCache>
                <c:ptCount val="5"/>
                <c:pt idx="0">
                  <c:v>Qwen2.5-Omni</c:v>
                </c:pt>
                <c:pt idx="1">
                  <c:v>Qwen2.5-Math</c:v>
                </c:pt>
                <c:pt idx="2">
                  <c:v>Llama-3.2</c:v>
                </c:pt>
                <c:pt idx="3">
                  <c:v>Gemma-3</c:v>
                </c:pt>
                <c:pt idx="4">
                  <c:v>DeepSeek-R1-Distill</c:v>
                </c:pt>
              </c:strCache>
            </c:strRef>
          </c:cat>
          <c:val>
            <c:numRef>
              <c:f>数据处理!$Q$18:$Q$22</c:f>
              <c:numCache>
                <c:formatCode>0.000</c:formatCode>
                <c:ptCount val="5"/>
                <c:pt idx="0">
                  <c:v>4.3999999999999997E-2</c:v>
                </c:pt>
                <c:pt idx="1">
                  <c:v>0.06</c:v>
                </c:pt>
                <c:pt idx="2">
                  <c:v>4.3999999999999997E-2</c:v>
                </c:pt>
                <c:pt idx="3">
                  <c:v>6.0999999999999999E-2</c:v>
                </c:pt>
                <c:pt idx="4">
                  <c:v>6.8000000000000005E-2</c:v>
                </c:pt>
              </c:numCache>
            </c:numRef>
          </c:val>
          <c:smooth val="0"/>
          <c:extLst>
            <c:ext xmlns:c16="http://schemas.microsoft.com/office/drawing/2014/chart" uri="{C3380CC4-5D6E-409C-BE32-E72D297353CC}">
              <c16:uniqueId val="{00000001-5118-4315-8D87-2C6300E93CCB}"/>
            </c:ext>
          </c:extLst>
        </c:ser>
        <c:dLbls>
          <c:showLegendKey val="0"/>
          <c:showVal val="0"/>
          <c:showCatName val="0"/>
          <c:showSerName val="0"/>
          <c:showPercent val="0"/>
          <c:showBubbleSize val="0"/>
        </c:dLbls>
        <c:marker val="1"/>
        <c:smooth val="0"/>
        <c:axId val="591356351"/>
        <c:axId val="591334719"/>
      </c:lineChart>
      <c:catAx>
        <c:axId val="59134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591345119"/>
        <c:crosses val="autoZero"/>
        <c:auto val="1"/>
        <c:lblAlgn val="ctr"/>
        <c:lblOffset val="100"/>
        <c:noMultiLvlLbl val="0"/>
      </c:catAx>
      <c:valAx>
        <c:axId val="5913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40127"/>
        <c:crosses val="autoZero"/>
        <c:crossBetween val="between"/>
      </c:valAx>
      <c:valAx>
        <c:axId val="591334719"/>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56351"/>
        <c:crosses val="max"/>
        <c:crossBetween val="between"/>
      </c:valAx>
      <c:catAx>
        <c:axId val="591356351"/>
        <c:scaling>
          <c:orientation val="minMax"/>
        </c:scaling>
        <c:delete val="1"/>
        <c:axPos val="b"/>
        <c:numFmt formatCode="General" sourceLinked="1"/>
        <c:majorTickMark val="out"/>
        <c:minorTickMark val="none"/>
        <c:tickLblPos val="nextTo"/>
        <c:crossAx val="591334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相对误差分布</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数据处理!$C$31</c:f>
              <c:strCache>
                <c:ptCount val="1"/>
                <c:pt idx="0">
                  <c:v>0到0.3</c:v>
                </c:pt>
              </c:strCache>
            </c:strRef>
          </c:tx>
          <c:spPr>
            <a:solidFill>
              <a:schemeClr val="accent1"/>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数据处理!$C$32:$C$36</c:f>
              <c:numCache>
                <c:formatCode>General</c:formatCode>
                <c:ptCount val="5"/>
                <c:pt idx="0">
                  <c:v>60</c:v>
                </c:pt>
                <c:pt idx="1">
                  <c:v>51</c:v>
                </c:pt>
                <c:pt idx="2">
                  <c:v>49</c:v>
                </c:pt>
                <c:pt idx="3">
                  <c:v>41</c:v>
                </c:pt>
                <c:pt idx="4">
                  <c:v>58</c:v>
                </c:pt>
              </c:numCache>
            </c:numRef>
          </c:val>
          <c:extLst>
            <c:ext xmlns:c16="http://schemas.microsoft.com/office/drawing/2014/chart" uri="{C3380CC4-5D6E-409C-BE32-E72D297353CC}">
              <c16:uniqueId val="{00000000-4168-4667-8A85-A67025E0BB62}"/>
            </c:ext>
          </c:extLst>
        </c:ser>
        <c:ser>
          <c:idx val="1"/>
          <c:order val="1"/>
          <c:tx>
            <c:strRef>
              <c:f>数据处理!$D$31</c:f>
              <c:strCache>
                <c:ptCount val="1"/>
                <c:pt idx="0">
                  <c:v>0.3到0.7</c:v>
                </c:pt>
              </c:strCache>
            </c:strRef>
          </c:tx>
          <c:spPr>
            <a:solidFill>
              <a:schemeClr val="accent2"/>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数据处理!$D$32:$D$36</c:f>
              <c:numCache>
                <c:formatCode>General</c:formatCode>
                <c:ptCount val="5"/>
                <c:pt idx="0">
                  <c:v>12</c:v>
                </c:pt>
                <c:pt idx="1">
                  <c:v>16</c:v>
                </c:pt>
                <c:pt idx="2">
                  <c:v>16</c:v>
                </c:pt>
                <c:pt idx="3">
                  <c:v>20</c:v>
                </c:pt>
                <c:pt idx="4">
                  <c:v>11</c:v>
                </c:pt>
              </c:numCache>
            </c:numRef>
          </c:val>
          <c:extLst>
            <c:ext xmlns:c16="http://schemas.microsoft.com/office/drawing/2014/chart" uri="{C3380CC4-5D6E-409C-BE32-E72D297353CC}">
              <c16:uniqueId val="{00000001-4168-4667-8A85-A67025E0BB62}"/>
            </c:ext>
          </c:extLst>
        </c:ser>
        <c:ser>
          <c:idx val="2"/>
          <c:order val="2"/>
          <c:tx>
            <c:strRef>
              <c:f>数据处理!$E$31</c:f>
              <c:strCache>
                <c:ptCount val="1"/>
                <c:pt idx="0">
                  <c:v>0.7到1</c:v>
                </c:pt>
              </c:strCache>
            </c:strRef>
          </c:tx>
          <c:spPr>
            <a:solidFill>
              <a:schemeClr val="accent3"/>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数据处理!$E$32:$E$36</c:f>
              <c:numCache>
                <c:formatCode>General</c:formatCode>
                <c:ptCount val="5"/>
                <c:pt idx="0">
                  <c:v>6</c:v>
                </c:pt>
                <c:pt idx="1">
                  <c:v>7</c:v>
                </c:pt>
                <c:pt idx="2">
                  <c:v>12</c:v>
                </c:pt>
                <c:pt idx="3">
                  <c:v>13</c:v>
                </c:pt>
                <c:pt idx="4">
                  <c:v>3</c:v>
                </c:pt>
              </c:numCache>
            </c:numRef>
          </c:val>
          <c:extLst>
            <c:ext xmlns:c16="http://schemas.microsoft.com/office/drawing/2014/chart" uri="{C3380CC4-5D6E-409C-BE32-E72D297353CC}">
              <c16:uniqueId val="{00000002-4168-4667-8A85-A67025E0BB62}"/>
            </c:ext>
          </c:extLst>
        </c:ser>
        <c:ser>
          <c:idx val="3"/>
          <c:order val="3"/>
          <c:tx>
            <c:strRef>
              <c:f>数据处理!$F$31</c:f>
              <c:strCache>
                <c:ptCount val="1"/>
                <c:pt idx="0">
                  <c:v>大于1</c:v>
                </c:pt>
              </c:strCache>
            </c:strRef>
          </c:tx>
          <c:spPr>
            <a:solidFill>
              <a:schemeClr val="accent4"/>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数据处理!$F$32:$F$36</c:f>
              <c:numCache>
                <c:formatCode>General</c:formatCode>
                <c:ptCount val="5"/>
                <c:pt idx="0">
                  <c:v>10</c:v>
                </c:pt>
                <c:pt idx="1">
                  <c:v>14</c:v>
                </c:pt>
                <c:pt idx="2">
                  <c:v>11</c:v>
                </c:pt>
                <c:pt idx="3">
                  <c:v>14</c:v>
                </c:pt>
                <c:pt idx="4">
                  <c:v>16</c:v>
                </c:pt>
              </c:numCache>
            </c:numRef>
          </c:val>
          <c:extLst>
            <c:ext xmlns:c16="http://schemas.microsoft.com/office/drawing/2014/chart" uri="{C3380CC4-5D6E-409C-BE32-E72D297353CC}">
              <c16:uniqueId val="{00000003-4168-4667-8A85-A67025E0BB62}"/>
            </c:ext>
          </c:extLst>
        </c:ser>
        <c:dLbls>
          <c:showLegendKey val="0"/>
          <c:showVal val="0"/>
          <c:showCatName val="0"/>
          <c:showSerName val="0"/>
          <c:showPercent val="0"/>
          <c:showBubbleSize val="0"/>
        </c:dLbls>
        <c:gapWidth val="219"/>
        <c:overlap val="-27"/>
        <c:axId val="434222991"/>
        <c:axId val="434213839"/>
      </c:barChart>
      <c:catAx>
        <c:axId val="4342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434213839"/>
        <c:crosses val="autoZero"/>
        <c:auto val="1"/>
        <c:lblAlgn val="ctr"/>
        <c:lblOffset val="100"/>
        <c:noMultiLvlLbl val="0"/>
      </c:catAx>
      <c:valAx>
        <c:axId val="4342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422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10</xdr:row>
      <xdr:rowOff>33337</xdr:rowOff>
    </xdr:from>
    <xdr:to>
      <xdr:col>6</xdr:col>
      <xdr:colOff>276225</xdr:colOff>
      <xdr:row>25</xdr:row>
      <xdr:rowOff>61912</xdr:rowOff>
    </xdr:to>
    <xdr:graphicFrame macro="">
      <xdr:nvGraphicFramePr>
        <xdr:cNvPr id="2" name="图表 1">
          <a:extLst>
            <a:ext uri="{FF2B5EF4-FFF2-40B4-BE49-F238E27FC236}">
              <a16:creationId xmlns:a16="http://schemas.microsoft.com/office/drawing/2014/main" id="{638CD039-2782-41A0-BDB3-B34DFF958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xdr:colOff>
      <xdr:row>14</xdr:row>
      <xdr:rowOff>85725</xdr:rowOff>
    </xdr:from>
    <xdr:to>
      <xdr:col>12</xdr:col>
      <xdr:colOff>185737</xdr:colOff>
      <xdr:row>29</xdr:row>
      <xdr:rowOff>114300</xdr:rowOff>
    </xdr:to>
    <xdr:graphicFrame macro="">
      <xdr:nvGraphicFramePr>
        <xdr:cNvPr id="3" name="图表 2">
          <a:extLst>
            <a:ext uri="{FF2B5EF4-FFF2-40B4-BE49-F238E27FC236}">
              <a16:creationId xmlns:a16="http://schemas.microsoft.com/office/drawing/2014/main" id="{B456C33E-F3E0-4BA0-8483-6DB73ED02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371475</xdr:colOff>
      <xdr:row>24</xdr:row>
      <xdr:rowOff>85725</xdr:rowOff>
    </xdr:from>
    <xdr:to>
      <xdr:col>18</xdr:col>
      <xdr:colOff>657225</xdr:colOff>
      <xdr:row>39</xdr:row>
      <xdr:rowOff>114300</xdr:rowOff>
    </xdr:to>
    <xdr:graphicFrame macro="">
      <xdr:nvGraphicFramePr>
        <xdr:cNvPr id="4" name="图表 3">
          <a:extLst>
            <a:ext uri="{FF2B5EF4-FFF2-40B4-BE49-F238E27FC236}">
              <a16:creationId xmlns:a16="http://schemas.microsoft.com/office/drawing/2014/main" id="{2D64481B-F63F-4BAF-B9D2-BF682986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38</xdr:row>
      <xdr:rowOff>38100</xdr:rowOff>
    </xdr:from>
    <xdr:to>
      <xdr:col>6</xdr:col>
      <xdr:colOff>390525</xdr:colOff>
      <xdr:row>53</xdr:row>
      <xdr:rowOff>85725</xdr:rowOff>
    </xdr:to>
    <xdr:graphicFrame macro="">
      <xdr:nvGraphicFramePr>
        <xdr:cNvPr id="5" name="图表 4">
          <a:extLst>
            <a:ext uri="{FF2B5EF4-FFF2-40B4-BE49-F238E27FC236}">
              <a16:creationId xmlns:a16="http://schemas.microsoft.com/office/drawing/2014/main" id="{4B603E1E-42B8-4895-AF32-AB28D8CF7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3DAF-8AA2-4D56-A56C-501E7851F518}">
  <dimension ref="A1:M90"/>
  <sheetViews>
    <sheetView topLeftCell="A58" workbookViewId="0">
      <selection activeCell="J87" sqref="J87"/>
    </sheetView>
  </sheetViews>
  <sheetFormatPr defaultRowHeight="14" x14ac:dyDescent="0.3"/>
  <cols>
    <col min="10" max="10" width="15.08203125" customWidth="1"/>
    <col min="13" max="13" width="14.58203125" customWidth="1"/>
  </cols>
  <sheetData>
    <row r="1" spans="1:13" x14ac:dyDescent="0.3">
      <c r="A1" s="1" t="s">
        <v>273</v>
      </c>
      <c r="B1" s="1" t="s">
        <v>272</v>
      </c>
      <c r="C1" s="1" t="s">
        <v>271</v>
      </c>
      <c r="D1" s="1" t="s">
        <v>270</v>
      </c>
      <c r="E1" s="1" t="s">
        <v>269</v>
      </c>
      <c r="F1" s="1" t="s">
        <v>268</v>
      </c>
      <c r="G1" s="1" t="s">
        <v>267</v>
      </c>
    </row>
    <row r="2" spans="1:13" x14ac:dyDescent="0.3">
      <c r="A2" t="s">
        <v>1368</v>
      </c>
      <c r="B2" t="s">
        <v>2356</v>
      </c>
      <c r="C2" t="s">
        <v>1367</v>
      </c>
      <c r="D2">
        <v>0.98872941732406616</v>
      </c>
      <c r="E2">
        <v>0.98872941732406616</v>
      </c>
      <c r="F2">
        <v>0.98872941732406616</v>
      </c>
      <c r="G2">
        <v>8.6147642395638727E-3</v>
      </c>
      <c r="H2">
        <f>FIND("using",B2)</f>
        <v>1176</v>
      </c>
      <c r="I2" s="18" t="str">
        <f>MID(B2,H2+LEN("using "),LEN(B2))</f>
        <v>carbon steel as the reactor material.</v>
      </c>
      <c r="J2" s="18" t="str">
        <f>LEFT(I2,FIND(" ",I2,FIND(" ",I2)+1)-1)</f>
        <v>carbon steel</v>
      </c>
      <c r="K2">
        <f>FIND("using",C2)</f>
        <v>1176</v>
      </c>
      <c r="L2" s="18" t="str">
        <f>MID(C2,K2+LEN("using "),LEN(C2))</f>
        <v xml:space="preserve">carbon steel as the reactor material.
</v>
      </c>
      <c r="M2" s="18" t="str">
        <f>LEFT(L2,FIND(" ",L2,FIND(" ",L2)+1)-1)</f>
        <v>carbon steel</v>
      </c>
    </row>
    <row r="3" spans="1:13" x14ac:dyDescent="0.3">
      <c r="A3" t="s">
        <v>1366</v>
      </c>
      <c r="B3" t="s">
        <v>2042</v>
      </c>
      <c r="C3" t="s">
        <v>1365</v>
      </c>
      <c r="D3">
        <v>0.9788215160369873</v>
      </c>
      <c r="E3">
        <v>0.97995024919509888</v>
      </c>
      <c r="F3">
        <v>0.9793856143951416</v>
      </c>
      <c r="G3">
        <v>0.1107446554875626</v>
      </c>
      <c r="H3">
        <f t="shared" ref="H3:H66" si="0">FIND("using",B3)</f>
        <v>1189</v>
      </c>
      <c r="I3" s="18" t="str">
        <f t="shared" ref="I3:I66" si="1">MID(B3,H3+LEN("using "),LEN(B3))</f>
        <v>carbon steel as the reactor material.</v>
      </c>
      <c r="J3" s="18" t="str">
        <f t="shared" ref="J3:J66" si="2">LEFT(I3,FIND(" ",I3,FIND(" ",I3)+1)-1)</f>
        <v>carbon steel</v>
      </c>
      <c r="K3">
        <f t="shared" ref="K3:K66" si="3">FIND("using",C3)</f>
        <v>1189</v>
      </c>
      <c r="L3" s="18" t="str">
        <f t="shared" ref="L3:L66" si="4">MID(C3,K3+LEN("using "),LEN(C3))</f>
        <v xml:space="preserve">carbon steel as the reactor material.
</v>
      </c>
      <c r="M3" s="18" t="str">
        <f t="shared" ref="M3:M66" si="5">LEFT(L3,FIND(" ",L3,FIND(" ",L3)+1)-1)</f>
        <v>carbon steel</v>
      </c>
    </row>
    <row r="4" spans="1:13" x14ac:dyDescent="0.3">
      <c r="A4" t="s">
        <v>1364</v>
      </c>
      <c r="B4" t="s">
        <v>2041</v>
      </c>
      <c r="C4" t="s">
        <v>1363</v>
      </c>
      <c r="D4">
        <v>0.97984176874160767</v>
      </c>
      <c r="E4">
        <v>0.97974878549575806</v>
      </c>
      <c r="F4">
        <v>0.97979527711868286</v>
      </c>
      <c r="G4">
        <v>2.996377747005521E-3</v>
      </c>
      <c r="H4">
        <f t="shared" si="0"/>
        <v>1190</v>
      </c>
      <c r="I4" s="18" t="str">
        <f t="shared" si="1"/>
        <v>carbon steel as the reactor material.</v>
      </c>
      <c r="J4" s="18" t="str">
        <f t="shared" si="2"/>
        <v>carbon steel</v>
      </c>
      <c r="K4">
        <f t="shared" si="3"/>
        <v>1191</v>
      </c>
      <c r="L4" s="18" t="str">
        <f t="shared" si="4"/>
        <v xml:space="preserve">carbon steel as the reactor material.
</v>
      </c>
      <c r="M4" s="18" t="str">
        <f t="shared" si="5"/>
        <v>carbon steel</v>
      </c>
    </row>
    <row r="5" spans="1:13" x14ac:dyDescent="0.3">
      <c r="A5" t="s">
        <v>1362</v>
      </c>
      <c r="B5" t="s">
        <v>2040</v>
      </c>
      <c r="C5" t="s">
        <v>1361</v>
      </c>
      <c r="D5">
        <v>0.97601073980331421</v>
      </c>
      <c r="E5">
        <v>0.97661656141281128</v>
      </c>
      <c r="F5">
        <v>0.97631353139877319</v>
      </c>
      <c r="G5">
        <v>5.6024960045125582E-2</v>
      </c>
      <c r="H5">
        <f t="shared" si="0"/>
        <v>1123</v>
      </c>
      <c r="I5" s="18" t="str">
        <f t="shared" si="1"/>
        <v>carbon steel as the reactor material.</v>
      </c>
      <c r="J5" s="18" t="str">
        <f t="shared" si="2"/>
        <v>carbon steel</v>
      </c>
      <c r="K5">
        <f t="shared" si="3"/>
        <v>1121</v>
      </c>
      <c r="L5" s="18" t="str">
        <f t="shared" si="4"/>
        <v xml:space="preserve">carbon steel as the reactor material.
</v>
      </c>
      <c r="M5" s="18" t="str">
        <f t="shared" si="5"/>
        <v>carbon steel</v>
      </c>
    </row>
    <row r="6" spans="1:13" x14ac:dyDescent="0.3">
      <c r="A6" t="s">
        <v>1360</v>
      </c>
      <c r="B6" t="s">
        <v>2039</v>
      </c>
      <c r="C6" t="s">
        <v>1359</v>
      </c>
      <c r="D6">
        <v>0.9782099723815918</v>
      </c>
      <c r="E6">
        <v>0.97688090801239014</v>
      </c>
      <c r="F6">
        <v>0.97754502296447754</v>
      </c>
      <c r="G6">
        <v>0.1530628555310046</v>
      </c>
      <c r="H6">
        <f t="shared" si="0"/>
        <v>1123</v>
      </c>
      <c r="I6" s="18" t="str">
        <f t="shared" si="1"/>
        <v>carbon steel as the reactor material.</v>
      </c>
      <c r="J6" s="18" t="str">
        <f t="shared" si="2"/>
        <v>carbon steel</v>
      </c>
      <c r="K6">
        <f t="shared" si="3"/>
        <v>1117</v>
      </c>
      <c r="L6" s="18" t="str">
        <f t="shared" si="4"/>
        <v xml:space="preserve">carbon steel as the reactor material.
</v>
      </c>
      <c r="M6" s="18" t="str">
        <f t="shared" si="5"/>
        <v>carbon steel</v>
      </c>
    </row>
    <row r="7" spans="1:13" x14ac:dyDescent="0.3">
      <c r="A7" t="s">
        <v>1358</v>
      </c>
      <c r="B7" t="s">
        <v>2038</v>
      </c>
      <c r="C7" t="s">
        <v>1357</v>
      </c>
      <c r="D7">
        <v>0.96940839290618896</v>
      </c>
      <c r="E7">
        <v>0.96965861320495605</v>
      </c>
      <c r="F7">
        <v>0.96953344345092773</v>
      </c>
      <c r="G7">
        <v>0.1953499177925514</v>
      </c>
      <c r="H7">
        <f t="shared" si="0"/>
        <v>1190</v>
      </c>
      <c r="I7" s="18" t="str">
        <f t="shared" si="1"/>
        <v>carbon steel as the reactor material.</v>
      </c>
      <c r="J7" s="18" t="str">
        <f t="shared" si="2"/>
        <v>carbon steel</v>
      </c>
      <c r="K7">
        <f t="shared" si="3"/>
        <v>1188</v>
      </c>
      <c r="L7" s="18" t="str">
        <f t="shared" si="4"/>
        <v xml:space="preserve">carbon steel as the reactor material.
</v>
      </c>
      <c r="M7" s="18" t="str">
        <f t="shared" si="5"/>
        <v>carbon steel</v>
      </c>
    </row>
    <row r="8" spans="1:13" x14ac:dyDescent="0.3">
      <c r="A8" t="s">
        <v>1356</v>
      </c>
      <c r="B8" t="s">
        <v>2037</v>
      </c>
      <c r="C8" t="s">
        <v>1355</v>
      </c>
      <c r="D8">
        <v>0.97322529554367065</v>
      </c>
      <c r="E8">
        <v>0.97352594137191772</v>
      </c>
      <c r="F8">
        <v>0.97337555885314941</v>
      </c>
      <c r="G8">
        <v>0.36559255226146842</v>
      </c>
      <c r="H8">
        <f t="shared" si="0"/>
        <v>1180</v>
      </c>
      <c r="I8" s="18" t="str">
        <f t="shared" si="1"/>
        <v>carbon steel as the reactor material.</v>
      </c>
      <c r="J8" s="18" t="str">
        <f t="shared" si="2"/>
        <v>carbon steel</v>
      </c>
      <c r="K8">
        <f t="shared" si="3"/>
        <v>1180</v>
      </c>
      <c r="L8" s="18" t="str">
        <f t="shared" si="4"/>
        <v xml:space="preserve">carbon steel as the reactor material.
</v>
      </c>
      <c r="M8" s="18" t="str">
        <f t="shared" si="5"/>
        <v>carbon steel</v>
      </c>
    </row>
    <row r="9" spans="1:13" x14ac:dyDescent="0.3">
      <c r="A9" t="s">
        <v>1354</v>
      </c>
      <c r="B9" t="s">
        <v>2036</v>
      </c>
      <c r="C9" t="s">
        <v>1353</v>
      </c>
      <c r="D9">
        <v>0.98774492740631104</v>
      </c>
      <c r="E9">
        <v>0.9877699613571167</v>
      </c>
      <c r="F9">
        <v>0.98775744438171387</v>
      </c>
      <c r="G9">
        <v>0.26797633996431158</v>
      </c>
      <c r="H9">
        <f t="shared" si="0"/>
        <v>1184</v>
      </c>
      <c r="I9" s="18" t="str">
        <f t="shared" si="1"/>
        <v>carbon steel as the reactor material.</v>
      </c>
      <c r="J9" s="18" t="str">
        <f t="shared" si="2"/>
        <v>carbon steel</v>
      </c>
      <c r="K9">
        <f t="shared" si="3"/>
        <v>1184</v>
      </c>
      <c r="L9" s="18" t="str">
        <f t="shared" si="4"/>
        <v xml:space="preserve">carbon steel as the reactor material.
</v>
      </c>
      <c r="M9" s="18" t="str">
        <f t="shared" si="5"/>
        <v>carbon steel</v>
      </c>
    </row>
    <row r="10" spans="1:13" x14ac:dyDescent="0.3">
      <c r="A10" t="s">
        <v>1352</v>
      </c>
      <c r="B10" t="s">
        <v>2035</v>
      </c>
      <c r="C10" t="s">
        <v>1351</v>
      </c>
      <c r="D10">
        <v>0.97837471961975098</v>
      </c>
      <c r="E10">
        <v>0.97837841510772705</v>
      </c>
      <c r="F10">
        <v>0.97837656736373901</v>
      </c>
      <c r="G10">
        <v>1.3448049101271351E-2</v>
      </c>
      <c r="H10">
        <f t="shared" si="0"/>
        <v>1180</v>
      </c>
      <c r="I10" s="18" t="str">
        <f t="shared" si="1"/>
        <v>carbon steel as the reactor material.</v>
      </c>
      <c r="J10" s="18" t="str">
        <f t="shared" si="2"/>
        <v>carbon steel</v>
      </c>
      <c r="K10">
        <f t="shared" si="3"/>
        <v>1179</v>
      </c>
      <c r="L10" s="18" t="str">
        <f t="shared" si="4"/>
        <v xml:space="preserve">carbon steel as the reactor material.
</v>
      </c>
      <c r="M10" s="18" t="str">
        <f t="shared" si="5"/>
        <v>carbon steel</v>
      </c>
    </row>
    <row r="11" spans="1:13" x14ac:dyDescent="0.3">
      <c r="A11" t="s">
        <v>1350</v>
      </c>
      <c r="B11" t="s">
        <v>2034</v>
      </c>
      <c r="C11" t="s">
        <v>1349</v>
      </c>
      <c r="D11">
        <v>0.98825860023498535</v>
      </c>
      <c r="E11">
        <v>0.98821163177490234</v>
      </c>
      <c r="F11">
        <v>0.98823511600494385</v>
      </c>
      <c r="G11">
        <v>2.7724843132698129E-2</v>
      </c>
      <c r="H11">
        <f t="shared" si="0"/>
        <v>1170</v>
      </c>
      <c r="I11" s="18" t="str">
        <f t="shared" si="1"/>
        <v>carbon steel as the reactor material.</v>
      </c>
      <c r="J11" s="18" t="str">
        <f t="shared" si="2"/>
        <v>carbon steel</v>
      </c>
      <c r="K11">
        <f t="shared" si="3"/>
        <v>1170</v>
      </c>
      <c r="L11" s="18" t="str">
        <f t="shared" si="4"/>
        <v xml:space="preserve">carbon steel as the reactor material.
</v>
      </c>
      <c r="M11" s="18" t="str">
        <f t="shared" si="5"/>
        <v>carbon steel</v>
      </c>
    </row>
    <row r="12" spans="1:13" x14ac:dyDescent="0.3">
      <c r="A12" t="s">
        <v>1348</v>
      </c>
      <c r="B12" t="s">
        <v>2033</v>
      </c>
      <c r="C12" t="s">
        <v>1347</v>
      </c>
      <c r="D12">
        <v>0.97567665576934814</v>
      </c>
      <c r="E12">
        <v>0.97600412368774414</v>
      </c>
      <c r="F12">
        <v>0.97584033012390137</v>
      </c>
      <c r="G12">
        <v>0.1710379843066982</v>
      </c>
      <c r="H12">
        <f t="shared" si="0"/>
        <v>1180</v>
      </c>
      <c r="I12" s="18" t="str">
        <f t="shared" si="1"/>
        <v>carbon steel as the reactor material.</v>
      </c>
      <c r="J12" s="18" t="str">
        <f t="shared" si="2"/>
        <v>carbon steel</v>
      </c>
      <c r="K12">
        <f t="shared" si="3"/>
        <v>1180</v>
      </c>
      <c r="L12" s="18" t="str">
        <f t="shared" si="4"/>
        <v xml:space="preserve">carbon steel as the reactor material.
</v>
      </c>
      <c r="M12" s="18" t="str">
        <f t="shared" si="5"/>
        <v>carbon steel</v>
      </c>
    </row>
    <row r="13" spans="1:13" x14ac:dyDescent="0.3">
      <c r="A13" t="s">
        <v>1346</v>
      </c>
      <c r="B13" t="s">
        <v>2032</v>
      </c>
      <c r="C13" t="s">
        <v>1345</v>
      </c>
      <c r="D13">
        <v>0.97751957178115845</v>
      </c>
      <c r="E13">
        <v>0.9768373966217041</v>
      </c>
      <c r="F13">
        <v>0.97717839479446411</v>
      </c>
      <c r="G13">
        <v>0.18468124958191179</v>
      </c>
      <c r="H13">
        <f t="shared" si="0"/>
        <v>1181</v>
      </c>
      <c r="I13" s="18" t="str">
        <f t="shared" si="1"/>
        <v>carbon steel as the reactor material.</v>
      </c>
      <c r="J13" s="18" t="str">
        <f t="shared" si="2"/>
        <v>carbon steel</v>
      </c>
      <c r="K13">
        <f t="shared" si="3"/>
        <v>1176</v>
      </c>
      <c r="L13" s="18" t="str">
        <f t="shared" si="4"/>
        <v xml:space="preserve">carbon steel as the reactor material.
</v>
      </c>
      <c r="M13" s="18" t="str">
        <f t="shared" si="5"/>
        <v>carbon steel</v>
      </c>
    </row>
    <row r="14" spans="1:13" x14ac:dyDescent="0.3">
      <c r="A14" t="s">
        <v>1344</v>
      </c>
      <c r="B14" t="s">
        <v>2031</v>
      </c>
      <c r="C14" t="s">
        <v>1343</v>
      </c>
      <c r="D14">
        <v>0.97468364238739014</v>
      </c>
      <c r="E14">
        <v>0.97465002536773682</v>
      </c>
      <c r="F14">
        <v>0.97466683387756348</v>
      </c>
      <c r="G14">
        <v>0.1248777803305141</v>
      </c>
      <c r="H14">
        <f t="shared" si="0"/>
        <v>1191</v>
      </c>
      <c r="I14" s="18" t="str">
        <f t="shared" si="1"/>
        <v>carbon steel as the reactor material.</v>
      </c>
      <c r="J14" s="18" t="str">
        <f t="shared" si="2"/>
        <v>carbon steel</v>
      </c>
      <c r="K14">
        <f t="shared" si="3"/>
        <v>1186</v>
      </c>
      <c r="L14" s="18" t="str">
        <f t="shared" si="4"/>
        <v xml:space="preserve">carbon steel as the reactor material.
</v>
      </c>
      <c r="M14" s="18" t="str">
        <f t="shared" si="5"/>
        <v>carbon steel</v>
      </c>
    </row>
    <row r="15" spans="1:13" x14ac:dyDescent="0.3">
      <c r="A15" t="s">
        <v>1342</v>
      </c>
      <c r="B15" t="s">
        <v>2030</v>
      </c>
      <c r="C15" t="s">
        <v>1341</v>
      </c>
      <c r="D15">
        <v>0.97719454765319824</v>
      </c>
      <c r="E15">
        <v>0.9775843620300293</v>
      </c>
      <c r="F15">
        <v>0.97738939523696899</v>
      </c>
      <c r="G15">
        <v>0.31383676225551171</v>
      </c>
      <c r="H15">
        <f t="shared" si="0"/>
        <v>1135</v>
      </c>
      <c r="I15" s="18" t="str">
        <f t="shared" si="1"/>
        <v>carbon steel as the reactor material.</v>
      </c>
      <c r="J15" s="18" t="str">
        <f t="shared" si="2"/>
        <v>carbon steel</v>
      </c>
      <c r="K15">
        <f t="shared" si="3"/>
        <v>1136</v>
      </c>
      <c r="L15" s="18" t="str">
        <f t="shared" si="4"/>
        <v xml:space="preserve">carbon steel as the reactor material.
</v>
      </c>
      <c r="M15" s="18" t="str">
        <f t="shared" si="5"/>
        <v>carbon steel</v>
      </c>
    </row>
    <row r="16" spans="1:13" x14ac:dyDescent="0.3">
      <c r="A16" t="s">
        <v>1340</v>
      </c>
      <c r="B16" t="s">
        <v>2029</v>
      </c>
      <c r="C16" t="s">
        <v>1339</v>
      </c>
      <c r="D16">
        <v>0.98067700862884521</v>
      </c>
      <c r="E16">
        <v>0.98076379299163818</v>
      </c>
      <c r="F16">
        <v>0.9807204008102417</v>
      </c>
      <c r="G16">
        <v>0.18834089373612581</v>
      </c>
      <c r="H16">
        <f t="shared" si="0"/>
        <v>1185</v>
      </c>
      <c r="I16" s="18" t="str">
        <f t="shared" si="1"/>
        <v>carbon steel as the reactor material.</v>
      </c>
      <c r="J16" s="18" t="str">
        <f t="shared" si="2"/>
        <v>carbon steel</v>
      </c>
      <c r="K16">
        <f t="shared" si="3"/>
        <v>1184</v>
      </c>
      <c r="L16" s="18" t="str">
        <f t="shared" si="4"/>
        <v xml:space="preserve">carbon steel as the reactor material.
</v>
      </c>
      <c r="M16" s="18" t="str">
        <f t="shared" si="5"/>
        <v>carbon steel</v>
      </c>
    </row>
    <row r="17" spans="1:13" x14ac:dyDescent="0.3">
      <c r="A17" t="s">
        <v>1338</v>
      </c>
      <c r="B17" t="s">
        <v>2028</v>
      </c>
      <c r="C17" t="s">
        <v>1337</v>
      </c>
      <c r="D17">
        <v>0.97141820192337036</v>
      </c>
      <c r="E17">
        <v>0.97176307439804077</v>
      </c>
      <c r="F17">
        <v>0.97159057855606079</v>
      </c>
      <c r="G17">
        <v>0.37014630843965263</v>
      </c>
      <c r="H17">
        <f t="shared" si="0"/>
        <v>1188</v>
      </c>
      <c r="I17" s="18" t="str">
        <f t="shared" si="1"/>
        <v>carbon steel as the reactor material.</v>
      </c>
      <c r="J17" s="18" t="str">
        <f t="shared" si="2"/>
        <v>carbon steel</v>
      </c>
      <c r="K17">
        <f t="shared" si="3"/>
        <v>1191</v>
      </c>
      <c r="L17" s="18" t="str">
        <f t="shared" si="4"/>
        <v xml:space="preserve">carbon steel as the reactor material.
</v>
      </c>
      <c r="M17" s="18" t="str">
        <f t="shared" si="5"/>
        <v>carbon steel</v>
      </c>
    </row>
    <row r="18" spans="1:13" x14ac:dyDescent="0.3">
      <c r="A18" t="s">
        <v>1336</v>
      </c>
      <c r="B18" t="s">
        <v>2027</v>
      </c>
      <c r="C18" t="s">
        <v>1335</v>
      </c>
      <c r="D18">
        <v>0.97854036092758179</v>
      </c>
      <c r="E18">
        <v>0.97845399379730225</v>
      </c>
      <c r="F18">
        <v>0.9784972071647644</v>
      </c>
      <c r="G18">
        <v>0.1097318768619663</v>
      </c>
      <c r="H18">
        <f t="shared" si="0"/>
        <v>1182</v>
      </c>
      <c r="I18" s="18" t="str">
        <f t="shared" si="1"/>
        <v>carbon steel as the reactor material.</v>
      </c>
      <c r="J18" s="18" t="str">
        <f t="shared" si="2"/>
        <v>carbon steel</v>
      </c>
      <c r="K18">
        <f t="shared" si="3"/>
        <v>1182</v>
      </c>
      <c r="L18" s="18" t="str">
        <f t="shared" si="4"/>
        <v xml:space="preserve">carbon steel as the reactor material.
</v>
      </c>
      <c r="M18" s="18" t="str">
        <f t="shared" si="5"/>
        <v>carbon steel</v>
      </c>
    </row>
    <row r="19" spans="1:13" x14ac:dyDescent="0.3">
      <c r="A19" t="s">
        <v>1334</v>
      </c>
      <c r="B19" t="s">
        <v>2026</v>
      </c>
      <c r="C19" t="s">
        <v>1333</v>
      </c>
      <c r="D19">
        <v>0.98099339008331299</v>
      </c>
      <c r="E19">
        <v>0.98108184337615967</v>
      </c>
      <c r="F19">
        <v>0.98103761672973633</v>
      </c>
      <c r="G19">
        <v>0.58770390124106653</v>
      </c>
      <c r="H19">
        <f t="shared" si="0"/>
        <v>1123</v>
      </c>
      <c r="I19" s="18" t="str">
        <f t="shared" si="1"/>
        <v>carbon steel as the reactor material.</v>
      </c>
      <c r="J19" s="18" t="str">
        <f t="shared" si="2"/>
        <v>carbon steel</v>
      </c>
      <c r="K19">
        <f t="shared" si="3"/>
        <v>1118</v>
      </c>
      <c r="L19" s="18" t="str">
        <f t="shared" si="4"/>
        <v xml:space="preserve">carbon steel as the reactor material.
</v>
      </c>
      <c r="M19" s="18" t="str">
        <f t="shared" si="5"/>
        <v>carbon steel</v>
      </c>
    </row>
    <row r="20" spans="1:13" x14ac:dyDescent="0.3">
      <c r="A20" t="s">
        <v>1332</v>
      </c>
      <c r="B20" t="s">
        <v>2025</v>
      </c>
      <c r="C20" t="s">
        <v>1331</v>
      </c>
      <c r="D20">
        <v>0.98973113298416138</v>
      </c>
      <c r="E20">
        <v>0.98978418111801147</v>
      </c>
      <c r="F20">
        <v>0.98975765705108643</v>
      </c>
      <c r="G20">
        <v>0.1780957862038943</v>
      </c>
      <c r="H20">
        <f t="shared" si="0"/>
        <v>1181</v>
      </c>
      <c r="I20" s="18" t="str">
        <f t="shared" si="1"/>
        <v>carbon steel as the reactor material.</v>
      </c>
      <c r="J20" s="18" t="str">
        <f t="shared" si="2"/>
        <v>carbon steel</v>
      </c>
      <c r="K20">
        <f t="shared" si="3"/>
        <v>1181</v>
      </c>
      <c r="L20" s="18" t="str">
        <f t="shared" si="4"/>
        <v xml:space="preserve">carbon steel as the reactor material.
</v>
      </c>
      <c r="M20" s="18" t="str">
        <f t="shared" si="5"/>
        <v>carbon steel</v>
      </c>
    </row>
    <row r="21" spans="1:13" x14ac:dyDescent="0.3">
      <c r="A21" t="s">
        <v>1330</v>
      </c>
      <c r="B21" t="s">
        <v>2024</v>
      </c>
      <c r="C21" t="s">
        <v>1329</v>
      </c>
      <c r="D21">
        <v>0.9771994948387146</v>
      </c>
      <c r="E21">
        <v>0.97762978076934814</v>
      </c>
      <c r="F21">
        <v>0.97741460800170898</v>
      </c>
      <c r="G21">
        <v>7.7556235170519461E-2</v>
      </c>
      <c r="H21">
        <f t="shared" si="0"/>
        <v>1183</v>
      </c>
      <c r="I21" s="18" t="str">
        <f t="shared" si="1"/>
        <v>carbon steel as the reactor material.</v>
      </c>
      <c r="J21" s="18" t="str">
        <f t="shared" si="2"/>
        <v>carbon steel</v>
      </c>
      <c r="K21">
        <f t="shared" si="3"/>
        <v>1183</v>
      </c>
      <c r="L21" s="18" t="str">
        <f t="shared" si="4"/>
        <v xml:space="preserve">carbon steel as the reactor material.
</v>
      </c>
      <c r="M21" s="18" t="str">
        <f t="shared" si="5"/>
        <v>carbon steel</v>
      </c>
    </row>
    <row r="22" spans="1:13" x14ac:dyDescent="0.3">
      <c r="A22" t="s">
        <v>1328</v>
      </c>
      <c r="B22" t="s">
        <v>2023</v>
      </c>
      <c r="C22" t="s">
        <v>1327</v>
      </c>
      <c r="D22">
        <v>0.96165663003921509</v>
      </c>
      <c r="E22">
        <v>0.9610142707824707</v>
      </c>
      <c r="F22">
        <v>0.96133536100387573</v>
      </c>
      <c r="G22">
        <v>0.37779495105615668</v>
      </c>
      <c r="H22">
        <f t="shared" si="0"/>
        <v>1183</v>
      </c>
      <c r="I22" s="18" t="str">
        <f t="shared" si="1"/>
        <v>carbon steel as the reactor material.</v>
      </c>
      <c r="J22" s="18" t="str">
        <f t="shared" si="2"/>
        <v>carbon steel</v>
      </c>
      <c r="K22">
        <f t="shared" si="3"/>
        <v>1186</v>
      </c>
      <c r="L22" s="18" t="str">
        <f t="shared" si="4"/>
        <v xml:space="preserve">carbon steel as the reactor material.
</v>
      </c>
      <c r="M22" s="18" t="str">
        <f t="shared" si="5"/>
        <v>carbon steel</v>
      </c>
    </row>
    <row r="23" spans="1:13" x14ac:dyDescent="0.3">
      <c r="A23" t="s">
        <v>1326</v>
      </c>
      <c r="B23" t="s">
        <v>2022</v>
      </c>
      <c r="C23" t="s">
        <v>1325</v>
      </c>
      <c r="D23">
        <v>0.97676944732666016</v>
      </c>
      <c r="E23">
        <v>0.97694933414459229</v>
      </c>
      <c r="F23">
        <v>0.97685939073562622</v>
      </c>
      <c r="G23">
        <v>2.6514418424617849E-2</v>
      </c>
      <c r="H23">
        <f t="shared" si="0"/>
        <v>1168</v>
      </c>
      <c r="I23" s="18" t="str">
        <f t="shared" si="1"/>
        <v>carbon steel as the reactor material.</v>
      </c>
      <c r="J23" s="18" t="str">
        <f t="shared" si="2"/>
        <v>carbon steel</v>
      </c>
      <c r="K23">
        <f t="shared" si="3"/>
        <v>1175</v>
      </c>
      <c r="L23" s="18" t="str">
        <f t="shared" si="4"/>
        <v xml:space="preserve">carbon steel as the reactor material.
</v>
      </c>
      <c r="M23" s="18" t="str">
        <f t="shared" si="5"/>
        <v>carbon steel</v>
      </c>
    </row>
    <row r="24" spans="1:13" x14ac:dyDescent="0.3">
      <c r="A24" t="s">
        <v>1324</v>
      </c>
      <c r="B24" t="s">
        <v>2021</v>
      </c>
      <c r="C24" t="s">
        <v>1323</v>
      </c>
      <c r="D24">
        <v>0.9787445068359375</v>
      </c>
      <c r="E24">
        <v>0.97798693180084229</v>
      </c>
      <c r="F24">
        <v>0.97836560010910034</v>
      </c>
      <c r="G24">
        <v>0.58484750162232324</v>
      </c>
      <c r="H24">
        <f t="shared" si="0"/>
        <v>1176</v>
      </c>
      <c r="I24" s="18" t="str">
        <f t="shared" si="1"/>
        <v>carbon steel as the reactor material.</v>
      </c>
      <c r="J24" s="18" t="str">
        <f t="shared" si="2"/>
        <v>carbon steel</v>
      </c>
      <c r="K24">
        <f t="shared" si="3"/>
        <v>1173</v>
      </c>
      <c r="L24" s="18" t="str">
        <f t="shared" si="4"/>
        <v xml:space="preserve">carbon steel as the reactor material.
</v>
      </c>
      <c r="M24" s="18" t="str">
        <f t="shared" si="5"/>
        <v>carbon steel</v>
      </c>
    </row>
    <row r="25" spans="1:13" x14ac:dyDescent="0.3">
      <c r="A25" t="s">
        <v>1322</v>
      </c>
      <c r="B25" t="s">
        <v>2020</v>
      </c>
      <c r="C25" t="s">
        <v>1321</v>
      </c>
      <c r="D25">
        <v>0.97549611330032349</v>
      </c>
      <c r="E25">
        <v>0.97540491819381714</v>
      </c>
      <c r="F25">
        <v>0.97545051574707031</v>
      </c>
      <c r="G25">
        <v>0.31335774544796802</v>
      </c>
      <c r="H25">
        <f t="shared" si="0"/>
        <v>1180</v>
      </c>
      <c r="I25" s="18" t="str">
        <f t="shared" si="1"/>
        <v>carbon steel as the reactor material.</v>
      </c>
      <c r="J25" s="18" t="str">
        <f t="shared" si="2"/>
        <v>carbon steel</v>
      </c>
      <c r="K25">
        <f t="shared" si="3"/>
        <v>1180</v>
      </c>
      <c r="L25" s="18" t="str">
        <f t="shared" si="4"/>
        <v xml:space="preserve">carbon steel as the reactor material.
</v>
      </c>
      <c r="M25" s="18" t="str">
        <f t="shared" si="5"/>
        <v>carbon steel</v>
      </c>
    </row>
    <row r="26" spans="1:13" x14ac:dyDescent="0.3">
      <c r="A26" t="s">
        <v>1320</v>
      </c>
      <c r="B26" t="s">
        <v>2019</v>
      </c>
      <c r="C26" t="s">
        <v>1319</v>
      </c>
      <c r="D26">
        <v>0.97710913419723511</v>
      </c>
      <c r="E26">
        <v>0.97698390483856201</v>
      </c>
      <c r="F26">
        <v>0.97704654932022095</v>
      </c>
      <c r="G26">
        <v>4.398361371018563E-2</v>
      </c>
      <c r="H26">
        <f t="shared" si="0"/>
        <v>1191</v>
      </c>
      <c r="I26" s="18" t="str">
        <f t="shared" si="1"/>
        <v>carbon steel as the reactor material.</v>
      </c>
      <c r="J26" s="18" t="str">
        <f t="shared" si="2"/>
        <v>carbon steel</v>
      </c>
      <c r="K26">
        <f t="shared" si="3"/>
        <v>1191</v>
      </c>
      <c r="L26" s="18" t="str">
        <f t="shared" si="4"/>
        <v xml:space="preserve">carbon steel as the reactor material.
</v>
      </c>
      <c r="M26" s="18" t="str">
        <f t="shared" si="5"/>
        <v>carbon steel</v>
      </c>
    </row>
    <row r="27" spans="1:13" x14ac:dyDescent="0.3">
      <c r="A27" t="s">
        <v>1318</v>
      </c>
      <c r="B27" t="s">
        <v>2018</v>
      </c>
      <c r="C27" t="s">
        <v>1317</v>
      </c>
      <c r="D27">
        <v>0.96377182006835938</v>
      </c>
      <c r="E27">
        <v>0.96356552839279175</v>
      </c>
      <c r="F27">
        <v>0.96366864442825317</v>
      </c>
      <c r="G27">
        <v>3.9986481538851502E-2</v>
      </c>
      <c r="H27">
        <f t="shared" si="0"/>
        <v>1181</v>
      </c>
      <c r="I27" s="18" t="str">
        <f t="shared" si="1"/>
        <v>carbon steel as the reactor material.</v>
      </c>
      <c r="J27" s="18" t="str">
        <f t="shared" si="2"/>
        <v>carbon steel</v>
      </c>
      <c r="K27">
        <f t="shared" si="3"/>
        <v>1187</v>
      </c>
      <c r="L27" s="18" t="str">
        <f t="shared" si="4"/>
        <v xml:space="preserve">carbon steel as the reactor material.
</v>
      </c>
      <c r="M27" s="18" t="str">
        <f t="shared" si="5"/>
        <v>carbon steel</v>
      </c>
    </row>
    <row r="28" spans="1:13" x14ac:dyDescent="0.3">
      <c r="A28" t="s">
        <v>1316</v>
      </c>
      <c r="B28" t="s">
        <v>2017</v>
      </c>
      <c r="C28" t="s">
        <v>1315</v>
      </c>
      <c r="D28">
        <v>0.9752497673034668</v>
      </c>
      <c r="E28">
        <v>0.97560983896255493</v>
      </c>
      <c r="F28">
        <v>0.97542983293533325</v>
      </c>
      <c r="G28">
        <v>0.13961308428807351</v>
      </c>
      <c r="H28">
        <f t="shared" si="0"/>
        <v>1185</v>
      </c>
      <c r="I28" s="18" t="str">
        <f t="shared" si="1"/>
        <v>carbon steel as the reactor material.</v>
      </c>
      <c r="J28" s="18" t="str">
        <f t="shared" si="2"/>
        <v>carbon steel</v>
      </c>
      <c r="K28">
        <f t="shared" si="3"/>
        <v>1185</v>
      </c>
      <c r="L28" s="18" t="str">
        <f t="shared" si="4"/>
        <v xml:space="preserve">carbon steel as the reactor material.
</v>
      </c>
      <c r="M28" s="18" t="str">
        <f t="shared" si="5"/>
        <v>carbon steel</v>
      </c>
    </row>
    <row r="29" spans="1:13" x14ac:dyDescent="0.3">
      <c r="A29" t="s">
        <v>1314</v>
      </c>
      <c r="B29" t="s">
        <v>2016</v>
      </c>
      <c r="C29" t="s">
        <v>1313</v>
      </c>
      <c r="D29">
        <v>0.9844200611114502</v>
      </c>
      <c r="E29">
        <v>0.98444229364395142</v>
      </c>
      <c r="F29">
        <v>0.98443120718002319</v>
      </c>
      <c r="G29">
        <v>5.5582314667301933</v>
      </c>
      <c r="H29">
        <f t="shared" si="0"/>
        <v>1181</v>
      </c>
      <c r="I29" s="18" t="str">
        <f t="shared" si="1"/>
        <v>carbon steel as the reactor material.</v>
      </c>
      <c r="J29" s="18" t="str">
        <f t="shared" si="2"/>
        <v>carbon steel</v>
      </c>
      <c r="K29">
        <f t="shared" si="3"/>
        <v>1181</v>
      </c>
      <c r="L29" s="18" t="str">
        <f t="shared" si="4"/>
        <v xml:space="preserve">carbon steel as the reactor material.
</v>
      </c>
      <c r="M29" s="18" t="str">
        <f t="shared" si="5"/>
        <v>carbon steel</v>
      </c>
    </row>
    <row r="30" spans="1:13" x14ac:dyDescent="0.3">
      <c r="A30" t="s">
        <v>1312</v>
      </c>
      <c r="B30" t="s">
        <v>2015</v>
      </c>
      <c r="C30" t="s">
        <v>1311</v>
      </c>
      <c r="D30">
        <v>0.98312580585479736</v>
      </c>
      <c r="E30">
        <v>0.98338031768798828</v>
      </c>
      <c r="F30">
        <v>0.98325306177139282</v>
      </c>
      <c r="G30">
        <v>0.11684730541416399</v>
      </c>
      <c r="H30">
        <f t="shared" si="0"/>
        <v>1185</v>
      </c>
      <c r="I30" s="18" t="str">
        <f t="shared" si="1"/>
        <v>carbon steel as the reactor material.</v>
      </c>
      <c r="J30" s="18" t="str">
        <f t="shared" si="2"/>
        <v>carbon steel</v>
      </c>
      <c r="K30">
        <f t="shared" si="3"/>
        <v>1187</v>
      </c>
      <c r="L30" s="18" t="str">
        <f t="shared" si="4"/>
        <v xml:space="preserve">carbon steel as the reactor material.
</v>
      </c>
      <c r="M30" s="18" t="str">
        <f t="shared" si="5"/>
        <v>carbon steel</v>
      </c>
    </row>
    <row r="31" spans="1:13" x14ac:dyDescent="0.3">
      <c r="A31" t="s">
        <v>1310</v>
      </c>
      <c r="B31" t="s">
        <v>2014</v>
      </c>
      <c r="C31" t="s">
        <v>1309</v>
      </c>
      <c r="D31">
        <v>0.98429441452026367</v>
      </c>
      <c r="E31">
        <v>0.98425799608230591</v>
      </c>
      <c r="F31">
        <v>0.98427623510360718</v>
      </c>
      <c r="G31">
        <v>0.13934260939705581</v>
      </c>
      <c r="H31">
        <f t="shared" si="0"/>
        <v>1171</v>
      </c>
      <c r="I31" s="18" t="str">
        <f t="shared" si="1"/>
        <v>carbon steel as the reactor material.</v>
      </c>
      <c r="J31" s="18" t="str">
        <f t="shared" si="2"/>
        <v>carbon steel</v>
      </c>
      <c r="K31">
        <f t="shared" si="3"/>
        <v>1174</v>
      </c>
      <c r="L31" s="18" t="str">
        <f t="shared" si="4"/>
        <v xml:space="preserve">carbon steel as the reactor material.
</v>
      </c>
      <c r="M31" s="18" t="str">
        <f t="shared" si="5"/>
        <v>carbon steel</v>
      </c>
    </row>
    <row r="32" spans="1:13" x14ac:dyDescent="0.3">
      <c r="A32" t="s">
        <v>1308</v>
      </c>
      <c r="B32" t="s">
        <v>2013</v>
      </c>
      <c r="C32" t="s">
        <v>1307</v>
      </c>
      <c r="D32">
        <v>0.95729422569274902</v>
      </c>
      <c r="E32">
        <v>0.96471983194351196</v>
      </c>
      <c r="F32">
        <v>0.96099275350570679</v>
      </c>
      <c r="G32">
        <v>4.2867830423940143</v>
      </c>
      <c r="H32">
        <f t="shared" si="0"/>
        <v>938</v>
      </c>
      <c r="I32" s="18" t="str">
        <f t="shared" si="1"/>
        <v>stainless steel as the reactor material.</v>
      </c>
      <c r="J32" s="18" t="str">
        <f t="shared" si="2"/>
        <v>stainless steel</v>
      </c>
      <c r="K32">
        <f t="shared" si="3"/>
        <v>935</v>
      </c>
      <c r="L32" s="18" t="str">
        <f t="shared" si="4"/>
        <v xml:space="preserve">stainless steel as the reactor material.
</v>
      </c>
      <c r="M32" s="18" t="str">
        <f t="shared" si="5"/>
        <v>stainless steel</v>
      </c>
    </row>
    <row r="33" spans="1:13" x14ac:dyDescent="0.3">
      <c r="A33" t="s">
        <v>1306</v>
      </c>
      <c r="B33" t="s">
        <v>2012</v>
      </c>
      <c r="C33" t="s">
        <v>1305</v>
      </c>
      <c r="D33">
        <v>0.96815234422683716</v>
      </c>
      <c r="E33">
        <v>0.97394084930419922</v>
      </c>
      <c r="F33">
        <v>0.97103798389434814</v>
      </c>
      <c r="G33">
        <v>0.28881889763779528</v>
      </c>
      <c r="H33">
        <f t="shared" si="0"/>
        <v>953</v>
      </c>
      <c r="I33" s="18" t="str">
        <f t="shared" si="1"/>
        <v>stainless steel as the reactor material.</v>
      </c>
      <c r="J33" s="18" t="str">
        <f t="shared" si="2"/>
        <v>stainless steel</v>
      </c>
      <c r="K33">
        <f t="shared" si="3"/>
        <v>954</v>
      </c>
      <c r="L33" s="18" t="str">
        <f t="shared" si="4"/>
        <v xml:space="preserve">stainless steel as the reactor material.
</v>
      </c>
      <c r="M33" s="18" t="str">
        <f t="shared" si="5"/>
        <v>stainless steel</v>
      </c>
    </row>
    <row r="34" spans="1:13" x14ac:dyDescent="0.3">
      <c r="A34" t="s">
        <v>1304</v>
      </c>
      <c r="B34" t="s">
        <v>2011</v>
      </c>
      <c r="C34" t="s">
        <v>1303</v>
      </c>
      <c r="D34">
        <v>0.972908616065979</v>
      </c>
      <c r="E34">
        <v>0.97588729858398438</v>
      </c>
      <c r="F34">
        <v>0.97439569234848022</v>
      </c>
      <c r="G34">
        <v>0.50695998011434262</v>
      </c>
      <c r="H34">
        <f t="shared" si="0"/>
        <v>940</v>
      </c>
      <c r="I34" s="18" t="str">
        <f t="shared" si="1"/>
        <v>stainless steel as the reactor material.</v>
      </c>
      <c r="J34" s="18" t="str">
        <f t="shared" si="2"/>
        <v>stainless steel</v>
      </c>
      <c r="K34">
        <f t="shared" si="3"/>
        <v>934</v>
      </c>
      <c r="L34" s="18" t="str">
        <f t="shared" si="4"/>
        <v xml:space="preserve">stainless steel as the reactor material.
</v>
      </c>
      <c r="M34" s="18" t="str">
        <f t="shared" si="5"/>
        <v>stainless steel</v>
      </c>
    </row>
    <row r="35" spans="1:13" x14ac:dyDescent="0.3">
      <c r="A35" t="s">
        <v>1302</v>
      </c>
      <c r="B35" t="s">
        <v>2010</v>
      </c>
      <c r="C35" t="s">
        <v>1301</v>
      </c>
      <c r="D35">
        <v>0.95733088254928589</v>
      </c>
      <c r="E35">
        <v>0.96641045808792114</v>
      </c>
      <c r="F35">
        <v>0.96184927225112915</v>
      </c>
      <c r="G35">
        <v>3.0005797101449279</v>
      </c>
      <c r="H35">
        <f t="shared" si="0"/>
        <v>933</v>
      </c>
      <c r="I35" s="18" t="str">
        <f t="shared" si="1"/>
        <v>stainless steel as the reactor material.</v>
      </c>
      <c r="J35" s="18" t="str">
        <f t="shared" si="2"/>
        <v>stainless steel</v>
      </c>
      <c r="K35">
        <f t="shared" si="3"/>
        <v>933</v>
      </c>
      <c r="L35" s="18" t="str">
        <f t="shared" si="4"/>
        <v xml:space="preserve">stainless steel as the reactor material.
</v>
      </c>
      <c r="M35" s="18" t="str">
        <f t="shared" si="5"/>
        <v>stainless steel</v>
      </c>
    </row>
    <row r="36" spans="1:13" x14ac:dyDescent="0.3">
      <c r="A36" t="s">
        <v>1300</v>
      </c>
      <c r="B36" t="s">
        <v>2009</v>
      </c>
      <c r="C36" t="s">
        <v>1299</v>
      </c>
      <c r="D36">
        <v>0.98988300561904907</v>
      </c>
      <c r="E36">
        <v>0.98988300561904907</v>
      </c>
      <c r="F36">
        <v>0.98988300561904907</v>
      </c>
      <c r="G36">
        <v>0.19505384922217789</v>
      </c>
      <c r="H36">
        <f t="shared" si="0"/>
        <v>954</v>
      </c>
      <c r="I36" s="18" t="str">
        <f t="shared" si="1"/>
        <v>stainless steel as the reactor material.</v>
      </c>
      <c r="J36" s="18" t="str">
        <f t="shared" si="2"/>
        <v>stainless steel</v>
      </c>
      <c r="K36">
        <f t="shared" si="3"/>
        <v>953</v>
      </c>
      <c r="L36" s="18" t="str">
        <f t="shared" si="4"/>
        <v xml:space="preserve">stainless steel as the reactor material.
</v>
      </c>
      <c r="M36" s="18" t="str">
        <f t="shared" si="5"/>
        <v>stainless steel</v>
      </c>
    </row>
    <row r="37" spans="1:13" x14ac:dyDescent="0.3">
      <c r="A37" t="s">
        <v>1298</v>
      </c>
      <c r="B37" t="s">
        <v>2008</v>
      </c>
      <c r="C37" t="s">
        <v>1297</v>
      </c>
      <c r="D37">
        <v>0.95788896083831787</v>
      </c>
      <c r="E37">
        <v>0.966746985912323</v>
      </c>
      <c r="F37">
        <v>0.96229761838912964</v>
      </c>
      <c r="G37">
        <v>11.408039647577089</v>
      </c>
      <c r="H37">
        <f t="shared" si="0"/>
        <v>943</v>
      </c>
      <c r="I37" s="18" t="str">
        <f t="shared" si="1"/>
        <v>stainless steel as the reactor material.</v>
      </c>
      <c r="J37" s="18" t="str">
        <f t="shared" si="2"/>
        <v>stainless steel</v>
      </c>
      <c r="K37">
        <f t="shared" si="3"/>
        <v>934</v>
      </c>
      <c r="L37" s="18" t="str">
        <f t="shared" si="4"/>
        <v xml:space="preserve">stainless steel as the reactor material.
</v>
      </c>
      <c r="M37" s="18" t="str">
        <f t="shared" si="5"/>
        <v>stainless steel</v>
      </c>
    </row>
    <row r="38" spans="1:13" x14ac:dyDescent="0.3">
      <c r="A38" t="s">
        <v>1296</v>
      </c>
      <c r="B38" t="s">
        <v>2007</v>
      </c>
      <c r="C38" t="s">
        <v>1295</v>
      </c>
      <c r="D38">
        <v>0.96477901935577393</v>
      </c>
      <c r="E38">
        <v>0.95840102434158325</v>
      </c>
      <c r="F38">
        <v>0.96157938241958618</v>
      </c>
      <c r="G38">
        <v>0.72703038919495289</v>
      </c>
      <c r="H38">
        <f t="shared" si="0"/>
        <v>949</v>
      </c>
      <c r="I38" s="18" t="str">
        <f t="shared" si="1"/>
        <v>stainless steel as the reactor material.</v>
      </c>
      <c r="J38" s="18" t="str">
        <f t="shared" si="2"/>
        <v>stainless steel</v>
      </c>
      <c r="K38">
        <f t="shared" si="3"/>
        <v>949</v>
      </c>
      <c r="L38" s="18" t="str">
        <f t="shared" si="4"/>
        <v xml:space="preserve">stainless steel as the reactor material.
</v>
      </c>
      <c r="M38" s="18" t="str">
        <f t="shared" si="5"/>
        <v>stainless steel</v>
      </c>
    </row>
    <row r="39" spans="1:13" x14ac:dyDescent="0.3">
      <c r="A39" t="s">
        <v>1294</v>
      </c>
      <c r="B39" t="s">
        <v>2006</v>
      </c>
      <c r="C39" t="s">
        <v>1293</v>
      </c>
      <c r="D39">
        <v>0.98622655868530273</v>
      </c>
      <c r="E39">
        <v>0.98680073022842407</v>
      </c>
      <c r="F39">
        <v>0.98651361465454102</v>
      </c>
      <c r="G39">
        <v>0.75429662635264172</v>
      </c>
      <c r="H39">
        <f t="shared" si="0"/>
        <v>949</v>
      </c>
      <c r="I39" s="18" t="str">
        <f t="shared" si="1"/>
        <v>stainless steel as the reactor material.</v>
      </c>
      <c r="J39" s="18" t="str">
        <f t="shared" si="2"/>
        <v>stainless steel</v>
      </c>
      <c r="K39">
        <f t="shared" si="3"/>
        <v>950</v>
      </c>
      <c r="L39" s="18" t="str">
        <f t="shared" si="4"/>
        <v xml:space="preserve">stainless steel as the reactor material.
</v>
      </c>
      <c r="M39" s="18" t="str">
        <f t="shared" si="5"/>
        <v>stainless steel</v>
      </c>
    </row>
    <row r="40" spans="1:13" x14ac:dyDescent="0.3">
      <c r="A40" t="s">
        <v>1292</v>
      </c>
      <c r="B40" t="s">
        <v>2005</v>
      </c>
      <c r="C40" t="s">
        <v>1291</v>
      </c>
      <c r="D40">
        <v>0.93301606178283691</v>
      </c>
      <c r="E40">
        <v>0.91484725475311279</v>
      </c>
      <c r="F40">
        <v>0.92384231090545654</v>
      </c>
      <c r="G40">
        <v>0.80550229404916796</v>
      </c>
      <c r="H40">
        <f t="shared" si="0"/>
        <v>877</v>
      </c>
      <c r="I40" s="18" t="str">
        <f t="shared" si="1"/>
        <v>in the reaction is carbon steel.</v>
      </c>
      <c r="J40" s="18" t="s">
        <v>2358</v>
      </c>
      <c r="K40">
        <f t="shared" si="3"/>
        <v>935</v>
      </c>
      <c r="L40" s="18" t="str">
        <f t="shared" si="4"/>
        <v xml:space="preserve">stainless steel as the reactor material.
</v>
      </c>
      <c r="M40" s="18" t="str">
        <f t="shared" si="5"/>
        <v>stainless steel</v>
      </c>
    </row>
    <row r="41" spans="1:13" x14ac:dyDescent="0.3">
      <c r="A41" t="s">
        <v>1290</v>
      </c>
      <c r="B41" t="s">
        <v>2004</v>
      </c>
      <c r="C41" t="s">
        <v>1289</v>
      </c>
      <c r="D41">
        <v>0.97535127401351929</v>
      </c>
      <c r="E41">
        <v>0.97213602066040039</v>
      </c>
      <c r="F41">
        <v>0.97374099493026733</v>
      </c>
      <c r="G41">
        <v>0.18270079435127981</v>
      </c>
      <c r="H41">
        <f t="shared" si="0"/>
        <v>949</v>
      </c>
      <c r="I41" s="18" t="str">
        <f t="shared" si="1"/>
        <v>stainless steel as the reactor material.</v>
      </c>
      <c r="J41" s="18" t="str">
        <f t="shared" si="2"/>
        <v>stainless steel</v>
      </c>
      <c r="K41">
        <f t="shared" si="3"/>
        <v>949</v>
      </c>
      <c r="L41" s="18" t="str">
        <f t="shared" si="4"/>
        <v xml:space="preserve">stainless steel as the reactor material.
</v>
      </c>
      <c r="M41" s="18" t="str">
        <f t="shared" si="5"/>
        <v>stainless steel</v>
      </c>
    </row>
    <row r="42" spans="1:13" x14ac:dyDescent="0.3">
      <c r="A42" t="s">
        <v>1288</v>
      </c>
      <c r="B42" t="s">
        <v>2003</v>
      </c>
      <c r="C42" t="s">
        <v>1287</v>
      </c>
      <c r="D42">
        <v>0.97393250465393066</v>
      </c>
      <c r="E42">
        <v>0.97755825519561768</v>
      </c>
      <c r="F42">
        <v>0.97574204206466675</v>
      </c>
      <c r="G42">
        <v>6.4966121960940579E-2</v>
      </c>
      <c r="H42">
        <f t="shared" si="0"/>
        <v>950</v>
      </c>
      <c r="I42" s="18" t="str">
        <f t="shared" si="1"/>
        <v>stainless steel as the reactor material.</v>
      </c>
      <c r="J42" s="18" t="str">
        <f t="shared" si="2"/>
        <v>stainless steel</v>
      </c>
      <c r="K42">
        <f t="shared" si="3"/>
        <v>950</v>
      </c>
      <c r="L42" s="18" t="str">
        <f t="shared" si="4"/>
        <v xml:space="preserve">stainless steel as the reactor material.
</v>
      </c>
      <c r="M42" s="18" t="str">
        <f t="shared" si="5"/>
        <v>stainless steel</v>
      </c>
    </row>
    <row r="43" spans="1:13" x14ac:dyDescent="0.3">
      <c r="A43" t="s">
        <v>1286</v>
      </c>
      <c r="B43" t="s">
        <v>2002</v>
      </c>
      <c r="C43" t="s">
        <v>1285</v>
      </c>
      <c r="D43">
        <v>0.95997124910354614</v>
      </c>
      <c r="E43">
        <v>0.9658626914024353</v>
      </c>
      <c r="F43">
        <v>0.96290796995162964</v>
      </c>
      <c r="G43">
        <v>1.051394204483324</v>
      </c>
      <c r="H43">
        <f t="shared" si="0"/>
        <v>951</v>
      </c>
      <c r="I43" s="18" t="str">
        <f t="shared" si="1"/>
        <v>stainless steel as the reactor material.</v>
      </c>
      <c r="J43" s="18" t="str">
        <f t="shared" si="2"/>
        <v>stainless steel</v>
      </c>
      <c r="K43">
        <f t="shared" si="3"/>
        <v>951</v>
      </c>
      <c r="L43" s="18" t="str">
        <f t="shared" si="4"/>
        <v xml:space="preserve">stainless steel as the reactor material.
</v>
      </c>
      <c r="M43" s="18" t="str">
        <f t="shared" si="5"/>
        <v>stainless steel</v>
      </c>
    </row>
    <row r="44" spans="1:13" x14ac:dyDescent="0.3">
      <c r="A44" t="s">
        <v>1284</v>
      </c>
      <c r="B44" t="s">
        <v>2001</v>
      </c>
      <c r="C44" t="s">
        <v>1283</v>
      </c>
      <c r="D44">
        <v>0.98777508735656738</v>
      </c>
      <c r="E44">
        <v>0.98758459091186523</v>
      </c>
      <c r="F44">
        <v>0.98767977952957153</v>
      </c>
      <c r="G44">
        <v>0.51280591918042107</v>
      </c>
      <c r="H44">
        <f t="shared" si="0"/>
        <v>954</v>
      </c>
      <c r="I44" s="18" t="str">
        <f t="shared" si="1"/>
        <v>stainless steel as the reactor material.</v>
      </c>
      <c r="J44" s="18" t="str">
        <f t="shared" si="2"/>
        <v>stainless steel</v>
      </c>
      <c r="K44">
        <f t="shared" si="3"/>
        <v>949</v>
      </c>
      <c r="L44" s="18" t="str">
        <f t="shared" si="4"/>
        <v xml:space="preserve">stainless steel as the reactor material.
</v>
      </c>
      <c r="M44" s="18" t="str">
        <f t="shared" si="5"/>
        <v>stainless steel</v>
      </c>
    </row>
    <row r="45" spans="1:13" x14ac:dyDescent="0.3">
      <c r="A45" t="s">
        <v>1282</v>
      </c>
      <c r="B45" t="s">
        <v>2000</v>
      </c>
      <c r="C45" t="s">
        <v>1281</v>
      </c>
      <c r="D45">
        <v>0.95758557319641113</v>
      </c>
      <c r="E45">
        <v>0.96413338184356689</v>
      </c>
      <c r="F45">
        <v>0.96084833145141602</v>
      </c>
      <c r="G45">
        <v>4.3241758241758239</v>
      </c>
      <c r="H45">
        <f t="shared" si="0"/>
        <v>955</v>
      </c>
      <c r="I45" s="18" t="str">
        <f t="shared" si="1"/>
        <v>stainless steel as the reactor material.</v>
      </c>
      <c r="J45" s="18" t="str">
        <f t="shared" si="2"/>
        <v>stainless steel</v>
      </c>
      <c r="K45">
        <f t="shared" si="3"/>
        <v>949</v>
      </c>
      <c r="L45" s="18" t="str">
        <f t="shared" si="4"/>
        <v xml:space="preserve">stainless steel as the reactor material.
</v>
      </c>
      <c r="M45" s="18" t="str">
        <f t="shared" si="5"/>
        <v>stainless steel</v>
      </c>
    </row>
    <row r="46" spans="1:13" x14ac:dyDescent="0.3">
      <c r="A46" t="s">
        <v>1280</v>
      </c>
      <c r="B46" t="s">
        <v>1999</v>
      </c>
      <c r="C46" t="s">
        <v>1279</v>
      </c>
      <c r="D46">
        <v>0.96002709865570068</v>
      </c>
      <c r="E46">
        <v>0.9657137393951416</v>
      </c>
      <c r="F46">
        <v>0.96286207437515259</v>
      </c>
      <c r="G46">
        <v>0.1117068811438785</v>
      </c>
      <c r="H46">
        <f t="shared" si="0"/>
        <v>949</v>
      </c>
      <c r="I46" s="18" t="str">
        <f t="shared" si="1"/>
        <v>stainless steel as the reactor material.</v>
      </c>
      <c r="J46" s="18" t="str">
        <f t="shared" si="2"/>
        <v>stainless steel</v>
      </c>
      <c r="K46">
        <f t="shared" si="3"/>
        <v>950</v>
      </c>
      <c r="L46" s="18" t="str">
        <f t="shared" si="4"/>
        <v xml:space="preserve">stainless steel as the reactor material.
</v>
      </c>
      <c r="M46" s="18" t="str">
        <f t="shared" si="5"/>
        <v>stainless steel</v>
      </c>
    </row>
    <row r="47" spans="1:13" x14ac:dyDescent="0.3">
      <c r="A47" t="s">
        <v>1278</v>
      </c>
      <c r="B47" t="s">
        <v>1998</v>
      </c>
      <c r="C47" t="s">
        <v>1277</v>
      </c>
      <c r="D47">
        <v>0.99164170026779175</v>
      </c>
      <c r="E47">
        <v>0.99164170026779175</v>
      </c>
      <c r="F47">
        <v>0.99164170026779175</v>
      </c>
      <c r="G47">
        <v>0.2189655172413795</v>
      </c>
      <c r="H47">
        <f t="shared" si="0"/>
        <v>953</v>
      </c>
      <c r="I47" s="18" t="str">
        <f t="shared" si="1"/>
        <v>stainless steel as the reactor material.</v>
      </c>
      <c r="J47" s="18" t="str">
        <f t="shared" si="2"/>
        <v>stainless steel</v>
      </c>
      <c r="K47">
        <f t="shared" si="3"/>
        <v>952</v>
      </c>
      <c r="L47" s="18" t="str">
        <f t="shared" si="4"/>
        <v xml:space="preserve">stainless steel as the reactor material.
</v>
      </c>
      <c r="M47" s="18" t="str">
        <f t="shared" si="5"/>
        <v>stainless steel</v>
      </c>
    </row>
    <row r="48" spans="1:13" x14ac:dyDescent="0.3">
      <c r="A48" t="s">
        <v>1276</v>
      </c>
      <c r="B48" t="s">
        <v>1997</v>
      </c>
      <c r="C48" t="s">
        <v>1275</v>
      </c>
      <c r="D48">
        <v>0.97348052263259888</v>
      </c>
      <c r="E48">
        <v>0.97005641460418701</v>
      </c>
      <c r="F48">
        <v>0.97176545858383179</v>
      </c>
      <c r="G48">
        <v>0.1020888496616653</v>
      </c>
      <c r="H48">
        <f t="shared" si="0"/>
        <v>954</v>
      </c>
      <c r="I48" s="18" t="str">
        <f t="shared" si="1"/>
        <v>stainless steel as the reactor material.</v>
      </c>
      <c r="J48" s="18" t="str">
        <f t="shared" si="2"/>
        <v>stainless steel</v>
      </c>
      <c r="K48">
        <f t="shared" si="3"/>
        <v>954</v>
      </c>
      <c r="L48" s="18" t="str">
        <f t="shared" si="4"/>
        <v xml:space="preserve">stainless steel as the reactor material.
</v>
      </c>
      <c r="M48" s="18" t="str">
        <f t="shared" si="5"/>
        <v>stainless steel</v>
      </c>
    </row>
    <row r="49" spans="1:13" x14ac:dyDescent="0.3">
      <c r="A49" t="s">
        <v>1274</v>
      </c>
      <c r="B49" t="s">
        <v>1996</v>
      </c>
      <c r="C49" t="s">
        <v>1273</v>
      </c>
      <c r="D49">
        <v>0.98660635948181152</v>
      </c>
      <c r="E49">
        <v>0.98662412166595459</v>
      </c>
      <c r="F49">
        <v>0.98661524057388306</v>
      </c>
      <c r="G49">
        <v>0.64679080824088753</v>
      </c>
      <c r="H49">
        <f t="shared" si="0"/>
        <v>939</v>
      </c>
      <c r="I49" s="18" t="str">
        <f t="shared" si="1"/>
        <v>stainless steel as the reactor material.</v>
      </c>
      <c r="J49" s="18" t="str">
        <f t="shared" si="2"/>
        <v>stainless steel</v>
      </c>
      <c r="K49">
        <f t="shared" si="3"/>
        <v>935</v>
      </c>
      <c r="L49" s="18" t="str">
        <f t="shared" si="4"/>
        <v xml:space="preserve">stainless steel as the reactor material.
</v>
      </c>
      <c r="M49" s="18" t="str">
        <f t="shared" si="5"/>
        <v>stainless steel</v>
      </c>
    </row>
    <row r="50" spans="1:13" x14ac:dyDescent="0.3">
      <c r="A50" t="s">
        <v>1272</v>
      </c>
      <c r="B50" t="s">
        <v>1995</v>
      </c>
      <c r="C50" t="s">
        <v>1271</v>
      </c>
      <c r="D50">
        <v>0.98666512966156006</v>
      </c>
      <c r="E50">
        <v>0.98666512966156006</v>
      </c>
      <c r="F50">
        <v>0.98666512966156006</v>
      </c>
      <c r="G50">
        <v>1.926310961626649E-2</v>
      </c>
      <c r="H50">
        <f t="shared" si="0"/>
        <v>933</v>
      </c>
      <c r="I50" s="18" t="str">
        <f t="shared" si="1"/>
        <v>stainless steel as the reactor material.</v>
      </c>
      <c r="J50" s="18" t="str">
        <f t="shared" si="2"/>
        <v>stainless steel</v>
      </c>
      <c r="K50">
        <f t="shared" si="3"/>
        <v>934</v>
      </c>
      <c r="L50" s="18" t="str">
        <f t="shared" si="4"/>
        <v xml:space="preserve">stainless steel as the reactor material.
</v>
      </c>
      <c r="M50" s="18" t="str">
        <f t="shared" si="5"/>
        <v>stainless steel</v>
      </c>
    </row>
    <row r="51" spans="1:13" x14ac:dyDescent="0.3">
      <c r="A51" t="s">
        <v>1270</v>
      </c>
      <c r="B51" t="s">
        <v>1994</v>
      </c>
      <c r="C51" t="s">
        <v>1269</v>
      </c>
      <c r="D51">
        <v>0.97851675748825073</v>
      </c>
      <c r="E51">
        <v>0.97489607334136963</v>
      </c>
      <c r="F51">
        <v>0.97670310735702515</v>
      </c>
      <c r="G51">
        <v>0.46296296296296302</v>
      </c>
      <c r="H51">
        <f t="shared" si="0"/>
        <v>950</v>
      </c>
      <c r="I51" s="18" t="str">
        <f t="shared" si="1"/>
        <v>stainless steel as the reactor material.</v>
      </c>
      <c r="J51" s="18" t="str">
        <f t="shared" si="2"/>
        <v>stainless steel</v>
      </c>
      <c r="K51">
        <f t="shared" si="3"/>
        <v>950</v>
      </c>
      <c r="L51" s="18" t="str">
        <f t="shared" si="4"/>
        <v xml:space="preserve">stainless steel as the reactor material.
</v>
      </c>
      <c r="M51" s="18" t="str">
        <f t="shared" si="5"/>
        <v>stainless steel</v>
      </c>
    </row>
    <row r="52" spans="1:13" x14ac:dyDescent="0.3">
      <c r="A52" t="s">
        <v>1268</v>
      </c>
      <c r="B52" t="s">
        <v>1993</v>
      </c>
      <c r="C52" t="s">
        <v>1267</v>
      </c>
      <c r="D52">
        <v>0.9580797553062439</v>
      </c>
      <c r="E52">
        <v>0.96493375301361084</v>
      </c>
      <c r="F52">
        <v>0.9614945650100708</v>
      </c>
      <c r="G52">
        <v>2.1137295081967218</v>
      </c>
      <c r="H52">
        <f t="shared" si="0"/>
        <v>954</v>
      </c>
      <c r="I52" s="18" t="str">
        <f t="shared" si="1"/>
        <v>stainless steel as the reactor material.</v>
      </c>
      <c r="J52" s="18" t="str">
        <f t="shared" si="2"/>
        <v>stainless steel</v>
      </c>
      <c r="K52">
        <f t="shared" si="3"/>
        <v>944</v>
      </c>
      <c r="L52" s="18" t="str">
        <f t="shared" si="4"/>
        <v xml:space="preserve">stainless steel as the reactor material.
</v>
      </c>
      <c r="M52" s="18" t="str">
        <f t="shared" si="5"/>
        <v>stainless steel</v>
      </c>
    </row>
    <row r="53" spans="1:13" x14ac:dyDescent="0.3">
      <c r="A53" t="s">
        <v>1266</v>
      </c>
      <c r="B53" t="s">
        <v>1992</v>
      </c>
      <c r="C53" t="s">
        <v>1265</v>
      </c>
      <c r="D53">
        <v>0.95732522010803223</v>
      </c>
      <c r="E53">
        <v>0.96367532014846802</v>
      </c>
      <c r="F53">
        <v>0.96048980951309204</v>
      </c>
      <c r="G53">
        <v>3.7716186252771622</v>
      </c>
      <c r="H53">
        <f t="shared" si="0"/>
        <v>951</v>
      </c>
      <c r="I53" s="18" t="str">
        <f t="shared" si="1"/>
        <v>stainless steel as the reactor material.</v>
      </c>
      <c r="J53" s="18" t="str">
        <f t="shared" si="2"/>
        <v>stainless steel</v>
      </c>
      <c r="K53">
        <f t="shared" si="3"/>
        <v>950</v>
      </c>
      <c r="L53" s="18" t="str">
        <f t="shared" si="4"/>
        <v xml:space="preserve">stainless steel as the reactor material.
</v>
      </c>
      <c r="M53" s="18" t="str">
        <f t="shared" si="5"/>
        <v>stainless steel</v>
      </c>
    </row>
    <row r="54" spans="1:13" x14ac:dyDescent="0.3">
      <c r="A54" t="s">
        <v>1264</v>
      </c>
      <c r="B54" t="s">
        <v>1991</v>
      </c>
      <c r="C54" t="s">
        <v>1263</v>
      </c>
      <c r="D54">
        <v>0.95536643266677856</v>
      </c>
      <c r="E54">
        <v>0.96262514591217041</v>
      </c>
      <c r="F54">
        <v>0.95898199081420898</v>
      </c>
      <c r="G54">
        <v>3.4372413793103451</v>
      </c>
      <c r="H54">
        <f t="shared" si="0"/>
        <v>950</v>
      </c>
      <c r="I54" s="18" t="str">
        <f t="shared" si="1"/>
        <v>stainless steel as the reactor material.</v>
      </c>
      <c r="J54" s="18" t="str">
        <f t="shared" si="2"/>
        <v>stainless steel</v>
      </c>
      <c r="K54">
        <f t="shared" si="3"/>
        <v>949</v>
      </c>
      <c r="L54" s="18" t="str">
        <f t="shared" si="4"/>
        <v xml:space="preserve">stainless steel as the reactor material.
</v>
      </c>
      <c r="M54" s="18" t="str">
        <f t="shared" si="5"/>
        <v>stainless steel</v>
      </c>
    </row>
    <row r="55" spans="1:13" x14ac:dyDescent="0.3">
      <c r="A55" t="s">
        <v>1262</v>
      </c>
      <c r="B55" t="s">
        <v>1990</v>
      </c>
      <c r="C55" t="s">
        <v>1261</v>
      </c>
      <c r="D55">
        <v>0.98960483074188232</v>
      </c>
      <c r="E55">
        <v>0.98960483074188232</v>
      </c>
      <c r="F55">
        <v>0.98960483074188232</v>
      </c>
      <c r="G55">
        <v>0.24454649827784161</v>
      </c>
      <c r="H55">
        <f t="shared" si="0"/>
        <v>933</v>
      </c>
      <c r="I55" s="18" t="str">
        <f t="shared" si="1"/>
        <v>stainless steel as the reactor material.</v>
      </c>
      <c r="J55" s="18" t="str">
        <f t="shared" si="2"/>
        <v>stainless steel</v>
      </c>
      <c r="K55">
        <f t="shared" si="3"/>
        <v>933</v>
      </c>
      <c r="L55" s="18" t="str">
        <f t="shared" si="4"/>
        <v xml:space="preserve">stainless steel as the reactor material.
</v>
      </c>
      <c r="M55" s="18" t="str">
        <f t="shared" si="5"/>
        <v>stainless steel</v>
      </c>
    </row>
    <row r="56" spans="1:13" x14ac:dyDescent="0.3">
      <c r="A56" t="s">
        <v>1260</v>
      </c>
      <c r="B56" t="s">
        <v>1989</v>
      </c>
      <c r="C56" t="s">
        <v>1259</v>
      </c>
      <c r="D56">
        <v>0.98015308380126953</v>
      </c>
      <c r="E56">
        <v>0.98037296533584595</v>
      </c>
      <c r="F56">
        <v>0.98026299476623535</v>
      </c>
      <c r="G56">
        <v>0.22520107238605891</v>
      </c>
      <c r="H56">
        <f t="shared" si="0"/>
        <v>954</v>
      </c>
      <c r="I56" s="18" t="str">
        <f t="shared" si="1"/>
        <v>stainless steel as the reactor material.</v>
      </c>
      <c r="J56" s="18" t="str">
        <f t="shared" si="2"/>
        <v>stainless steel</v>
      </c>
      <c r="K56">
        <f t="shared" si="3"/>
        <v>954</v>
      </c>
      <c r="L56" s="18" t="str">
        <f t="shared" si="4"/>
        <v xml:space="preserve">stainless steel as the reactor material.
</v>
      </c>
      <c r="M56" s="18" t="str">
        <f t="shared" si="5"/>
        <v>stainless steel</v>
      </c>
    </row>
    <row r="57" spans="1:13" x14ac:dyDescent="0.3">
      <c r="A57" t="s">
        <v>1258</v>
      </c>
      <c r="B57" t="s">
        <v>1988</v>
      </c>
      <c r="C57" t="s">
        <v>1257</v>
      </c>
      <c r="D57">
        <v>0.99086302518844604</v>
      </c>
      <c r="E57">
        <v>0.99081462621688843</v>
      </c>
      <c r="F57">
        <v>0.99083882570266724</v>
      </c>
      <c r="G57">
        <v>0.25318151373074338</v>
      </c>
      <c r="H57">
        <f t="shared" si="0"/>
        <v>950</v>
      </c>
      <c r="I57" s="18" t="str">
        <f t="shared" si="1"/>
        <v>stainless steel as the reactor material.</v>
      </c>
      <c r="J57" s="18" t="str">
        <f t="shared" si="2"/>
        <v>stainless steel</v>
      </c>
      <c r="K57">
        <f t="shared" si="3"/>
        <v>950</v>
      </c>
      <c r="L57" s="18" t="str">
        <f t="shared" si="4"/>
        <v xml:space="preserve">stainless steel as the reactor material.
</v>
      </c>
      <c r="M57" s="18" t="str">
        <f t="shared" si="5"/>
        <v>stainless steel</v>
      </c>
    </row>
    <row r="58" spans="1:13" x14ac:dyDescent="0.3">
      <c r="A58" t="s">
        <v>1256</v>
      </c>
      <c r="B58" t="s">
        <v>1987</v>
      </c>
      <c r="C58" t="s">
        <v>1255</v>
      </c>
      <c r="D58">
        <v>0.96953153610229492</v>
      </c>
      <c r="E58">
        <v>0.97193598747253418</v>
      </c>
      <c r="F58">
        <v>0.97073227167129517</v>
      </c>
      <c r="G58">
        <v>2.0216049382716048</v>
      </c>
      <c r="H58">
        <f t="shared" si="0"/>
        <v>950</v>
      </c>
      <c r="I58" s="18" t="str">
        <f t="shared" si="1"/>
        <v>stainless steel as the reactor material.</v>
      </c>
      <c r="J58" s="18" t="str">
        <f t="shared" si="2"/>
        <v>stainless steel</v>
      </c>
      <c r="K58">
        <f t="shared" si="3"/>
        <v>948</v>
      </c>
      <c r="L58" s="18" t="str">
        <f t="shared" si="4"/>
        <v xml:space="preserve">stainless steel as the reactor material.
</v>
      </c>
      <c r="M58" s="18" t="str">
        <f t="shared" si="5"/>
        <v>stainless steel</v>
      </c>
    </row>
    <row r="59" spans="1:13" x14ac:dyDescent="0.3">
      <c r="A59" t="s">
        <v>1254</v>
      </c>
      <c r="B59" t="s">
        <v>1986</v>
      </c>
      <c r="C59" t="s">
        <v>1253</v>
      </c>
      <c r="D59">
        <v>0.98711258172988892</v>
      </c>
      <c r="E59">
        <v>0.98693466186523438</v>
      </c>
      <c r="F59">
        <v>0.98702365159988403</v>
      </c>
      <c r="G59">
        <v>0.43018335684062059</v>
      </c>
      <c r="H59">
        <f t="shared" si="0"/>
        <v>934</v>
      </c>
      <c r="I59" s="18" t="str">
        <f t="shared" si="1"/>
        <v>stainless steel as the reactor material.</v>
      </c>
      <c r="J59" s="18" t="str">
        <f t="shared" si="2"/>
        <v>stainless steel</v>
      </c>
      <c r="K59">
        <f t="shared" si="3"/>
        <v>934</v>
      </c>
      <c r="L59" s="18" t="str">
        <f t="shared" si="4"/>
        <v xml:space="preserve">stainless steel as the reactor material.
</v>
      </c>
      <c r="M59" s="18" t="str">
        <f t="shared" si="5"/>
        <v>stainless steel</v>
      </c>
    </row>
    <row r="60" spans="1:13" x14ac:dyDescent="0.3">
      <c r="A60" t="s">
        <v>1252</v>
      </c>
      <c r="B60" t="s">
        <v>1985</v>
      </c>
      <c r="C60" t="s">
        <v>1251</v>
      </c>
      <c r="D60">
        <v>0.99021333456039429</v>
      </c>
      <c r="E60">
        <v>0.99005824327468872</v>
      </c>
      <c r="F60">
        <v>0.9901357889175415</v>
      </c>
      <c r="G60">
        <v>1.3185287994448271E-2</v>
      </c>
      <c r="H60">
        <f t="shared" si="0"/>
        <v>951</v>
      </c>
      <c r="I60" s="18" t="str">
        <f t="shared" si="1"/>
        <v>stainless steel as the reactor material.</v>
      </c>
      <c r="J60" s="18" t="str">
        <f t="shared" si="2"/>
        <v>stainless steel</v>
      </c>
      <c r="K60">
        <f t="shared" si="3"/>
        <v>951</v>
      </c>
      <c r="L60" s="18" t="str">
        <f t="shared" si="4"/>
        <v xml:space="preserve">stainless steel as the reactor material.
</v>
      </c>
      <c r="M60" s="18" t="str">
        <f t="shared" si="5"/>
        <v>stainless steel</v>
      </c>
    </row>
    <row r="61" spans="1:13" x14ac:dyDescent="0.3">
      <c r="A61" t="s">
        <v>1250</v>
      </c>
      <c r="B61" t="s">
        <v>1984</v>
      </c>
      <c r="C61" t="s">
        <v>1249</v>
      </c>
      <c r="D61">
        <v>0.97020727396011353</v>
      </c>
      <c r="E61">
        <v>0.97326052188873291</v>
      </c>
      <c r="F61">
        <v>0.97173142433166504</v>
      </c>
      <c r="G61">
        <v>0.83437602897596308</v>
      </c>
      <c r="H61">
        <f t="shared" si="0"/>
        <v>938</v>
      </c>
      <c r="I61" s="18" t="str">
        <f t="shared" si="1"/>
        <v>stainless steel as the reactor material.</v>
      </c>
      <c r="J61" s="18" t="str">
        <f t="shared" si="2"/>
        <v>stainless steel</v>
      </c>
      <c r="K61">
        <f t="shared" si="3"/>
        <v>934</v>
      </c>
      <c r="L61" s="18" t="str">
        <f t="shared" si="4"/>
        <v xml:space="preserve">stainless steel as the reactor material.
</v>
      </c>
      <c r="M61" s="18" t="str">
        <f t="shared" si="5"/>
        <v>stainless steel</v>
      </c>
    </row>
    <row r="62" spans="1:13" x14ac:dyDescent="0.3">
      <c r="A62" t="s">
        <v>1248</v>
      </c>
      <c r="B62" t="s">
        <v>1983</v>
      </c>
      <c r="C62" t="s">
        <v>1247</v>
      </c>
      <c r="D62">
        <v>0.98394215106964111</v>
      </c>
      <c r="E62">
        <v>0.98386490345001221</v>
      </c>
      <c r="F62">
        <v>0.98390352725982666</v>
      </c>
      <c r="G62">
        <v>0.20289332609506999</v>
      </c>
      <c r="H62">
        <f t="shared" si="0"/>
        <v>1354</v>
      </c>
      <c r="I62" s="18" t="str">
        <f t="shared" si="1"/>
        <v>stainless steel as the reactor material.</v>
      </c>
      <c r="J62" s="18" t="str">
        <f t="shared" si="2"/>
        <v>stainless steel</v>
      </c>
      <c r="K62">
        <f t="shared" si="3"/>
        <v>1342</v>
      </c>
      <c r="L62" s="18" t="str">
        <f t="shared" si="4"/>
        <v xml:space="preserve">stainless steel as the reactor material.
</v>
      </c>
      <c r="M62" s="18" t="str">
        <f t="shared" si="5"/>
        <v>stainless steel</v>
      </c>
    </row>
    <row r="63" spans="1:13" x14ac:dyDescent="0.3">
      <c r="A63" t="s">
        <v>1246</v>
      </c>
      <c r="B63" t="s">
        <v>1982</v>
      </c>
      <c r="C63" t="s">
        <v>1245</v>
      </c>
      <c r="D63">
        <v>0.9914555549621582</v>
      </c>
      <c r="E63">
        <v>0.99089771509170532</v>
      </c>
      <c r="F63">
        <v>0.99117660522460938</v>
      </c>
      <c r="G63">
        <v>2.4232462487377801E-2</v>
      </c>
      <c r="H63">
        <f t="shared" si="0"/>
        <v>1438</v>
      </c>
      <c r="I63" s="18" t="str">
        <f t="shared" si="1"/>
        <v>stainless steel as the reactor material.</v>
      </c>
      <c r="J63" s="18" t="str">
        <f t="shared" si="2"/>
        <v>stainless steel</v>
      </c>
      <c r="K63">
        <f t="shared" si="3"/>
        <v>1432</v>
      </c>
      <c r="L63" s="18" t="str">
        <f t="shared" si="4"/>
        <v xml:space="preserve">stainless steel as the reactor material.
</v>
      </c>
      <c r="M63" s="18" t="str">
        <f t="shared" si="5"/>
        <v>stainless steel</v>
      </c>
    </row>
    <row r="64" spans="1:13" x14ac:dyDescent="0.3">
      <c r="A64" t="s">
        <v>1244</v>
      </c>
      <c r="B64" t="s">
        <v>1981</v>
      </c>
      <c r="C64" t="s">
        <v>1243</v>
      </c>
      <c r="D64">
        <v>0.97844254970550537</v>
      </c>
      <c r="E64">
        <v>0.97763878107070923</v>
      </c>
      <c r="F64">
        <v>0.97804045677185059</v>
      </c>
      <c r="G64">
        <v>0.8819746550724743</v>
      </c>
      <c r="H64">
        <f t="shared" si="0"/>
        <v>1437</v>
      </c>
      <c r="I64" s="18" t="str">
        <f t="shared" si="1"/>
        <v>stainless steel as the reactor material.</v>
      </c>
      <c r="J64" s="18" t="str">
        <f t="shared" si="2"/>
        <v>stainless steel</v>
      </c>
      <c r="K64">
        <f t="shared" si="3"/>
        <v>1441</v>
      </c>
      <c r="L64" s="18" t="str">
        <f t="shared" si="4"/>
        <v xml:space="preserve">stainless steel as the reactor material.
</v>
      </c>
      <c r="M64" s="18" t="str">
        <f t="shared" si="5"/>
        <v>stainless steel</v>
      </c>
    </row>
    <row r="65" spans="1:13" x14ac:dyDescent="0.3">
      <c r="A65" t="s">
        <v>1242</v>
      </c>
      <c r="B65" t="s">
        <v>1980</v>
      </c>
      <c r="C65" t="s">
        <v>1241</v>
      </c>
      <c r="D65">
        <v>0.98565280437469482</v>
      </c>
      <c r="E65">
        <v>0.98512637615203857</v>
      </c>
      <c r="F65">
        <v>0.98538953065872192</v>
      </c>
      <c r="G65">
        <v>5.3459861311260223E-2</v>
      </c>
      <c r="H65">
        <f t="shared" si="0"/>
        <v>1357</v>
      </c>
      <c r="I65" s="18" t="str">
        <f t="shared" si="1"/>
        <v>stainless steel as the reactor material.</v>
      </c>
      <c r="J65" s="18" t="str">
        <f t="shared" si="2"/>
        <v>stainless steel</v>
      </c>
      <c r="K65">
        <f t="shared" si="3"/>
        <v>1361</v>
      </c>
      <c r="L65" s="18" t="str">
        <f t="shared" si="4"/>
        <v xml:space="preserve">stainless steel as the reactor material.
</v>
      </c>
      <c r="M65" s="18" t="str">
        <f t="shared" si="5"/>
        <v>stainless steel</v>
      </c>
    </row>
    <row r="66" spans="1:13" x14ac:dyDescent="0.3">
      <c r="A66" t="s">
        <v>1240</v>
      </c>
      <c r="B66" t="s">
        <v>1979</v>
      </c>
      <c r="C66" t="s">
        <v>1239</v>
      </c>
      <c r="D66">
        <v>0.99658030271530151</v>
      </c>
      <c r="E66">
        <v>0.9965968132019043</v>
      </c>
      <c r="F66">
        <v>0.99658852815628052</v>
      </c>
      <c r="G66">
        <v>3.059162604860487E-3</v>
      </c>
      <c r="H66">
        <f t="shared" si="0"/>
        <v>1448</v>
      </c>
      <c r="I66" s="18" t="str">
        <f t="shared" si="1"/>
        <v>stainless steel as the reactor material.</v>
      </c>
      <c r="J66" s="18" t="str">
        <f t="shared" si="2"/>
        <v>stainless steel</v>
      </c>
      <c r="K66">
        <f t="shared" si="3"/>
        <v>1447</v>
      </c>
      <c r="L66" s="18" t="str">
        <f t="shared" si="4"/>
        <v xml:space="preserve">stainless steel as the reactor material.
</v>
      </c>
      <c r="M66" s="18" t="str">
        <f t="shared" si="5"/>
        <v>stainless steel</v>
      </c>
    </row>
    <row r="67" spans="1:13" x14ac:dyDescent="0.3">
      <c r="A67" t="s">
        <v>1238</v>
      </c>
      <c r="B67" t="s">
        <v>1978</v>
      </c>
      <c r="C67" t="s">
        <v>1237</v>
      </c>
      <c r="D67">
        <v>0.97977745532989502</v>
      </c>
      <c r="E67">
        <v>0.97971343994140625</v>
      </c>
      <c r="F67">
        <v>0.97974544763565063</v>
      </c>
      <c r="G67">
        <v>0.14173727125614999</v>
      </c>
      <c r="H67">
        <f t="shared" ref="H67:H89" si="6">FIND("using",B67)</f>
        <v>1361</v>
      </c>
      <c r="I67" s="18" t="str">
        <f t="shared" ref="I67:I89" si="7">MID(B67,H67+LEN("using "),LEN(B67))</f>
        <v>stainless steel as the reactor material.</v>
      </c>
      <c r="J67" s="18" t="str">
        <f t="shared" ref="J67:J89" si="8">LEFT(I67,FIND(" ",I67,FIND(" ",I67)+1)-1)</f>
        <v>stainless steel</v>
      </c>
      <c r="K67">
        <f t="shared" ref="K67:K89" si="9">FIND("using",C67)</f>
        <v>1361</v>
      </c>
      <c r="L67" s="18" t="str">
        <f t="shared" ref="L67:L89" si="10">MID(C67,K67+LEN("using "),LEN(C67))</f>
        <v xml:space="preserve">stainless steel as the reactor material.
</v>
      </c>
      <c r="M67" s="18" t="str">
        <f t="shared" ref="M67:M89" si="11">LEFT(L67,FIND(" ",L67,FIND(" ",L67)+1)-1)</f>
        <v>stainless steel</v>
      </c>
    </row>
    <row r="68" spans="1:13" x14ac:dyDescent="0.3">
      <c r="A68" t="s">
        <v>1236</v>
      </c>
      <c r="B68" t="s">
        <v>1977</v>
      </c>
      <c r="C68" t="s">
        <v>1235</v>
      </c>
      <c r="D68">
        <v>0.99301028251647949</v>
      </c>
      <c r="E68">
        <v>0.99293708801269531</v>
      </c>
      <c r="F68">
        <v>0.9929736852645874</v>
      </c>
      <c r="G68">
        <v>4.0829907461827492E-2</v>
      </c>
      <c r="H68">
        <f t="shared" si="6"/>
        <v>1437</v>
      </c>
      <c r="I68" s="18" t="str">
        <f t="shared" si="7"/>
        <v>stainless steel as the reactor material.</v>
      </c>
      <c r="J68" s="18" t="str">
        <f t="shared" si="8"/>
        <v>stainless steel</v>
      </c>
      <c r="K68">
        <f t="shared" si="9"/>
        <v>1438</v>
      </c>
      <c r="L68" s="18" t="str">
        <f t="shared" si="10"/>
        <v xml:space="preserve">stainless steel as the reactor material.
</v>
      </c>
      <c r="M68" s="18" t="str">
        <f t="shared" si="11"/>
        <v>stainless steel</v>
      </c>
    </row>
    <row r="69" spans="1:13" x14ac:dyDescent="0.3">
      <c r="A69" t="s">
        <v>1234</v>
      </c>
      <c r="B69" t="s">
        <v>1976</v>
      </c>
      <c r="C69" t="s">
        <v>1233</v>
      </c>
      <c r="D69">
        <v>0.98966699838638306</v>
      </c>
      <c r="E69">
        <v>0.98962849378585815</v>
      </c>
      <c r="F69">
        <v>0.98964774608612061</v>
      </c>
      <c r="G69">
        <v>1.6588741792285151E-2</v>
      </c>
      <c r="H69">
        <f t="shared" si="6"/>
        <v>1350</v>
      </c>
      <c r="I69" s="18" t="str">
        <f t="shared" si="7"/>
        <v>stainless steel as the reactor material.</v>
      </c>
      <c r="J69" s="18" t="str">
        <f t="shared" si="8"/>
        <v>stainless steel</v>
      </c>
      <c r="K69">
        <f t="shared" si="9"/>
        <v>1352</v>
      </c>
      <c r="L69" s="18" t="str">
        <f t="shared" si="10"/>
        <v xml:space="preserve">stainless steel as the reactor material.
</v>
      </c>
      <c r="M69" s="18" t="str">
        <f t="shared" si="11"/>
        <v>stainless steel</v>
      </c>
    </row>
    <row r="70" spans="1:13" x14ac:dyDescent="0.3">
      <c r="A70" t="s">
        <v>1232</v>
      </c>
      <c r="B70" t="s">
        <v>2341</v>
      </c>
      <c r="C70" s="2" t="s">
        <v>2342</v>
      </c>
      <c r="D70">
        <v>0.96361809968948364</v>
      </c>
      <c r="E70">
        <v>0.95581614971160889</v>
      </c>
      <c r="F70">
        <v>0.95970124006271362</v>
      </c>
      <c r="G70">
        <v>0.99985779656311846</v>
      </c>
      <c r="H70">
        <f t="shared" si="6"/>
        <v>1432</v>
      </c>
      <c r="I70" s="18" t="str">
        <f t="shared" si="7"/>
        <v>stainless steel as the reactor material.</v>
      </c>
      <c r="J70" s="18" t="str">
        <f t="shared" si="8"/>
        <v>stainless steel</v>
      </c>
      <c r="K70">
        <f t="shared" si="9"/>
        <v>1348</v>
      </c>
      <c r="L70" s="18" t="str">
        <f t="shared" si="10"/>
        <v xml:space="preserve">stainless steel as the reactor material.
</v>
      </c>
      <c r="M70" s="18" t="str">
        <f t="shared" si="11"/>
        <v>stainless steel</v>
      </c>
    </row>
    <row r="71" spans="1:13" x14ac:dyDescent="0.3">
      <c r="A71" t="s">
        <v>1230</v>
      </c>
      <c r="B71" t="s">
        <v>1975</v>
      </c>
      <c r="C71" t="s">
        <v>1229</v>
      </c>
      <c r="D71">
        <v>0.97690165042877197</v>
      </c>
      <c r="E71">
        <v>0.97687321901321411</v>
      </c>
      <c r="F71">
        <v>0.97688740491867065</v>
      </c>
      <c r="G71">
        <v>8.3710928843919882E-2</v>
      </c>
      <c r="H71">
        <f t="shared" si="6"/>
        <v>1359</v>
      </c>
      <c r="I71" s="18" t="str">
        <f t="shared" si="7"/>
        <v>stainless steel as the reactor material.</v>
      </c>
      <c r="J71" s="18" t="str">
        <f t="shared" si="8"/>
        <v>stainless steel</v>
      </c>
      <c r="K71">
        <f t="shared" si="9"/>
        <v>1359</v>
      </c>
      <c r="L71" s="18" t="str">
        <f t="shared" si="10"/>
        <v xml:space="preserve">stainless steel as the reactor material.
</v>
      </c>
      <c r="M71" s="18" t="str">
        <f t="shared" si="11"/>
        <v>stainless steel</v>
      </c>
    </row>
    <row r="72" spans="1:13" x14ac:dyDescent="0.3">
      <c r="A72" t="s">
        <v>1228</v>
      </c>
      <c r="B72" t="s">
        <v>1974</v>
      </c>
      <c r="C72" t="s">
        <v>1227</v>
      </c>
      <c r="D72">
        <v>0.986236572265625</v>
      </c>
      <c r="E72">
        <v>0.98617100715637207</v>
      </c>
      <c r="F72">
        <v>0.98620378971099854</v>
      </c>
      <c r="G72">
        <v>0.1635010159706794</v>
      </c>
      <c r="H72">
        <f t="shared" si="6"/>
        <v>1355</v>
      </c>
      <c r="I72" s="18" t="str">
        <f t="shared" si="7"/>
        <v>stainless steel as the reactor material.</v>
      </c>
      <c r="J72" s="18" t="str">
        <f t="shared" si="8"/>
        <v>stainless steel</v>
      </c>
      <c r="K72">
        <f t="shared" si="9"/>
        <v>1355</v>
      </c>
      <c r="L72" s="18" t="str">
        <f t="shared" si="10"/>
        <v xml:space="preserve">stainless steel as the reactor material.
</v>
      </c>
      <c r="M72" s="18" t="str">
        <f t="shared" si="11"/>
        <v>stainless steel</v>
      </c>
    </row>
    <row r="73" spans="1:13" x14ac:dyDescent="0.3">
      <c r="A73" t="s">
        <v>1226</v>
      </c>
      <c r="B73" t="s">
        <v>1973</v>
      </c>
      <c r="C73" t="s">
        <v>1225</v>
      </c>
      <c r="D73">
        <v>0.99247860908508301</v>
      </c>
      <c r="E73">
        <v>0.99274802207946777</v>
      </c>
      <c r="F73">
        <v>0.99261331558227539</v>
      </c>
      <c r="G73">
        <v>8.5761568400136382E-3</v>
      </c>
      <c r="H73">
        <f t="shared" si="6"/>
        <v>1431</v>
      </c>
      <c r="I73" s="18" t="str">
        <f t="shared" si="7"/>
        <v>stainless steel as the reactor material.</v>
      </c>
      <c r="J73" s="18" t="str">
        <f t="shared" si="8"/>
        <v>stainless steel</v>
      </c>
      <c r="K73">
        <f t="shared" si="9"/>
        <v>1434</v>
      </c>
      <c r="L73" s="18" t="str">
        <f t="shared" si="10"/>
        <v xml:space="preserve">stainless steel as the reactor material.
</v>
      </c>
      <c r="M73" s="18" t="str">
        <f t="shared" si="11"/>
        <v>stainless steel</v>
      </c>
    </row>
    <row r="74" spans="1:13" x14ac:dyDescent="0.3">
      <c r="A74" t="s">
        <v>1224</v>
      </c>
      <c r="B74" t="s">
        <v>1972</v>
      </c>
      <c r="C74" t="s">
        <v>1223</v>
      </c>
      <c r="D74">
        <v>0.99407708644866943</v>
      </c>
      <c r="E74">
        <v>0.99414932727813721</v>
      </c>
      <c r="F74">
        <v>0.99411320686340332</v>
      </c>
      <c r="G74">
        <v>4.2210841261922809E-2</v>
      </c>
      <c r="H74">
        <f t="shared" si="6"/>
        <v>1435</v>
      </c>
      <c r="I74" s="18" t="str">
        <f t="shared" si="7"/>
        <v>stainless steel as the reactor material.</v>
      </c>
      <c r="J74" s="18" t="str">
        <f t="shared" si="8"/>
        <v>stainless steel</v>
      </c>
      <c r="K74">
        <f t="shared" si="9"/>
        <v>1435</v>
      </c>
      <c r="L74" s="18" t="str">
        <f t="shared" si="10"/>
        <v xml:space="preserve">stainless steel as the reactor material.
</v>
      </c>
      <c r="M74" s="18" t="str">
        <f t="shared" si="11"/>
        <v>stainless steel</v>
      </c>
    </row>
    <row r="75" spans="1:13" x14ac:dyDescent="0.3">
      <c r="A75" t="s">
        <v>1222</v>
      </c>
      <c r="B75" t="s">
        <v>1971</v>
      </c>
      <c r="C75" t="s">
        <v>1221</v>
      </c>
      <c r="D75">
        <v>0.98035478591918945</v>
      </c>
      <c r="E75">
        <v>0.98086589574813843</v>
      </c>
      <c r="F75">
        <v>0.980610191822052</v>
      </c>
      <c r="G75">
        <v>5.4536136517033547E-2</v>
      </c>
      <c r="H75">
        <f t="shared" si="6"/>
        <v>1359</v>
      </c>
      <c r="I75" s="18" t="str">
        <f t="shared" si="7"/>
        <v>stainless steel as the reactor material.</v>
      </c>
      <c r="J75" s="18" t="str">
        <f t="shared" si="8"/>
        <v>stainless steel</v>
      </c>
      <c r="K75">
        <f t="shared" si="9"/>
        <v>1355</v>
      </c>
      <c r="L75" s="18" t="str">
        <f t="shared" si="10"/>
        <v xml:space="preserve">stainless steel as the reactor material.
</v>
      </c>
      <c r="M75" s="18" t="str">
        <f t="shared" si="11"/>
        <v>stainless steel</v>
      </c>
    </row>
    <row r="76" spans="1:13" x14ac:dyDescent="0.3">
      <c r="A76" t="s">
        <v>1220</v>
      </c>
      <c r="B76" t="s">
        <v>1970</v>
      </c>
      <c r="C76" t="s">
        <v>1219</v>
      </c>
      <c r="D76">
        <v>0.99540114402770996</v>
      </c>
      <c r="E76">
        <v>0.99581074714660645</v>
      </c>
      <c r="F76">
        <v>0.99560588598251343</v>
      </c>
      <c r="G76">
        <v>1.095838298547502E-2</v>
      </c>
      <c r="H76">
        <f t="shared" si="6"/>
        <v>1438</v>
      </c>
      <c r="I76" s="18" t="str">
        <f t="shared" si="7"/>
        <v>stainless steel as the reactor material.</v>
      </c>
      <c r="J76" s="18" t="str">
        <f t="shared" si="8"/>
        <v>stainless steel</v>
      </c>
      <c r="K76">
        <f t="shared" si="9"/>
        <v>1438</v>
      </c>
      <c r="L76" s="18" t="str">
        <f t="shared" si="10"/>
        <v xml:space="preserve">stainless steel as the reactor material.
</v>
      </c>
      <c r="M76" s="18" t="str">
        <f t="shared" si="11"/>
        <v>stainless steel</v>
      </c>
    </row>
    <row r="77" spans="1:13" x14ac:dyDescent="0.3">
      <c r="A77" t="s">
        <v>1218</v>
      </c>
      <c r="B77" t="s">
        <v>1969</v>
      </c>
      <c r="C77" t="s">
        <v>1217</v>
      </c>
      <c r="D77">
        <v>0.995261549949646</v>
      </c>
      <c r="E77">
        <v>0.99566924571990967</v>
      </c>
      <c r="F77">
        <v>0.99546533823013306</v>
      </c>
      <c r="G77">
        <v>2.5534216495926641E-3</v>
      </c>
      <c r="H77">
        <f t="shared" si="6"/>
        <v>1430</v>
      </c>
      <c r="I77" s="18" t="str">
        <f t="shared" si="7"/>
        <v>stainless steel as the reactor material.</v>
      </c>
      <c r="J77" s="18" t="str">
        <f t="shared" si="8"/>
        <v>stainless steel</v>
      </c>
      <c r="K77">
        <f t="shared" si="9"/>
        <v>1434</v>
      </c>
      <c r="L77" s="18" t="str">
        <f t="shared" si="10"/>
        <v xml:space="preserve">stainless steel as the reactor material.
</v>
      </c>
      <c r="M77" s="18" t="str">
        <f t="shared" si="11"/>
        <v>stainless steel</v>
      </c>
    </row>
    <row r="78" spans="1:13" x14ac:dyDescent="0.3">
      <c r="A78" t="s">
        <v>1216</v>
      </c>
      <c r="B78" t="s">
        <v>1968</v>
      </c>
      <c r="C78" t="s">
        <v>1215</v>
      </c>
      <c r="D78">
        <v>0.97961127758026123</v>
      </c>
      <c r="E78">
        <v>0.98050415515899658</v>
      </c>
      <c r="F78">
        <v>0.98005753755569458</v>
      </c>
      <c r="G78">
        <v>7.0243462578899962E-2</v>
      </c>
      <c r="H78">
        <f t="shared" si="6"/>
        <v>1357</v>
      </c>
      <c r="I78" s="18" t="str">
        <f t="shared" si="7"/>
        <v>stainless steel as the reactor material.</v>
      </c>
      <c r="J78" s="18" t="str">
        <f t="shared" si="8"/>
        <v>stainless steel</v>
      </c>
      <c r="K78">
        <f t="shared" si="9"/>
        <v>1356</v>
      </c>
      <c r="L78" s="18" t="str">
        <f t="shared" si="10"/>
        <v xml:space="preserve">stainless steel as the reactor material.
</v>
      </c>
      <c r="M78" s="18" t="str">
        <f t="shared" si="11"/>
        <v>stainless steel</v>
      </c>
    </row>
    <row r="79" spans="1:13" x14ac:dyDescent="0.3">
      <c r="A79" t="s">
        <v>1214</v>
      </c>
      <c r="B79" t="s">
        <v>1967</v>
      </c>
      <c r="C79" t="s">
        <v>1213</v>
      </c>
      <c r="D79">
        <v>0.98536825180053711</v>
      </c>
      <c r="E79">
        <v>0.9839058518409729</v>
      </c>
      <c r="F79">
        <v>0.98463654518127441</v>
      </c>
      <c r="G79">
        <v>3.2609707414402243E-2</v>
      </c>
      <c r="H79">
        <f t="shared" si="6"/>
        <v>1438</v>
      </c>
      <c r="I79" s="18" t="str">
        <f t="shared" si="7"/>
        <v>stainless steel as the reactor material.</v>
      </c>
      <c r="J79" s="18" t="str">
        <f t="shared" si="8"/>
        <v>stainless steel</v>
      </c>
      <c r="K79">
        <f t="shared" si="9"/>
        <v>1438</v>
      </c>
      <c r="L79" s="18" t="str">
        <f t="shared" si="10"/>
        <v xml:space="preserve">stainless steel as the reactor material.
</v>
      </c>
      <c r="M79" s="18" t="str">
        <f t="shared" si="11"/>
        <v>stainless steel</v>
      </c>
    </row>
    <row r="80" spans="1:13" x14ac:dyDescent="0.3">
      <c r="A80" t="s">
        <v>1212</v>
      </c>
      <c r="B80" t="s">
        <v>1966</v>
      </c>
      <c r="C80" t="s">
        <v>1211</v>
      </c>
      <c r="D80">
        <v>0.97730183601379395</v>
      </c>
      <c r="E80">
        <v>0.97834682464599609</v>
      </c>
      <c r="F80">
        <v>0.97782409191131592</v>
      </c>
      <c r="G80">
        <v>1.5960324616771961E-2</v>
      </c>
      <c r="H80">
        <f t="shared" si="6"/>
        <v>1357</v>
      </c>
      <c r="I80" s="18" t="str">
        <f t="shared" si="7"/>
        <v>stainless steel as the reactor material.</v>
      </c>
      <c r="J80" s="18" t="str">
        <f t="shared" si="8"/>
        <v>stainless steel</v>
      </c>
      <c r="K80">
        <f t="shared" si="9"/>
        <v>1356</v>
      </c>
      <c r="L80" s="18" t="str">
        <f t="shared" si="10"/>
        <v xml:space="preserve">stainless steel as the reactor material.
</v>
      </c>
      <c r="M80" s="18" t="str">
        <f t="shared" si="11"/>
        <v>stainless steel</v>
      </c>
    </row>
    <row r="81" spans="1:13" x14ac:dyDescent="0.3">
      <c r="A81" t="s">
        <v>1210</v>
      </c>
      <c r="B81" t="s">
        <v>1965</v>
      </c>
      <c r="C81" t="s">
        <v>1209</v>
      </c>
      <c r="D81">
        <v>0.9942055344581604</v>
      </c>
      <c r="E81">
        <v>0.9944571852684021</v>
      </c>
      <c r="F81">
        <v>0.99433135986328125</v>
      </c>
      <c r="G81">
        <v>2.9154919456761009E-2</v>
      </c>
      <c r="H81">
        <f t="shared" si="6"/>
        <v>1438</v>
      </c>
      <c r="I81" s="18" t="str">
        <f t="shared" si="7"/>
        <v>stainless steel as the reactor material.</v>
      </c>
      <c r="J81" s="18" t="str">
        <f t="shared" si="8"/>
        <v>stainless steel</v>
      </c>
      <c r="K81">
        <f t="shared" si="9"/>
        <v>1436</v>
      </c>
      <c r="L81" s="18" t="str">
        <f t="shared" si="10"/>
        <v xml:space="preserve">stainless steel as the reactor material.
</v>
      </c>
      <c r="M81" s="18" t="str">
        <f t="shared" si="11"/>
        <v>stainless steel</v>
      </c>
    </row>
    <row r="82" spans="1:13" x14ac:dyDescent="0.3">
      <c r="A82" t="s">
        <v>1208</v>
      </c>
      <c r="B82" t="s">
        <v>1964</v>
      </c>
      <c r="C82" t="s">
        <v>1207</v>
      </c>
      <c r="D82">
        <v>0.98257815837860107</v>
      </c>
      <c r="E82">
        <v>0.9820859432220459</v>
      </c>
      <c r="F82">
        <v>0.98233199119567871</v>
      </c>
      <c r="G82">
        <v>2.6307913018233091E-2</v>
      </c>
      <c r="H82">
        <f t="shared" si="6"/>
        <v>1438</v>
      </c>
      <c r="I82" s="18" t="str">
        <f t="shared" si="7"/>
        <v>stainless steel as the reactor material.</v>
      </c>
      <c r="J82" s="18" t="str">
        <f t="shared" si="8"/>
        <v>stainless steel</v>
      </c>
      <c r="K82">
        <f t="shared" si="9"/>
        <v>1429</v>
      </c>
      <c r="L82" s="18" t="str">
        <f t="shared" si="10"/>
        <v xml:space="preserve">stainless steel as the reactor material.
</v>
      </c>
      <c r="M82" s="18" t="str">
        <f t="shared" si="11"/>
        <v>stainless steel</v>
      </c>
    </row>
    <row r="83" spans="1:13" x14ac:dyDescent="0.3">
      <c r="A83" t="s">
        <v>1206</v>
      </c>
      <c r="B83" t="s">
        <v>1963</v>
      </c>
      <c r="C83" t="s">
        <v>1205</v>
      </c>
      <c r="D83">
        <v>0.99274933338165283</v>
      </c>
      <c r="E83">
        <v>0.99298262596130371</v>
      </c>
      <c r="F83">
        <v>0.99286597967147827</v>
      </c>
      <c r="G83">
        <v>1.856213413748465E-2</v>
      </c>
      <c r="H83">
        <f t="shared" si="6"/>
        <v>1361</v>
      </c>
      <c r="I83" s="18" t="str">
        <f t="shared" si="7"/>
        <v>stainless steel as the reactor material.</v>
      </c>
      <c r="J83" s="18" t="str">
        <f t="shared" si="8"/>
        <v>stainless steel</v>
      </c>
      <c r="K83">
        <f t="shared" si="9"/>
        <v>1359</v>
      </c>
      <c r="L83" s="18" t="str">
        <f t="shared" si="10"/>
        <v xml:space="preserve">stainless steel as the reactor material.
</v>
      </c>
      <c r="M83" s="18" t="str">
        <f t="shared" si="11"/>
        <v>stainless steel</v>
      </c>
    </row>
    <row r="84" spans="1:13" x14ac:dyDescent="0.3">
      <c r="A84" t="s">
        <v>1204</v>
      </c>
      <c r="B84" t="s">
        <v>1962</v>
      </c>
      <c r="C84" t="s">
        <v>1203</v>
      </c>
      <c r="D84">
        <v>0.96799594163894653</v>
      </c>
      <c r="E84">
        <v>0.96957623958587646</v>
      </c>
      <c r="F84">
        <v>0.96878540515899658</v>
      </c>
      <c r="G84">
        <v>1.6051917032941419E-2</v>
      </c>
      <c r="H84">
        <f t="shared" si="6"/>
        <v>1430</v>
      </c>
      <c r="I84" s="18" t="str">
        <f t="shared" si="7"/>
        <v>stainless steel as the reactor material.</v>
      </c>
      <c r="J84" s="18" t="str">
        <f t="shared" si="8"/>
        <v>stainless steel</v>
      </c>
      <c r="K84">
        <f t="shared" si="9"/>
        <v>1432</v>
      </c>
      <c r="L84" s="18" t="str">
        <f t="shared" si="10"/>
        <v xml:space="preserve">stainless steel as the reactor material.
</v>
      </c>
      <c r="M84" s="18" t="str">
        <f t="shared" si="11"/>
        <v>stainless steel</v>
      </c>
    </row>
    <row r="85" spans="1:13" x14ac:dyDescent="0.3">
      <c r="A85" t="s">
        <v>1202</v>
      </c>
      <c r="B85" t="s">
        <v>1961</v>
      </c>
      <c r="C85" t="s">
        <v>1201</v>
      </c>
      <c r="D85">
        <v>0.99032461643218994</v>
      </c>
      <c r="E85">
        <v>0.99039363861083984</v>
      </c>
      <c r="F85">
        <v>0.99035912752151489</v>
      </c>
      <c r="G85">
        <v>6.634525313464092E-3</v>
      </c>
      <c r="H85">
        <f t="shared" si="6"/>
        <v>1428</v>
      </c>
      <c r="I85" s="18" t="str">
        <f t="shared" si="7"/>
        <v>stainless steel as the reactor material.</v>
      </c>
      <c r="J85" s="18" t="str">
        <f t="shared" si="8"/>
        <v>stainless steel</v>
      </c>
      <c r="K85">
        <f t="shared" si="9"/>
        <v>1432</v>
      </c>
      <c r="L85" s="18" t="str">
        <f t="shared" si="10"/>
        <v xml:space="preserve">stainless steel as the reactor material.
</v>
      </c>
      <c r="M85" s="18" t="str">
        <f t="shared" si="11"/>
        <v>stainless steel</v>
      </c>
    </row>
    <row r="86" spans="1:13" x14ac:dyDescent="0.3">
      <c r="A86" t="s">
        <v>1200</v>
      </c>
      <c r="B86" t="s">
        <v>1960</v>
      </c>
      <c r="C86" t="s">
        <v>1199</v>
      </c>
      <c r="D86">
        <v>0.98014974594116211</v>
      </c>
      <c r="E86">
        <v>0.98161214590072632</v>
      </c>
      <c r="F86">
        <v>0.98088037967681885</v>
      </c>
      <c r="G86">
        <v>4.818852673078719E-2</v>
      </c>
      <c r="H86">
        <f t="shared" si="6"/>
        <v>1439</v>
      </c>
      <c r="I86" s="18" t="str">
        <f t="shared" si="7"/>
        <v>stainless steel as the reactor material.</v>
      </c>
      <c r="J86" s="18" t="str">
        <f t="shared" si="8"/>
        <v>stainless steel</v>
      </c>
      <c r="K86">
        <f t="shared" si="9"/>
        <v>1439</v>
      </c>
      <c r="L86" s="18" t="str">
        <f t="shared" si="10"/>
        <v xml:space="preserve">stainless steel as the reactor material.
</v>
      </c>
      <c r="M86" s="18" t="str">
        <f t="shared" si="11"/>
        <v>stainless steel</v>
      </c>
    </row>
    <row r="87" spans="1:13" x14ac:dyDescent="0.3">
      <c r="A87" t="s">
        <v>1198</v>
      </c>
      <c r="B87" t="s">
        <v>1959</v>
      </c>
      <c r="C87" t="s">
        <v>1197</v>
      </c>
      <c r="D87">
        <v>0.98302441835403442</v>
      </c>
      <c r="E87">
        <v>0.98222619295120239</v>
      </c>
      <c r="F87">
        <v>0.98262512683868408</v>
      </c>
      <c r="G87">
        <v>9.1769711591444467E-3</v>
      </c>
      <c r="H87" t="e">
        <f t="shared" si="6"/>
        <v>#VALUE!</v>
      </c>
      <c r="I87" s="18" t="e">
        <f t="shared" si="7"/>
        <v>#VALUE!</v>
      </c>
      <c r="J87" s="18" t="s">
        <v>2357</v>
      </c>
      <c r="K87">
        <f t="shared" si="9"/>
        <v>1442</v>
      </c>
      <c r="L87" s="18" t="str">
        <f t="shared" si="10"/>
        <v xml:space="preserve">stainless steel as the reactor material.
</v>
      </c>
      <c r="M87" s="18" t="str">
        <f t="shared" si="11"/>
        <v>stainless steel</v>
      </c>
    </row>
    <row r="88" spans="1:13" x14ac:dyDescent="0.3">
      <c r="A88" t="s">
        <v>1196</v>
      </c>
      <c r="B88" t="s">
        <v>1958</v>
      </c>
      <c r="C88" t="s">
        <v>1195</v>
      </c>
      <c r="D88">
        <v>0.97685086727142334</v>
      </c>
      <c r="E88">
        <v>0.97745364904403687</v>
      </c>
      <c r="F88">
        <v>0.97715222835540771</v>
      </c>
      <c r="G88">
        <v>4.7667502105713917E-2</v>
      </c>
      <c r="H88">
        <f t="shared" si="6"/>
        <v>1432</v>
      </c>
      <c r="I88" s="18" t="str">
        <f t="shared" si="7"/>
        <v>stainless steel as the reactor material.</v>
      </c>
      <c r="J88" s="18" t="str">
        <f t="shared" si="8"/>
        <v>stainless steel</v>
      </c>
      <c r="K88">
        <f t="shared" si="9"/>
        <v>1430</v>
      </c>
      <c r="L88" s="18" t="str">
        <f t="shared" si="10"/>
        <v xml:space="preserve">stainless steel as the reactor material.
</v>
      </c>
      <c r="M88" s="18" t="str">
        <f t="shared" si="11"/>
        <v>stainless steel</v>
      </c>
    </row>
    <row r="89" spans="1:13" x14ac:dyDescent="0.3">
      <c r="A89" t="s">
        <v>1194</v>
      </c>
      <c r="B89" t="s">
        <v>1957</v>
      </c>
      <c r="C89" t="s">
        <v>1193</v>
      </c>
      <c r="D89">
        <v>0.99158233404159546</v>
      </c>
      <c r="E89">
        <v>0.99186241626739502</v>
      </c>
      <c r="F89">
        <v>0.99172234535217285</v>
      </c>
      <c r="G89">
        <v>0.1244245972077465</v>
      </c>
      <c r="H89">
        <f t="shared" si="6"/>
        <v>1366</v>
      </c>
      <c r="I89" s="18" t="str">
        <f t="shared" si="7"/>
        <v>stainless steel as the reactor material.</v>
      </c>
      <c r="J89" s="18" t="str">
        <f t="shared" si="8"/>
        <v>stainless steel</v>
      </c>
      <c r="K89">
        <f t="shared" si="9"/>
        <v>1367</v>
      </c>
      <c r="L89" s="18" t="str">
        <f t="shared" si="10"/>
        <v xml:space="preserve">stainless steel as the reactor material.
</v>
      </c>
      <c r="M89" s="18" t="str">
        <f t="shared" si="11"/>
        <v>stainless steel</v>
      </c>
    </row>
    <row r="90" spans="1:13" x14ac:dyDescent="0.3">
      <c r="D90">
        <f>AVERAGE(D2:D89)</f>
        <v>0.97835212471810251</v>
      </c>
      <c r="E90">
        <f>AVERAGE(E2:E89)</f>
        <v>0.97884384204040875</v>
      </c>
      <c r="F90">
        <f>AVERAGE(F2:F89)</f>
        <v>0.97859493236650119</v>
      </c>
      <c r="G90">
        <v>0.20599999999999999</v>
      </c>
      <c r="M90" s="18">
        <f>86/88</f>
        <v>0.97727272727272729</v>
      </c>
    </row>
  </sheetData>
  <autoFilter ref="A1:G90" xr:uid="{A3313DAF-8AA2-4D56-A56C-501E7851F518}"/>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2964E-D009-43D5-89AB-F81B9041453D}">
  <dimension ref="A1:M90"/>
  <sheetViews>
    <sheetView topLeftCell="A67" workbookViewId="0">
      <selection activeCell="H2" sqref="H2:M2"/>
    </sheetView>
  </sheetViews>
  <sheetFormatPr defaultRowHeight="14" x14ac:dyDescent="0.3"/>
  <cols>
    <col min="10" max="10" width="16.25" customWidth="1"/>
  </cols>
  <sheetData>
    <row r="1" spans="1:13" x14ac:dyDescent="0.3">
      <c r="A1" s="1" t="s">
        <v>273</v>
      </c>
      <c r="B1" s="1" t="s">
        <v>272</v>
      </c>
      <c r="C1" s="1" t="s">
        <v>271</v>
      </c>
      <c r="D1" s="1" t="s">
        <v>270</v>
      </c>
      <c r="E1" s="1" t="s">
        <v>269</v>
      </c>
      <c r="F1" s="1" t="s">
        <v>268</v>
      </c>
      <c r="G1" s="1" t="s">
        <v>267</v>
      </c>
    </row>
    <row r="2" spans="1:13" x14ac:dyDescent="0.3">
      <c r="A2" t="s">
        <v>1457</v>
      </c>
      <c r="B2" t="s">
        <v>2129</v>
      </c>
      <c r="C2" t="s">
        <v>1367</v>
      </c>
      <c r="D2">
        <v>0.97028034925460815</v>
      </c>
      <c r="E2">
        <v>0.97215890884399414</v>
      </c>
      <c r="F2">
        <v>0.97121870517730713</v>
      </c>
      <c r="G2">
        <v>0.35444256060120061</v>
      </c>
      <c r="H2">
        <f>FIND("using",B2)</f>
        <v>1176</v>
      </c>
      <c r="I2" s="18" t="str">
        <f>MID(B2,H2+LEN("using "),LEN(B2))</f>
        <v>carbon steel as the reactor material.</v>
      </c>
      <c r="J2" s="18" t="str">
        <f>LEFT(I2,FIND(" ",I2,FIND(" ",I2)+1)-1)</f>
        <v>carbon steel</v>
      </c>
      <c r="K2">
        <f>FIND("using",C2)</f>
        <v>1176</v>
      </c>
      <c r="L2" s="18" t="str">
        <f>MID(C2,K2+LEN("using "),LEN(C2))</f>
        <v xml:space="preserve">carbon steel as the reactor material.
</v>
      </c>
      <c r="M2" s="18" t="str">
        <f>LEFT(L2,FIND(" ",L2,FIND(" ",L2)+1)-1)</f>
        <v>carbon steel</v>
      </c>
    </row>
    <row r="3" spans="1:13" x14ac:dyDescent="0.3">
      <c r="A3" t="s">
        <v>1456</v>
      </c>
      <c r="B3" t="s">
        <v>2128</v>
      </c>
      <c r="C3" t="s">
        <v>1365</v>
      </c>
      <c r="D3">
        <v>0.97772812843322754</v>
      </c>
      <c r="E3">
        <v>0.97784644365310669</v>
      </c>
      <c r="F3">
        <v>0.9777873158454895</v>
      </c>
      <c r="G3">
        <v>0.30527118117517849</v>
      </c>
      <c r="H3">
        <f t="shared" ref="H3:H66" si="0">FIND("using",B3)</f>
        <v>1186</v>
      </c>
      <c r="I3" s="18" t="str">
        <f t="shared" ref="I3:I66" si="1">MID(B3,H3+LEN("using "),LEN(B3))</f>
        <v>carbon steel as the reactor material.</v>
      </c>
      <c r="J3" s="18" t="str">
        <f t="shared" ref="J3:J66" si="2">LEFT(I3,FIND(" ",I3,FIND(" ",I3)+1)-1)</f>
        <v>carbon steel</v>
      </c>
      <c r="K3">
        <f t="shared" ref="K3:K66" si="3">FIND("using",C3)</f>
        <v>1189</v>
      </c>
      <c r="L3" s="18" t="str">
        <f t="shared" ref="L3:L66" si="4">MID(C3,K3+LEN("using "),LEN(C3))</f>
        <v xml:space="preserve">carbon steel as the reactor material.
</v>
      </c>
      <c r="M3" s="18" t="str">
        <f t="shared" ref="M3:M66" si="5">LEFT(L3,FIND(" ",L3,FIND(" ",L3)+1)-1)</f>
        <v>carbon steel</v>
      </c>
    </row>
    <row r="4" spans="1:13" x14ac:dyDescent="0.3">
      <c r="A4" t="s">
        <v>1455</v>
      </c>
      <c r="B4" t="s">
        <v>2127</v>
      </c>
      <c r="C4" t="s">
        <v>1363</v>
      </c>
      <c r="D4">
        <v>0.98022890090942383</v>
      </c>
      <c r="E4">
        <v>0.97973394393920898</v>
      </c>
      <c r="F4">
        <v>0.97998136281967163</v>
      </c>
      <c r="G4">
        <v>0.1309174548783065</v>
      </c>
      <c r="H4">
        <f t="shared" si="0"/>
        <v>1191</v>
      </c>
      <c r="I4" s="18" t="str">
        <f t="shared" si="1"/>
        <v>carbon steel as the reactor material.</v>
      </c>
      <c r="J4" s="18" t="str">
        <f t="shared" si="2"/>
        <v>carbon steel</v>
      </c>
      <c r="K4">
        <f t="shared" si="3"/>
        <v>1191</v>
      </c>
      <c r="L4" s="18" t="str">
        <f t="shared" si="4"/>
        <v xml:space="preserve">carbon steel as the reactor material.
</v>
      </c>
      <c r="M4" s="18" t="str">
        <f t="shared" si="5"/>
        <v>carbon steel</v>
      </c>
    </row>
    <row r="5" spans="1:13" x14ac:dyDescent="0.3">
      <c r="A5" t="s">
        <v>1454</v>
      </c>
      <c r="B5" t="s">
        <v>2126</v>
      </c>
      <c r="C5" t="s">
        <v>1361</v>
      </c>
      <c r="D5">
        <v>0.97103035449981689</v>
      </c>
      <c r="E5">
        <v>0.97153913974761963</v>
      </c>
      <c r="F5">
        <v>0.97128468751907349</v>
      </c>
      <c r="G5">
        <v>0.27356750023502868</v>
      </c>
      <c r="H5">
        <f t="shared" si="0"/>
        <v>1123</v>
      </c>
      <c r="I5" s="18" t="str">
        <f t="shared" si="1"/>
        <v>carbon steel as the reactor material.</v>
      </c>
      <c r="J5" s="18" t="str">
        <f t="shared" si="2"/>
        <v>carbon steel</v>
      </c>
      <c r="K5">
        <f t="shared" si="3"/>
        <v>1121</v>
      </c>
      <c r="L5" s="18" t="str">
        <f t="shared" si="4"/>
        <v xml:space="preserve">carbon steel as the reactor material.
</v>
      </c>
      <c r="M5" s="18" t="str">
        <f t="shared" si="5"/>
        <v>carbon steel</v>
      </c>
    </row>
    <row r="6" spans="1:13" x14ac:dyDescent="0.3">
      <c r="A6" t="s">
        <v>1453</v>
      </c>
      <c r="B6" t="s">
        <v>2125</v>
      </c>
      <c r="C6" t="s">
        <v>1359</v>
      </c>
      <c r="D6">
        <v>0.97440123558044434</v>
      </c>
      <c r="E6">
        <v>0.97441637516021729</v>
      </c>
      <c r="F6">
        <v>0.97440880537033081</v>
      </c>
      <c r="G6">
        <v>0.93587513516054721</v>
      </c>
      <c r="H6">
        <f t="shared" si="0"/>
        <v>1118</v>
      </c>
      <c r="I6" s="18" t="str">
        <f t="shared" si="1"/>
        <v>carbon steel as the reactor material.</v>
      </c>
      <c r="J6" s="18" t="str">
        <f t="shared" si="2"/>
        <v>carbon steel</v>
      </c>
      <c r="K6">
        <f t="shared" si="3"/>
        <v>1117</v>
      </c>
      <c r="L6" s="18" t="str">
        <f t="shared" si="4"/>
        <v xml:space="preserve">carbon steel as the reactor material.
</v>
      </c>
      <c r="M6" s="18" t="str">
        <f t="shared" si="5"/>
        <v>carbon steel</v>
      </c>
    </row>
    <row r="7" spans="1:13" x14ac:dyDescent="0.3">
      <c r="A7" t="s">
        <v>1452</v>
      </c>
      <c r="B7" t="s">
        <v>2124</v>
      </c>
      <c r="C7" t="s">
        <v>1357</v>
      </c>
      <c r="D7">
        <v>0.96704864501953125</v>
      </c>
      <c r="E7">
        <v>0.96693593263626099</v>
      </c>
      <c r="F7">
        <v>0.96699231863021851</v>
      </c>
      <c r="G7">
        <v>0.50255557938380147</v>
      </c>
      <c r="H7">
        <f t="shared" si="0"/>
        <v>1189</v>
      </c>
      <c r="I7" s="18" t="str">
        <f t="shared" si="1"/>
        <v>carbon steel as the reactor material.</v>
      </c>
      <c r="J7" s="18" t="str">
        <f t="shared" si="2"/>
        <v>carbon steel</v>
      </c>
      <c r="K7">
        <f t="shared" si="3"/>
        <v>1188</v>
      </c>
      <c r="L7" s="18" t="str">
        <f t="shared" si="4"/>
        <v xml:space="preserve">carbon steel as the reactor material.
</v>
      </c>
      <c r="M7" s="18" t="str">
        <f t="shared" si="5"/>
        <v>carbon steel</v>
      </c>
    </row>
    <row r="8" spans="1:13" x14ac:dyDescent="0.3">
      <c r="A8" t="s">
        <v>1451</v>
      </c>
      <c r="B8" t="s">
        <v>2123</v>
      </c>
      <c r="C8" t="s">
        <v>1355</v>
      </c>
      <c r="D8">
        <v>0.98612779378890991</v>
      </c>
      <c r="E8">
        <v>0.98627501726150513</v>
      </c>
      <c r="F8">
        <v>0.98620140552520752</v>
      </c>
      <c r="G8">
        <v>0.16200671768837899</v>
      </c>
      <c r="H8">
        <f t="shared" si="0"/>
        <v>1176</v>
      </c>
      <c r="I8" s="18" t="str">
        <f t="shared" si="1"/>
        <v>carbon steel as the reactor material.</v>
      </c>
      <c r="J8" s="18" t="str">
        <f t="shared" si="2"/>
        <v>carbon steel</v>
      </c>
      <c r="K8">
        <f t="shared" si="3"/>
        <v>1180</v>
      </c>
      <c r="L8" s="18" t="str">
        <f t="shared" si="4"/>
        <v xml:space="preserve">carbon steel as the reactor material.
</v>
      </c>
      <c r="M8" s="18" t="str">
        <f t="shared" si="5"/>
        <v>carbon steel</v>
      </c>
    </row>
    <row r="9" spans="1:13" x14ac:dyDescent="0.3">
      <c r="A9" t="s">
        <v>1450</v>
      </c>
      <c r="B9" t="s">
        <v>2122</v>
      </c>
      <c r="C9" t="s">
        <v>1353</v>
      </c>
      <c r="D9">
        <v>0.97670853137969971</v>
      </c>
      <c r="E9">
        <v>0.97663873434066772</v>
      </c>
      <c r="F9">
        <v>0.9766736626625061</v>
      </c>
      <c r="G9">
        <v>0.46333685810587533</v>
      </c>
      <c r="H9">
        <f t="shared" si="0"/>
        <v>1182</v>
      </c>
      <c r="I9" s="18" t="str">
        <f t="shared" si="1"/>
        <v>carbon steel as the reactor material.</v>
      </c>
      <c r="J9" s="18" t="str">
        <f t="shared" si="2"/>
        <v>carbon steel</v>
      </c>
      <c r="K9">
        <f t="shared" si="3"/>
        <v>1184</v>
      </c>
      <c r="L9" s="18" t="str">
        <f t="shared" si="4"/>
        <v xml:space="preserve">carbon steel as the reactor material.
</v>
      </c>
      <c r="M9" s="18" t="str">
        <f t="shared" si="5"/>
        <v>carbon steel</v>
      </c>
    </row>
    <row r="10" spans="1:13" x14ac:dyDescent="0.3">
      <c r="A10" t="s">
        <v>1449</v>
      </c>
      <c r="B10" t="s">
        <v>2121</v>
      </c>
      <c r="C10" t="s">
        <v>1351</v>
      </c>
      <c r="D10">
        <v>0.9712444543838501</v>
      </c>
      <c r="E10">
        <v>0.97133553028106689</v>
      </c>
      <c r="F10">
        <v>0.9712899923324585</v>
      </c>
      <c r="G10">
        <v>1.9684348969750021E-2</v>
      </c>
      <c r="H10">
        <f t="shared" si="0"/>
        <v>1180</v>
      </c>
      <c r="I10" s="18" t="str">
        <f t="shared" si="1"/>
        <v>carbon steel as the reactor material.</v>
      </c>
      <c r="J10" s="18" t="str">
        <f t="shared" si="2"/>
        <v>carbon steel</v>
      </c>
      <c r="K10">
        <f t="shared" si="3"/>
        <v>1179</v>
      </c>
      <c r="L10" s="18" t="str">
        <f t="shared" si="4"/>
        <v xml:space="preserve">carbon steel as the reactor material.
</v>
      </c>
      <c r="M10" s="18" t="str">
        <f t="shared" si="5"/>
        <v>carbon steel</v>
      </c>
    </row>
    <row r="11" spans="1:13" x14ac:dyDescent="0.3">
      <c r="A11" t="s">
        <v>1448</v>
      </c>
      <c r="B11" t="s">
        <v>2120</v>
      </c>
      <c r="C11" t="s">
        <v>1349</v>
      </c>
      <c r="D11">
        <v>0.98906946182250977</v>
      </c>
      <c r="E11">
        <v>0.98885971307754517</v>
      </c>
      <c r="F11">
        <v>0.98896461725234985</v>
      </c>
      <c r="G11">
        <v>0.23913548686962591</v>
      </c>
      <c r="H11">
        <f t="shared" si="0"/>
        <v>1168</v>
      </c>
      <c r="I11" s="18" t="str">
        <f t="shared" si="1"/>
        <v>carbon steel as the reactor material.</v>
      </c>
      <c r="J11" s="18" t="str">
        <f t="shared" si="2"/>
        <v>carbon steel</v>
      </c>
      <c r="K11">
        <f t="shared" si="3"/>
        <v>1170</v>
      </c>
      <c r="L11" s="18" t="str">
        <f t="shared" si="4"/>
        <v xml:space="preserve">carbon steel as the reactor material.
</v>
      </c>
      <c r="M11" s="18" t="str">
        <f t="shared" si="5"/>
        <v>carbon steel</v>
      </c>
    </row>
    <row r="12" spans="1:13" x14ac:dyDescent="0.3">
      <c r="A12" t="s">
        <v>1447</v>
      </c>
      <c r="B12" t="s">
        <v>2119</v>
      </c>
      <c r="C12" t="s">
        <v>1347</v>
      </c>
      <c r="D12">
        <v>0.97791415452957153</v>
      </c>
      <c r="E12">
        <v>0.97849607467651367</v>
      </c>
      <c r="F12">
        <v>0.97820508480072021</v>
      </c>
      <c r="G12">
        <v>9.9535717194754486E-2</v>
      </c>
      <c r="H12">
        <f t="shared" si="0"/>
        <v>1179</v>
      </c>
      <c r="I12" s="18" t="str">
        <f t="shared" si="1"/>
        <v>carbon steel as the reactor material.</v>
      </c>
      <c r="J12" s="18" t="str">
        <f t="shared" si="2"/>
        <v>carbon steel</v>
      </c>
      <c r="K12">
        <f t="shared" si="3"/>
        <v>1180</v>
      </c>
      <c r="L12" s="18" t="str">
        <f t="shared" si="4"/>
        <v xml:space="preserve">carbon steel as the reactor material.
</v>
      </c>
      <c r="M12" s="18" t="str">
        <f t="shared" si="5"/>
        <v>carbon steel</v>
      </c>
    </row>
    <row r="13" spans="1:13" x14ac:dyDescent="0.3">
      <c r="A13" t="s">
        <v>1446</v>
      </c>
      <c r="B13" t="s">
        <v>2118</v>
      </c>
      <c r="C13" t="s">
        <v>1345</v>
      </c>
      <c r="D13">
        <v>0.97551238536834717</v>
      </c>
      <c r="E13">
        <v>0.97458624839782715</v>
      </c>
      <c r="F13">
        <v>0.97504907846450806</v>
      </c>
      <c r="G13">
        <v>0.33798247374406309</v>
      </c>
      <c r="H13">
        <f t="shared" si="0"/>
        <v>1181</v>
      </c>
      <c r="I13" s="18" t="str">
        <f t="shared" si="1"/>
        <v>carbon steel as the reactor material.</v>
      </c>
      <c r="J13" s="18" t="str">
        <f t="shared" si="2"/>
        <v>carbon steel</v>
      </c>
      <c r="K13">
        <f t="shared" si="3"/>
        <v>1176</v>
      </c>
      <c r="L13" s="18" t="str">
        <f t="shared" si="4"/>
        <v xml:space="preserve">carbon steel as the reactor material.
</v>
      </c>
      <c r="M13" s="18" t="str">
        <f t="shared" si="5"/>
        <v>carbon steel</v>
      </c>
    </row>
    <row r="14" spans="1:13" x14ac:dyDescent="0.3">
      <c r="A14" t="s">
        <v>1445</v>
      </c>
      <c r="B14" t="s">
        <v>2117</v>
      </c>
      <c r="C14" t="s">
        <v>1343</v>
      </c>
      <c r="D14">
        <v>0.83334809541702271</v>
      </c>
      <c r="E14">
        <v>0.84191858768463135</v>
      </c>
      <c r="F14">
        <v>0.83761143684387207</v>
      </c>
      <c r="G14">
        <v>3.242598697392113</v>
      </c>
      <c r="H14">
        <f t="shared" si="0"/>
        <v>1086</v>
      </c>
      <c r="I14" s="18" t="str">
        <f t="shared" si="1"/>
        <v>carbon steel as the reactor material.</v>
      </c>
      <c r="J14" s="18" t="str">
        <f t="shared" si="2"/>
        <v>carbon steel</v>
      </c>
      <c r="K14">
        <f t="shared" si="3"/>
        <v>1186</v>
      </c>
      <c r="L14" s="18" t="str">
        <f t="shared" si="4"/>
        <v xml:space="preserve">carbon steel as the reactor material.
</v>
      </c>
      <c r="M14" s="18" t="str">
        <f t="shared" si="5"/>
        <v>carbon steel</v>
      </c>
    </row>
    <row r="15" spans="1:13" x14ac:dyDescent="0.3">
      <c r="A15" t="s">
        <v>1444</v>
      </c>
      <c r="B15" t="s">
        <v>2116</v>
      </c>
      <c r="C15" t="s">
        <v>1341</v>
      </c>
      <c r="D15">
        <v>0.97667604684829712</v>
      </c>
      <c r="E15">
        <v>0.97719740867614746</v>
      </c>
      <c r="F15">
        <v>0.9769366979598999</v>
      </c>
      <c r="G15">
        <v>0.74247889418798341</v>
      </c>
      <c r="H15">
        <f t="shared" si="0"/>
        <v>1133</v>
      </c>
      <c r="I15" s="18" t="str">
        <f t="shared" si="1"/>
        <v>carbon steel as the reactor material.</v>
      </c>
      <c r="J15" s="18" t="str">
        <f t="shared" si="2"/>
        <v>carbon steel</v>
      </c>
      <c r="K15">
        <f t="shared" si="3"/>
        <v>1136</v>
      </c>
      <c r="L15" s="18" t="str">
        <f t="shared" si="4"/>
        <v xml:space="preserve">carbon steel as the reactor material.
</v>
      </c>
      <c r="M15" s="18" t="str">
        <f t="shared" si="5"/>
        <v>carbon steel</v>
      </c>
    </row>
    <row r="16" spans="1:13" x14ac:dyDescent="0.3">
      <c r="A16" t="s">
        <v>1443</v>
      </c>
      <c r="B16" t="s">
        <v>2115</v>
      </c>
      <c r="C16" t="s">
        <v>1339</v>
      </c>
      <c r="D16">
        <v>0.98510569334030151</v>
      </c>
      <c r="E16">
        <v>0.98518139123916626</v>
      </c>
      <c r="F16">
        <v>0.98514354228973389</v>
      </c>
      <c r="G16">
        <v>0.25416465592124299</v>
      </c>
      <c r="H16">
        <f t="shared" si="0"/>
        <v>1186</v>
      </c>
      <c r="I16" s="18" t="str">
        <f t="shared" si="1"/>
        <v>carbon steel as the reactor material.</v>
      </c>
      <c r="J16" s="18" t="str">
        <f t="shared" si="2"/>
        <v>carbon steel</v>
      </c>
      <c r="K16">
        <f t="shared" si="3"/>
        <v>1184</v>
      </c>
      <c r="L16" s="18" t="str">
        <f t="shared" si="4"/>
        <v xml:space="preserve">carbon steel as the reactor material.
</v>
      </c>
      <c r="M16" s="18" t="str">
        <f t="shared" si="5"/>
        <v>carbon steel</v>
      </c>
    </row>
    <row r="17" spans="1:13" x14ac:dyDescent="0.3">
      <c r="A17" t="s">
        <v>1442</v>
      </c>
      <c r="B17" t="s">
        <v>2114</v>
      </c>
      <c r="C17" t="s">
        <v>1337</v>
      </c>
      <c r="D17">
        <v>0.9726177453994751</v>
      </c>
      <c r="E17">
        <v>0.97495859861373901</v>
      </c>
      <c r="F17">
        <v>0.97378677129745483</v>
      </c>
      <c r="G17">
        <v>0.99207781030676878</v>
      </c>
      <c r="H17">
        <f t="shared" si="0"/>
        <v>1194</v>
      </c>
      <c r="I17" s="18" t="str">
        <f t="shared" si="1"/>
        <v>carbon steel as the reactor material.</v>
      </c>
      <c r="J17" s="18" t="str">
        <f t="shared" si="2"/>
        <v>carbon steel</v>
      </c>
      <c r="K17">
        <f t="shared" si="3"/>
        <v>1191</v>
      </c>
      <c r="L17" s="18" t="str">
        <f t="shared" si="4"/>
        <v xml:space="preserve">carbon steel as the reactor material.
</v>
      </c>
      <c r="M17" s="18" t="str">
        <f t="shared" si="5"/>
        <v>carbon steel</v>
      </c>
    </row>
    <row r="18" spans="1:13" x14ac:dyDescent="0.3">
      <c r="A18" t="s">
        <v>1441</v>
      </c>
      <c r="B18" t="s">
        <v>2113</v>
      </c>
      <c r="C18" t="s">
        <v>1335</v>
      </c>
      <c r="D18">
        <v>0.98714733123779297</v>
      </c>
      <c r="E18">
        <v>0.98714733123779297</v>
      </c>
      <c r="F18">
        <v>0.98714733123779297</v>
      </c>
      <c r="G18">
        <v>0.2817123709452824</v>
      </c>
      <c r="H18">
        <f t="shared" si="0"/>
        <v>1182</v>
      </c>
      <c r="I18" s="18" t="str">
        <f t="shared" si="1"/>
        <v>carbon steel as the reactor material.</v>
      </c>
      <c r="J18" s="18" t="str">
        <f t="shared" si="2"/>
        <v>carbon steel</v>
      </c>
      <c r="K18">
        <f t="shared" si="3"/>
        <v>1182</v>
      </c>
      <c r="L18" s="18" t="str">
        <f t="shared" si="4"/>
        <v xml:space="preserve">carbon steel as the reactor material.
</v>
      </c>
      <c r="M18" s="18" t="str">
        <f t="shared" si="5"/>
        <v>carbon steel</v>
      </c>
    </row>
    <row r="19" spans="1:13" x14ac:dyDescent="0.3">
      <c r="A19" t="s">
        <v>1440</v>
      </c>
      <c r="B19" t="s">
        <v>2112</v>
      </c>
      <c r="C19" t="s">
        <v>1333</v>
      </c>
      <c r="D19">
        <v>0.96738189458847046</v>
      </c>
      <c r="E19">
        <v>0.93924444913864136</v>
      </c>
      <c r="F19">
        <v>0.95310556888580322</v>
      </c>
      <c r="G19">
        <v>0.2171972759626345</v>
      </c>
      <c r="H19" t="e">
        <f t="shared" si="0"/>
        <v>#VALUE!</v>
      </c>
      <c r="I19" s="18" t="e">
        <f t="shared" si="1"/>
        <v>#VALUE!</v>
      </c>
      <c r="J19" s="18" t="s">
        <v>2358</v>
      </c>
      <c r="K19">
        <f t="shared" si="3"/>
        <v>1118</v>
      </c>
      <c r="L19" s="18" t="str">
        <f t="shared" si="4"/>
        <v xml:space="preserve">carbon steel as the reactor material.
</v>
      </c>
      <c r="M19" s="18" t="str">
        <f t="shared" si="5"/>
        <v>carbon steel</v>
      </c>
    </row>
    <row r="20" spans="1:13" x14ac:dyDescent="0.3">
      <c r="A20" t="s">
        <v>1439</v>
      </c>
      <c r="B20" t="s">
        <v>2111</v>
      </c>
      <c r="C20" t="s">
        <v>1331</v>
      </c>
      <c r="D20">
        <v>0.98967850208282471</v>
      </c>
      <c r="E20">
        <v>0.98966681957244873</v>
      </c>
      <c r="F20">
        <v>0.98967266082763672</v>
      </c>
      <c r="G20">
        <v>0.22321461510650689</v>
      </c>
      <c r="H20">
        <f t="shared" si="0"/>
        <v>1180</v>
      </c>
      <c r="I20" s="18" t="str">
        <f t="shared" si="1"/>
        <v>carbon steel as the reactor material.</v>
      </c>
      <c r="J20" s="18" t="str">
        <f t="shared" si="2"/>
        <v>carbon steel</v>
      </c>
      <c r="K20">
        <f t="shared" si="3"/>
        <v>1181</v>
      </c>
      <c r="L20" s="18" t="str">
        <f t="shared" si="4"/>
        <v xml:space="preserve">carbon steel as the reactor material.
</v>
      </c>
      <c r="M20" s="18" t="str">
        <f t="shared" si="5"/>
        <v>carbon steel</v>
      </c>
    </row>
    <row r="21" spans="1:13" x14ac:dyDescent="0.3">
      <c r="A21" t="s">
        <v>1438</v>
      </c>
      <c r="B21" t="s">
        <v>2110</v>
      </c>
      <c r="C21" t="s">
        <v>1329</v>
      </c>
      <c r="D21">
        <v>0.97532033920288086</v>
      </c>
      <c r="E21">
        <v>0.97569143772125244</v>
      </c>
      <c r="F21">
        <v>0.97550582885742188</v>
      </c>
      <c r="G21">
        <v>0.1256694133201566</v>
      </c>
      <c r="H21">
        <f t="shared" si="0"/>
        <v>1181</v>
      </c>
      <c r="I21" s="18" t="str">
        <f t="shared" si="1"/>
        <v>carbon steel as the reactor material.</v>
      </c>
      <c r="J21" s="18" t="str">
        <f t="shared" si="2"/>
        <v>carbon steel</v>
      </c>
      <c r="K21">
        <f t="shared" si="3"/>
        <v>1183</v>
      </c>
      <c r="L21" s="18" t="str">
        <f t="shared" si="4"/>
        <v xml:space="preserve">carbon steel as the reactor material.
</v>
      </c>
      <c r="M21" s="18" t="str">
        <f t="shared" si="5"/>
        <v>carbon steel</v>
      </c>
    </row>
    <row r="22" spans="1:13" x14ac:dyDescent="0.3">
      <c r="A22" t="s">
        <v>1437</v>
      </c>
      <c r="B22" t="s">
        <v>2109</v>
      </c>
      <c r="C22" t="s">
        <v>1327</v>
      </c>
      <c r="D22">
        <v>0.97762978076934814</v>
      </c>
      <c r="E22">
        <v>0.97722625732421875</v>
      </c>
      <c r="F22">
        <v>0.97742795944213867</v>
      </c>
      <c r="G22">
        <v>5.3769534604155837E-2</v>
      </c>
      <c r="H22">
        <f t="shared" si="0"/>
        <v>1186</v>
      </c>
      <c r="I22" s="18" t="str">
        <f t="shared" si="1"/>
        <v>carbon steel as the reactor material.</v>
      </c>
      <c r="J22" s="18" t="str">
        <f t="shared" si="2"/>
        <v>carbon steel</v>
      </c>
      <c r="K22">
        <f t="shared" si="3"/>
        <v>1186</v>
      </c>
      <c r="L22" s="18" t="str">
        <f t="shared" si="4"/>
        <v xml:space="preserve">carbon steel as the reactor material.
</v>
      </c>
      <c r="M22" s="18" t="str">
        <f t="shared" si="5"/>
        <v>carbon steel</v>
      </c>
    </row>
    <row r="23" spans="1:13" x14ac:dyDescent="0.3">
      <c r="A23" t="s">
        <v>1436</v>
      </c>
      <c r="B23" t="s">
        <v>2108</v>
      </c>
      <c r="C23" t="s">
        <v>1325</v>
      </c>
      <c r="D23">
        <v>0.98601061105728149</v>
      </c>
      <c r="E23">
        <v>0.98601758480072021</v>
      </c>
      <c r="F23">
        <v>0.98601406812667847</v>
      </c>
      <c r="G23">
        <v>0.78836849235533191</v>
      </c>
      <c r="H23">
        <f t="shared" si="0"/>
        <v>1177</v>
      </c>
      <c r="I23" s="18" t="str">
        <f t="shared" si="1"/>
        <v>carbon steel as the reactor material.</v>
      </c>
      <c r="J23" s="18" t="str">
        <f t="shared" si="2"/>
        <v>carbon steel</v>
      </c>
      <c r="K23">
        <f t="shared" si="3"/>
        <v>1175</v>
      </c>
      <c r="L23" s="18" t="str">
        <f t="shared" si="4"/>
        <v xml:space="preserve">carbon steel as the reactor material.
</v>
      </c>
      <c r="M23" s="18" t="str">
        <f t="shared" si="5"/>
        <v>carbon steel</v>
      </c>
    </row>
    <row r="24" spans="1:13" x14ac:dyDescent="0.3">
      <c r="A24" t="s">
        <v>1435</v>
      </c>
      <c r="B24" t="s">
        <v>2107</v>
      </c>
      <c r="C24" t="s">
        <v>1323</v>
      </c>
      <c r="D24">
        <v>0.9855964183807373</v>
      </c>
      <c r="E24">
        <v>0.98554593324661255</v>
      </c>
      <c r="F24">
        <v>0.98557120561599731</v>
      </c>
      <c r="G24">
        <v>0.19489508976854869</v>
      </c>
      <c r="H24">
        <f t="shared" si="0"/>
        <v>1176</v>
      </c>
      <c r="I24" s="18" t="str">
        <f t="shared" si="1"/>
        <v>carbon steel as the reactor material.</v>
      </c>
      <c r="J24" s="18" t="str">
        <f t="shared" si="2"/>
        <v>carbon steel</v>
      </c>
      <c r="K24">
        <f t="shared" si="3"/>
        <v>1173</v>
      </c>
      <c r="L24" s="18" t="str">
        <f t="shared" si="4"/>
        <v xml:space="preserve">carbon steel as the reactor material.
</v>
      </c>
      <c r="M24" s="18" t="str">
        <f t="shared" si="5"/>
        <v>carbon steel</v>
      </c>
    </row>
    <row r="25" spans="1:13" x14ac:dyDescent="0.3">
      <c r="A25" t="s">
        <v>1434</v>
      </c>
      <c r="B25" t="s">
        <v>2106</v>
      </c>
      <c r="C25" t="s">
        <v>1321</v>
      </c>
      <c r="D25">
        <v>0.9763074517250061</v>
      </c>
      <c r="E25">
        <v>0.97655928134918213</v>
      </c>
      <c r="F25">
        <v>0.97643333673477173</v>
      </c>
      <c r="G25">
        <v>1.1017842156959661</v>
      </c>
      <c r="H25">
        <f t="shared" si="0"/>
        <v>1180</v>
      </c>
      <c r="I25" s="18" t="str">
        <f t="shared" si="1"/>
        <v>carbon steel as the reactor material.</v>
      </c>
      <c r="J25" s="18" t="str">
        <f t="shared" si="2"/>
        <v>carbon steel</v>
      </c>
      <c r="K25">
        <f t="shared" si="3"/>
        <v>1180</v>
      </c>
      <c r="L25" s="18" t="str">
        <f t="shared" si="4"/>
        <v xml:space="preserve">carbon steel as the reactor material.
</v>
      </c>
      <c r="M25" s="18" t="str">
        <f t="shared" si="5"/>
        <v>carbon steel</v>
      </c>
    </row>
    <row r="26" spans="1:13" x14ac:dyDescent="0.3">
      <c r="A26" t="s">
        <v>1433</v>
      </c>
      <c r="B26" t="s">
        <v>2105</v>
      </c>
      <c r="C26" t="s">
        <v>1319</v>
      </c>
      <c r="D26">
        <v>0.97465813159942627</v>
      </c>
      <c r="E26">
        <v>0.97513890266418457</v>
      </c>
      <c r="F26">
        <v>0.97489845752716064</v>
      </c>
      <c r="G26">
        <v>0.15545159257284141</v>
      </c>
      <c r="H26">
        <f t="shared" si="0"/>
        <v>1191</v>
      </c>
      <c r="I26" s="18" t="str">
        <f t="shared" si="1"/>
        <v>carbon steel as the reactor material.</v>
      </c>
      <c r="J26" s="18" t="str">
        <f t="shared" si="2"/>
        <v>carbon steel</v>
      </c>
      <c r="K26">
        <f t="shared" si="3"/>
        <v>1191</v>
      </c>
      <c r="L26" s="18" t="str">
        <f t="shared" si="4"/>
        <v xml:space="preserve">carbon steel as the reactor material.
</v>
      </c>
      <c r="M26" s="18" t="str">
        <f t="shared" si="5"/>
        <v>carbon steel</v>
      </c>
    </row>
    <row r="27" spans="1:13" x14ac:dyDescent="0.3">
      <c r="A27" t="s">
        <v>1432</v>
      </c>
      <c r="B27" t="s">
        <v>2104</v>
      </c>
      <c r="C27" t="s">
        <v>1317</v>
      </c>
      <c r="D27">
        <v>0.98290789127349854</v>
      </c>
      <c r="E27">
        <v>0.98271679878234863</v>
      </c>
      <c r="F27">
        <v>0.98281234502792358</v>
      </c>
      <c r="G27">
        <v>0.1265778578871771</v>
      </c>
      <c r="H27">
        <f t="shared" si="0"/>
        <v>1184</v>
      </c>
      <c r="I27" s="18" t="str">
        <f t="shared" si="1"/>
        <v>carbon steel as the reactor material.</v>
      </c>
      <c r="J27" s="18" t="str">
        <f t="shared" si="2"/>
        <v>carbon steel</v>
      </c>
      <c r="K27">
        <f t="shared" si="3"/>
        <v>1187</v>
      </c>
      <c r="L27" s="18" t="str">
        <f t="shared" si="4"/>
        <v xml:space="preserve">carbon steel as the reactor material.
</v>
      </c>
      <c r="M27" s="18" t="str">
        <f t="shared" si="5"/>
        <v>carbon steel</v>
      </c>
    </row>
    <row r="28" spans="1:13" x14ac:dyDescent="0.3">
      <c r="A28" t="s">
        <v>1431</v>
      </c>
      <c r="B28" t="s">
        <v>2103</v>
      </c>
      <c r="C28" t="s">
        <v>1315</v>
      </c>
      <c r="D28">
        <v>0.97689175605773926</v>
      </c>
      <c r="E28">
        <v>0.97709465026855469</v>
      </c>
      <c r="F28">
        <v>0.97699320316314697</v>
      </c>
      <c r="G28">
        <v>0.17295697038665889</v>
      </c>
      <c r="H28">
        <f t="shared" si="0"/>
        <v>1185</v>
      </c>
      <c r="I28" s="18" t="str">
        <f t="shared" si="1"/>
        <v>carbon steel as the reactor material.</v>
      </c>
      <c r="J28" s="18" t="str">
        <f t="shared" si="2"/>
        <v>carbon steel</v>
      </c>
      <c r="K28">
        <f t="shared" si="3"/>
        <v>1185</v>
      </c>
      <c r="L28" s="18" t="str">
        <f t="shared" si="4"/>
        <v xml:space="preserve">carbon steel as the reactor material.
</v>
      </c>
      <c r="M28" s="18" t="str">
        <f t="shared" si="5"/>
        <v>carbon steel</v>
      </c>
    </row>
    <row r="29" spans="1:13" x14ac:dyDescent="0.3">
      <c r="A29" t="s">
        <v>1430</v>
      </c>
      <c r="B29" t="s">
        <v>2102</v>
      </c>
      <c r="C29" t="s">
        <v>1313</v>
      </c>
      <c r="D29">
        <v>0.98685568571090698</v>
      </c>
      <c r="E29">
        <v>0.98700952529907227</v>
      </c>
      <c r="F29">
        <v>0.98693257570266724</v>
      </c>
      <c r="G29">
        <v>0.4048955526108125</v>
      </c>
      <c r="H29">
        <f t="shared" si="0"/>
        <v>1180</v>
      </c>
      <c r="I29" s="18" t="str">
        <f t="shared" si="1"/>
        <v>carbon steel as the reactor material.</v>
      </c>
      <c r="J29" s="18" t="str">
        <f t="shared" si="2"/>
        <v>carbon steel</v>
      </c>
      <c r="K29">
        <f t="shared" si="3"/>
        <v>1181</v>
      </c>
      <c r="L29" s="18" t="str">
        <f t="shared" si="4"/>
        <v xml:space="preserve">carbon steel as the reactor material.
</v>
      </c>
      <c r="M29" s="18" t="str">
        <f t="shared" si="5"/>
        <v>carbon steel</v>
      </c>
    </row>
    <row r="30" spans="1:13" x14ac:dyDescent="0.3">
      <c r="A30" t="s">
        <v>1429</v>
      </c>
      <c r="B30" t="s">
        <v>2101</v>
      </c>
      <c r="C30" t="s">
        <v>1311</v>
      </c>
      <c r="D30">
        <v>0.97924554347991943</v>
      </c>
      <c r="E30">
        <v>0.97911334037780762</v>
      </c>
      <c r="F30">
        <v>0.97917944192886353</v>
      </c>
      <c r="G30">
        <v>5.7573914709631122E-2</v>
      </c>
      <c r="H30">
        <f t="shared" si="0"/>
        <v>1187</v>
      </c>
      <c r="I30" s="18" t="str">
        <f t="shared" si="1"/>
        <v>carbon steel as the reactor material.</v>
      </c>
      <c r="J30" s="18" t="str">
        <f t="shared" si="2"/>
        <v>carbon steel</v>
      </c>
      <c r="K30">
        <f t="shared" si="3"/>
        <v>1187</v>
      </c>
      <c r="L30" s="18" t="str">
        <f t="shared" si="4"/>
        <v xml:space="preserve">carbon steel as the reactor material.
</v>
      </c>
      <c r="M30" s="18" t="str">
        <f t="shared" si="5"/>
        <v>carbon steel</v>
      </c>
    </row>
    <row r="31" spans="1:13" x14ac:dyDescent="0.3">
      <c r="A31" t="s">
        <v>1428</v>
      </c>
      <c r="B31" t="s">
        <v>2100</v>
      </c>
      <c r="C31" t="s">
        <v>1309</v>
      </c>
      <c r="D31">
        <v>0.98276698589324951</v>
      </c>
      <c r="E31">
        <v>0.98277091979980469</v>
      </c>
      <c r="F31">
        <v>0.9827689528465271</v>
      </c>
      <c r="G31">
        <v>9.3145612201873437E-2</v>
      </c>
      <c r="H31">
        <f t="shared" si="0"/>
        <v>1179</v>
      </c>
      <c r="I31" s="18" t="str">
        <f t="shared" si="1"/>
        <v>carbon steel as the reactor material.</v>
      </c>
      <c r="J31" s="18" t="str">
        <f t="shared" si="2"/>
        <v>carbon steel</v>
      </c>
      <c r="K31">
        <f t="shared" si="3"/>
        <v>1174</v>
      </c>
      <c r="L31" s="18" t="str">
        <f t="shared" si="4"/>
        <v xml:space="preserve">carbon steel as the reactor material.
</v>
      </c>
      <c r="M31" s="18" t="str">
        <f t="shared" si="5"/>
        <v>carbon steel</v>
      </c>
    </row>
    <row r="32" spans="1:13" x14ac:dyDescent="0.3">
      <c r="A32" t="s">
        <v>1427</v>
      </c>
      <c r="B32" t="s">
        <v>2099</v>
      </c>
      <c r="C32" t="s">
        <v>1307</v>
      </c>
      <c r="D32">
        <v>0.9567265510559082</v>
      </c>
      <c r="E32">
        <v>0.96571856737136841</v>
      </c>
      <c r="F32">
        <v>0.96120160818099976</v>
      </c>
      <c r="G32">
        <v>3.3647132169576071</v>
      </c>
      <c r="H32">
        <f t="shared" si="0"/>
        <v>938</v>
      </c>
      <c r="I32" s="18" t="str">
        <f t="shared" si="1"/>
        <v>stainless steel as the reactor material.</v>
      </c>
      <c r="J32" s="18" t="str">
        <f t="shared" si="2"/>
        <v>stainless steel</v>
      </c>
      <c r="K32">
        <f t="shared" si="3"/>
        <v>935</v>
      </c>
      <c r="L32" s="18" t="str">
        <f t="shared" si="4"/>
        <v xml:space="preserve">stainless steel as the reactor material.
</v>
      </c>
      <c r="M32" s="18" t="str">
        <f t="shared" si="5"/>
        <v>stainless steel</v>
      </c>
    </row>
    <row r="33" spans="1:13" x14ac:dyDescent="0.3">
      <c r="A33" t="s">
        <v>1426</v>
      </c>
      <c r="B33" t="s">
        <v>2098</v>
      </c>
      <c r="C33" t="s">
        <v>1305</v>
      </c>
      <c r="D33">
        <v>0.96688920259475708</v>
      </c>
      <c r="E33">
        <v>0.9728013277053833</v>
      </c>
      <c r="F33">
        <v>0.96983623504638672</v>
      </c>
      <c r="G33">
        <v>0.50551181102362208</v>
      </c>
      <c r="H33">
        <f t="shared" si="0"/>
        <v>948</v>
      </c>
      <c r="I33" s="18" t="str">
        <f t="shared" si="1"/>
        <v>stainless steel as the reactor material.</v>
      </c>
      <c r="J33" s="18" t="str">
        <f t="shared" si="2"/>
        <v>stainless steel</v>
      </c>
      <c r="K33">
        <f t="shared" si="3"/>
        <v>954</v>
      </c>
      <c r="L33" s="18" t="str">
        <f t="shared" si="4"/>
        <v xml:space="preserve">stainless steel as the reactor material.
</v>
      </c>
      <c r="M33" s="18" t="str">
        <f t="shared" si="5"/>
        <v>stainless steel</v>
      </c>
    </row>
    <row r="34" spans="1:13" x14ac:dyDescent="0.3">
      <c r="A34" t="s">
        <v>1425</v>
      </c>
      <c r="B34" t="s">
        <v>2097</v>
      </c>
      <c r="C34" t="s">
        <v>1303</v>
      </c>
      <c r="D34">
        <v>0.97454369068145752</v>
      </c>
      <c r="E34">
        <v>0.9702686071395874</v>
      </c>
      <c r="F34">
        <v>0.97240144014358521</v>
      </c>
      <c r="G34">
        <v>0.72296793437733031</v>
      </c>
      <c r="H34">
        <f t="shared" si="0"/>
        <v>935</v>
      </c>
      <c r="I34" s="18" t="str">
        <f t="shared" si="1"/>
        <v>stainless steel as the reactor material.</v>
      </c>
      <c r="J34" s="18" t="str">
        <f t="shared" si="2"/>
        <v>stainless steel</v>
      </c>
      <c r="K34">
        <f t="shared" si="3"/>
        <v>934</v>
      </c>
      <c r="L34" s="18" t="str">
        <f t="shared" si="4"/>
        <v xml:space="preserve">stainless steel as the reactor material.
</v>
      </c>
      <c r="M34" s="18" t="str">
        <f t="shared" si="5"/>
        <v>stainless steel</v>
      </c>
    </row>
    <row r="35" spans="1:13" x14ac:dyDescent="0.3">
      <c r="A35" t="s">
        <v>1424</v>
      </c>
      <c r="B35" t="s">
        <v>2096</v>
      </c>
      <c r="C35" t="s">
        <v>1301</v>
      </c>
      <c r="D35">
        <v>0.95617216825485229</v>
      </c>
      <c r="E35">
        <v>0.96417474746704102</v>
      </c>
      <c r="F35">
        <v>0.96015679836273193</v>
      </c>
      <c r="G35">
        <v>1.301449275362319</v>
      </c>
      <c r="H35">
        <f t="shared" si="0"/>
        <v>934</v>
      </c>
      <c r="I35" s="18" t="str">
        <f t="shared" si="1"/>
        <v>stainless steel as the reactor material.</v>
      </c>
      <c r="J35" s="18" t="str">
        <f t="shared" si="2"/>
        <v>stainless steel</v>
      </c>
      <c r="K35">
        <f t="shared" si="3"/>
        <v>933</v>
      </c>
      <c r="L35" s="18" t="str">
        <f t="shared" si="4"/>
        <v xml:space="preserve">stainless steel as the reactor material.
</v>
      </c>
      <c r="M35" s="18" t="str">
        <f t="shared" si="5"/>
        <v>stainless steel</v>
      </c>
    </row>
    <row r="36" spans="1:13" x14ac:dyDescent="0.3">
      <c r="A36" t="s">
        <v>1423</v>
      </c>
      <c r="B36" t="s">
        <v>2095</v>
      </c>
      <c r="C36" t="s">
        <v>1299</v>
      </c>
      <c r="D36">
        <v>0.98881947994232178</v>
      </c>
      <c r="E36">
        <v>0.9887768030166626</v>
      </c>
      <c r="F36">
        <v>0.98879814147949219</v>
      </c>
      <c r="G36">
        <v>0.11567610690067801</v>
      </c>
      <c r="H36">
        <f t="shared" si="0"/>
        <v>949</v>
      </c>
      <c r="I36" s="18" t="str">
        <f t="shared" si="1"/>
        <v>stainless steel as the reactor material.</v>
      </c>
      <c r="J36" s="18" t="str">
        <f t="shared" si="2"/>
        <v>stainless steel</v>
      </c>
      <c r="K36">
        <f t="shared" si="3"/>
        <v>953</v>
      </c>
      <c r="L36" s="18" t="str">
        <f t="shared" si="4"/>
        <v xml:space="preserve">stainless steel as the reactor material.
</v>
      </c>
      <c r="M36" s="18" t="str">
        <f t="shared" si="5"/>
        <v>stainless steel</v>
      </c>
    </row>
    <row r="37" spans="1:13" x14ac:dyDescent="0.3">
      <c r="A37" t="s">
        <v>1422</v>
      </c>
      <c r="B37" t="s">
        <v>2094</v>
      </c>
      <c r="C37" t="s">
        <v>1297</v>
      </c>
      <c r="D37">
        <v>0.95635783672332764</v>
      </c>
      <c r="E37">
        <v>0.96507275104522705</v>
      </c>
      <c r="F37">
        <v>0.96069556474685669</v>
      </c>
      <c r="G37">
        <v>4.962555066079295</v>
      </c>
      <c r="H37">
        <f t="shared" si="0"/>
        <v>936</v>
      </c>
      <c r="I37" s="18" t="str">
        <f t="shared" si="1"/>
        <v>stainless steel as the reactor material.</v>
      </c>
      <c r="J37" s="18" t="str">
        <f t="shared" si="2"/>
        <v>stainless steel</v>
      </c>
      <c r="K37">
        <f t="shared" si="3"/>
        <v>934</v>
      </c>
      <c r="L37" s="18" t="str">
        <f t="shared" si="4"/>
        <v xml:space="preserve">stainless steel as the reactor material.
</v>
      </c>
      <c r="M37" s="18" t="str">
        <f t="shared" si="5"/>
        <v>stainless steel</v>
      </c>
    </row>
    <row r="38" spans="1:13" x14ac:dyDescent="0.3">
      <c r="A38" t="s">
        <v>1421</v>
      </c>
      <c r="B38" t="s">
        <v>2093</v>
      </c>
      <c r="C38" t="s">
        <v>1295</v>
      </c>
      <c r="D38">
        <v>0.96426635980606079</v>
      </c>
      <c r="E38">
        <v>0.95754456520080566</v>
      </c>
      <c r="F38">
        <v>0.96089375019073486</v>
      </c>
      <c r="G38">
        <v>1.045139505953439</v>
      </c>
      <c r="H38">
        <f t="shared" si="0"/>
        <v>954</v>
      </c>
      <c r="I38" s="18" t="str">
        <f t="shared" si="1"/>
        <v>stainless steel as the reactor material.</v>
      </c>
      <c r="J38" s="18" t="str">
        <f t="shared" si="2"/>
        <v>stainless steel</v>
      </c>
      <c r="K38">
        <f t="shared" si="3"/>
        <v>949</v>
      </c>
      <c r="L38" s="18" t="str">
        <f t="shared" si="4"/>
        <v xml:space="preserve">stainless steel as the reactor material.
</v>
      </c>
      <c r="M38" s="18" t="str">
        <f t="shared" si="5"/>
        <v>stainless steel</v>
      </c>
    </row>
    <row r="39" spans="1:13" x14ac:dyDescent="0.3">
      <c r="A39" t="s">
        <v>1420</v>
      </c>
      <c r="B39" t="s">
        <v>2092</v>
      </c>
      <c r="C39" t="s">
        <v>1293</v>
      </c>
      <c r="D39">
        <v>0.97604358196258545</v>
      </c>
      <c r="E39">
        <v>0.97849506139755249</v>
      </c>
      <c r="F39">
        <v>0.9772678017616272</v>
      </c>
      <c r="G39">
        <v>4.2647994907701978E-2</v>
      </c>
      <c r="H39">
        <f t="shared" si="0"/>
        <v>950</v>
      </c>
      <c r="I39" s="18" t="str">
        <f t="shared" si="1"/>
        <v>stainless steel as the reactor material.</v>
      </c>
      <c r="J39" s="18" t="str">
        <f t="shared" si="2"/>
        <v>stainless steel</v>
      </c>
      <c r="K39">
        <f t="shared" si="3"/>
        <v>950</v>
      </c>
      <c r="L39" s="18" t="str">
        <f t="shared" si="4"/>
        <v xml:space="preserve">stainless steel as the reactor material.
</v>
      </c>
      <c r="M39" s="18" t="str">
        <f t="shared" si="5"/>
        <v>stainless steel</v>
      </c>
    </row>
    <row r="40" spans="1:13" x14ac:dyDescent="0.3">
      <c r="A40" t="s">
        <v>1419</v>
      </c>
      <c r="B40" t="s">
        <v>2091</v>
      </c>
      <c r="C40" t="s">
        <v>1291</v>
      </c>
      <c r="D40">
        <v>0.98362606763839722</v>
      </c>
      <c r="E40">
        <v>0.98346340656280518</v>
      </c>
      <c r="F40">
        <v>0.98354476690292358</v>
      </c>
      <c r="G40">
        <v>0.46338081216188448</v>
      </c>
      <c r="H40">
        <f t="shared" si="0"/>
        <v>939</v>
      </c>
      <c r="I40" s="18" t="str">
        <f t="shared" si="1"/>
        <v>stainless steel as the reactor material.</v>
      </c>
      <c r="J40" s="18" t="str">
        <f t="shared" si="2"/>
        <v>stainless steel</v>
      </c>
      <c r="K40">
        <f t="shared" si="3"/>
        <v>935</v>
      </c>
      <c r="L40" s="18" t="str">
        <f t="shared" si="4"/>
        <v xml:space="preserve">stainless steel as the reactor material.
</v>
      </c>
      <c r="M40" s="18" t="str">
        <f t="shared" si="5"/>
        <v>stainless steel</v>
      </c>
    </row>
    <row r="41" spans="1:13" x14ac:dyDescent="0.3">
      <c r="A41" t="s">
        <v>1418</v>
      </c>
      <c r="B41" t="s">
        <v>2090</v>
      </c>
      <c r="C41" t="s">
        <v>1289</v>
      </c>
      <c r="D41">
        <v>0.97863864898681641</v>
      </c>
      <c r="E41">
        <v>0.97599971294403076</v>
      </c>
      <c r="F41">
        <v>0.97731739282608032</v>
      </c>
      <c r="G41">
        <v>0.118270079435128</v>
      </c>
      <c r="H41">
        <f t="shared" si="0"/>
        <v>948</v>
      </c>
      <c r="I41" s="18" t="str">
        <f t="shared" si="1"/>
        <v>stainless steel as the reactor material.</v>
      </c>
      <c r="J41" s="18" t="str">
        <f t="shared" si="2"/>
        <v>stainless steel</v>
      </c>
      <c r="K41">
        <f t="shared" si="3"/>
        <v>949</v>
      </c>
      <c r="L41" s="18" t="str">
        <f t="shared" si="4"/>
        <v xml:space="preserve">stainless steel as the reactor material.
</v>
      </c>
      <c r="M41" s="18" t="str">
        <f t="shared" si="5"/>
        <v>stainless steel</v>
      </c>
    </row>
    <row r="42" spans="1:13" x14ac:dyDescent="0.3">
      <c r="A42" t="s">
        <v>1417</v>
      </c>
      <c r="B42" t="s">
        <v>2089</v>
      </c>
      <c r="C42" t="s">
        <v>1287</v>
      </c>
      <c r="D42">
        <v>0.97336798906326294</v>
      </c>
      <c r="E42">
        <v>0.97646969556808472</v>
      </c>
      <c r="F42">
        <v>0.97491639852523804</v>
      </c>
      <c r="G42">
        <v>0.33359904344360308</v>
      </c>
      <c r="H42">
        <f t="shared" si="0"/>
        <v>954</v>
      </c>
      <c r="I42" s="18" t="str">
        <f t="shared" si="1"/>
        <v>stainless steel as the reactor material.</v>
      </c>
      <c r="J42" s="18" t="str">
        <f t="shared" si="2"/>
        <v>stainless steel</v>
      </c>
      <c r="K42">
        <f t="shared" si="3"/>
        <v>950</v>
      </c>
      <c r="L42" s="18" t="str">
        <f t="shared" si="4"/>
        <v xml:space="preserve">stainless steel as the reactor material.
</v>
      </c>
      <c r="M42" s="18" t="str">
        <f t="shared" si="5"/>
        <v>stainless steel</v>
      </c>
    </row>
    <row r="43" spans="1:13" x14ac:dyDescent="0.3">
      <c r="A43" t="s">
        <v>1416</v>
      </c>
      <c r="B43" t="s">
        <v>2088</v>
      </c>
      <c r="C43" t="s">
        <v>1285</v>
      </c>
      <c r="D43">
        <v>0.9900130033493042</v>
      </c>
      <c r="E43">
        <v>0.99017411470413208</v>
      </c>
      <c r="F43">
        <v>0.99009352922439575</v>
      </c>
      <c r="G43">
        <v>1.750683433570257</v>
      </c>
      <c r="H43">
        <f t="shared" si="0"/>
        <v>951</v>
      </c>
      <c r="I43" s="18" t="str">
        <f t="shared" si="1"/>
        <v>stainless steel as the reactor material.</v>
      </c>
      <c r="J43" s="18" t="str">
        <f t="shared" si="2"/>
        <v>stainless steel</v>
      </c>
      <c r="K43">
        <f t="shared" si="3"/>
        <v>951</v>
      </c>
      <c r="L43" s="18" t="str">
        <f t="shared" si="4"/>
        <v xml:space="preserve">stainless steel as the reactor material.
</v>
      </c>
      <c r="M43" s="18" t="str">
        <f t="shared" si="5"/>
        <v>stainless steel</v>
      </c>
    </row>
    <row r="44" spans="1:13" x14ac:dyDescent="0.3">
      <c r="A44" t="s">
        <v>1415</v>
      </c>
      <c r="B44" t="s">
        <v>2087</v>
      </c>
      <c r="C44" t="s">
        <v>1283</v>
      </c>
      <c r="D44">
        <v>0.98065721988677979</v>
      </c>
      <c r="E44">
        <v>0.98009359836578369</v>
      </c>
      <c r="F44">
        <v>0.98037534952163696</v>
      </c>
      <c r="G44">
        <v>0.21684689812179839</v>
      </c>
      <c r="H44">
        <f t="shared" si="0"/>
        <v>949</v>
      </c>
      <c r="I44" s="18" t="str">
        <f t="shared" si="1"/>
        <v>stainless steel as the reactor material.</v>
      </c>
      <c r="J44" s="18" t="str">
        <f t="shared" si="2"/>
        <v>stainless steel</v>
      </c>
      <c r="K44">
        <f t="shared" si="3"/>
        <v>949</v>
      </c>
      <c r="L44" s="18" t="str">
        <f t="shared" si="4"/>
        <v xml:space="preserve">stainless steel as the reactor material.
</v>
      </c>
      <c r="M44" s="18" t="str">
        <f t="shared" si="5"/>
        <v>stainless steel</v>
      </c>
    </row>
    <row r="45" spans="1:13" x14ac:dyDescent="0.3">
      <c r="A45" t="s">
        <v>1414</v>
      </c>
      <c r="B45" t="s">
        <v>2086</v>
      </c>
      <c r="C45" t="s">
        <v>1281</v>
      </c>
      <c r="D45">
        <v>0.95572590827941895</v>
      </c>
      <c r="E45">
        <v>0.96175068616867065</v>
      </c>
      <c r="F45">
        <v>0.95872879028320313</v>
      </c>
      <c r="G45">
        <v>4.4505494505494498</v>
      </c>
      <c r="H45">
        <f t="shared" si="0"/>
        <v>947</v>
      </c>
      <c r="I45" s="18" t="str">
        <f t="shared" si="1"/>
        <v>stainless steel as the reactor material.</v>
      </c>
      <c r="J45" s="18" t="str">
        <f t="shared" si="2"/>
        <v>stainless steel</v>
      </c>
      <c r="K45">
        <f t="shared" si="3"/>
        <v>949</v>
      </c>
      <c r="L45" s="18" t="str">
        <f t="shared" si="4"/>
        <v xml:space="preserve">stainless steel as the reactor material.
</v>
      </c>
      <c r="M45" s="18" t="str">
        <f t="shared" si="5"/>
        <v>stainless steel</v>
      </c>
    </row>
    <row r="46" spans="1:13" x14ac:dyDescent="0.3">
      <c r="A46" t="s">
        <v>1413</v>
      </c>
      <c r="B46" t="s">
        <v>2085</v>
      </c>
      <c r="C46" t="s">
        <v>1279</v>
      </c>
      <c r="D46">
        <v>0.95885634422302246</v>
      </c>
      <c r="E46">
        <v>0.96542173624038696</v>
      </c>
      <c r="F46">
        <v>0.9621279239654541</v>
      </c>
      <c r="G46">
        <v>1.6773905272564791</v>
      </c>
      <c r="H46">
        <f t="shared" si="0"/>
        <v>954</v>
      </c>
      <c r="I46" s="18" t="str">
        <f t="shared" si="1"/>
        <v>stainless steel as the reactor material.</v>
      </c>
      <c r="J46" s="18" t="str">
        <f t="shared" si="2"/>
        <v>stainless steel</v>
      </c>
      <c r="K46">
        <f t="shared" si="3"/>
        <v>950</v>
      </c>
      <c r="L46" s="18" t="str">
        <f t="shared" si="4"/>
        <v xml:space="preserve">stainless steel as the reactor material.
</v>
      </c>
      <c r="M46" s="18" t="str">
        <f t="shared" si="5"/>
        <v>stainless steel</v>
      </c>
    </row>
    <row r="47" spans="1:13" x14ac:dyDescent="0.3">
      <c r="A47" t="s">
        <v>1412</v>
      </c>
      <c r="B47" t="s">
        <v>2084</v>
      </c>
      <c r="C47" t="s">
        <v>1277</v>
      </c>
      <c r="D47">
        <v>0.97477108240127563</v>
      </c>
      <c r="E47">
        <v>0.97226768732070923</v>
      </c>
      <c r="F47">
        <v>0.9735177755355835</v>
      </c>
      <c r="G47">
        <v>0.6344827586206897</v>
      </c>
      <c r="H47">
        <f t="shared" si="0"/>
        <v>949</v>
      </c>
      <c r="I47" s="18" t="str">
        <f t="shared" si="1"/>
        <v>stainless steel as the reactor material.</v>
      </c>
      <c r="J47" s="18" t="str">
        <f t="shared" si="2"/>
        <v>stainless steel</v>
      </c>
      <c r="K47">
        <f t="shared" si="3"/>
        <v>952</v>
      </c>
      <c r="L47" s="18" t="str">
        <f t="shared" si="4"/>
        <v xml:space="preserve">stainless steel as the reactor material.
</v>
      </c>
      <c r="M47" s="18" t="str">
        <f t="shared" si="5"/>
        <v>stainless steel</v>
      </c>
    </row>
    <row r="48" spans="1:13" x14ac:dyDescent="0.3">
      <c r="A48" t="s">
        <v>1411</v>
      </c>
      <c r="B48" t="s">
        <v>2083</v>
      </c>
      <c r="C48" t="s">
        <v>1275</v>
      </c>
      <c r="D48">
        <v>0.98793470859527588</v>
      </c>
      <c r="E48">
        <v>0.98813557624816895</v>
      </c>
      <c r="F48">
        <v>0.98803514242172241</v>
      </c>
      <c r="G48">
        <v>0.22771403353927611</v>
      </c>
      <c r="H48">
        <f t="shared" si="0"/>
        <v>953</v>
      </c>
      <c r="I48" s="18" t="str">
        <f t="shared" si="1"/>
        <v>stainless steel as the reactor material.</v>
      </c>
      <c r="J48" s="18" t="str">
        <f t="shared" si="2"/>
        <v>stainless steel</v>
      </c>
      <c r="K48">
        <f t="shared" si="3"/>
        <v>954</v>
      </c>
      <c r="L48" s="18" t="str">
        <f t="shared" si="4"/>
        <v xml:space="preserve">stainless steel as the reactor material.
</v>
      </c>
      <c r="M48" s="18" t="str">
        <f t="shared" si="5"/>
        <v>stainless steel</v>
      </c>
    </row>
    <row r="49" spans="1:13" x14ac:dyDescent="0.3">
      <c r="A49" t="s">
        <v>1410</v>
      </c>
      <c r="B49" t="s">
        <v>2082</v>
      </c>
      <c r="C49" t="s">
        <v>1273</v>
      </c>
      <c r="D49">
        <v>0.98623669147491455</v>
      </c>
      <c r="E49">
        <v>0.98623669147491455</v>
      </c>
      <c r="F49">
        <v>0.98623669147491455</v>
      </c>
      <c r="G49">
        <v>0.45156497622820918</v>
      </c>
      <c r="H49">
        <f t="shared" si="0"/>
        <v>932</v>
      </c>
      <c r="I49" s="18" t="str">
        <f t="shared" si="1"/>
        <v>stainless steel as the reactor material.</v>
      </c>
      <c r="J49" s="18" t="str">
        <f t="shared" si="2"/>
        <v>stainless steel</v>
      </c>
      <c r="K49">
        <f t="shared" si="3"/>
        <v>935</v>
      </c>
      <c r="L49" s="18" t="str">
        <f t="shared" si="4"/>
        <v xml:space="preserve">stainless steel as the reactor material.
</v>
      </c>
      <c r="M49" s="18" t="str">
        <f t="shared" si="5"/>
        <v>stainless steel</v>
      </c>
    </row>
    <row r="50" spans="1:13" x14ac:dyDescent="0.3">
      <c r="A50" t="s">
        <v>1409</v>
      </c>
      <c r="B50" t="s">
        <v>1408</v>
      </c>
      <c r="C50" t="s">
        <v>1271</v>
      </c>
      <c r="D50">
        <v>0.9846118688583374</v>
      </c>
      <c r="E50">
        <v>0.9846118688583374</v>
      </c>
      <c r="F50">
        <v>0.9846118688583374</v>
      </c>
      <c r="G50">
        <v>3.3481119094939581E-2</v>
      </c>
      <c r="H50">
        <f t="shared" si="0"/>
        <v>938</v>
      </c>
      <c r="I50" s="18" t="str">
        <f t="shared" si="1"/>
        <v>stainless steel as the reactor material.</v>
      </c>
      <c r="J50" s="18" t="str">
        <f t="shared" si="2"/>
        <v>stainless steel</v>
      </c>
      <c r="K50">
        <f t="shared" si="3"/>
        <v>934</v>
      </c>
      <c r="L50" s="18" t="str">
        <f t="shared" si="4"/>
        <v xml:space="preserve">stainless steel as the reactor material.
</v>
      </c>
      <c r="M50" s="18" t="str">
        <f t="shared" si="5"/>
        <v>stainless steel</v>
      </c>
    </row>
    <row r="51" spans="1:13" x14ac:dyDescent="0.3">
      <c r="A51" t="s">
        <v>1407</v>
      </c>
      <c r="B51" t="s">
        <v>2081</v>
      </c>
      <c r="C51" t="s">
        <v>1269</v>
      </c>
      <c r="D51">
        <v>0.96422356367111206</v>
      </c>
      <c r="E51">
        <v>0.95846056938171387</v>
      </c>
      <c r="F51">
        <v>0.96133339405059814</v>
      </c>
      <c r="G51">
        <v>0.32539682539682541</v>
      </c>
      <c r="H51">
        <f t="shared" si="0"/>
        <v>950</v>
      </c>
      <c r="I51" s="18" t="str">
        <f t="shared" si="1"/>
        <v>stainless steel as the reactor material.</v>
      </c>
      <c r="J51" s="18" t="str">
        <f t="shared" si="2"/>
        <v>stainless steel</v>
      </c>
      <c r="K51">
        <f t="shared" si="3"/>
        <v>950</v>
      </c>
      <c r="L51" s="18" t="str">
        <f t="shared" si="4"/>
        <v xml:space="preserve">stainless steel as the reactor material.
</v>
      </c>
      <c r="M51" s="18" t="str">
        <f t="shared" si="5"/>
        <v>stainless steel</v>
      </c>
    </row>
    <row r="52" spans="1:13" x14ac:dyDescent="0.3">
      <c r="A52" t="s">
        <v>1406</v>
      </c>
      <c r="B52" t="s">
        <v>2080</v>
      </c>
      <c r="C52" t="s">
        <v>1267</v>
      </c>
      <c r="D52">
        <v>0.95890134572982788</v>
      </c>
      <c r="E52">
        <v>0.96497470140457153</v>
      </c>
      <c r="F52">
        <v>0.96192848682403564</v>
      </c>
      <c r="G52">
        <v>1.283811475409836</v>
      </c>
      <c r="H52">
        <f t="shared" si="0"/>
        <v>949</v>
      </c>
      <c r="I52" s="18" t="str">
        <f t="shared" si="1"/>
        <v>stainless steel as the reactor material.</v>
      </c>
      <c r="J52" s="18" t="str">
        <f t="shared" si="2"/>
        <v>stainless steel</v>
      </c>
      <c r="K52">
        <f t="shared" si="3"/>
        <v>944</v>
      </c>
      <c r="L52" s="18" t="str">
        <f t="shared" si="4"/>
        <v xml:space="preserve">stainless steel as the reactor material.
</v>
      </c>
      <c r="M52" s="18" t="str">
        <f t="shared" si="5"/>
        <v>stainless steel</v>
      </c>
    </row>
    <row r="53" spans="1:13" x14ac:dyDescent="0.3">
      <c r="A53" t="s">
        <v>1405</v>
      </c>
      <c r="B53" t="s">
        <v>2079</v>
      </c>
      <c r="C53" t="s">
        <v>1265</v>
      </c>
      <c r="D53">
        <v>0.97174471616744995</v>
      </c>
      <c r="E53">
        <v>0.97384309768676758</v>
      </c>
      <c r="F53">
        <v>0.97279274463653564</v>
      </c>
      <c r="G53">
        <v>0.38580931263858098</v>
      </c>
      <c r="H53">
        <f t="shared" si="0"/>
        <v>950</v>
      </c>
      <c r="I53" s="18" t="str">
        <f t="shared" si="1"/>
        <v>stainless steel as the reactor material.</v>
      </c>
      <c r="J53" s="18" t="str">
        <f t="shared" si="2"/>
        <v>stainless steel</v>
      </c>
      <c r="K53">
        <f t="shared" si="3"/>
        <v>950</v>
      </c>
      <c r="L53" s="18" t="str">
        <f t="shared" si="4"/>
        <v xml:space="preserve">stainless steel as the reactor material.
</v>
      </c>
      <c r="M53" s="18" t="str">
        <f t="shared" si="5"/>
        <v>stainless steel</v>
      </c>
    </row>
    <row r="54" spans="1:13" x14ac:dyDescent="0.3">
      <c r="A54" t="s">
        <v>1404</v>
      </c>
      <c r="B54" t="s">
        <v>2078</v>
      </c>
      <c r="C54" t="s">
        <v>1263</v>
      </c>
      <c r="D54">
        <v>0.95792686939239502</v>
      </c>
      <c r="E54">
        <v>0.96399986743927002</v>
      </c>
      <c r="F54">
        <v>0.96095377206802368</v>
      </c>
      <c r="G54">
        <v>4.5710344827586207</v>
      </c>
      <c r="H54">
        <f t="shared" si="0"/>
        <v>954</v>
      </c>
      <c r="I54" s="18" t="str">
        <f t="shared" si="1"/>
        <v>stainless steel as the reactor material.</v>
      </c>
      <c r="J54" s="18" t="str">
        <f t="shared" si="2"/>
        <v>stainless steel</v>
      </c>
      <c r="K54">
        <f t="shared" si="3"/>
        <v>949</v>
      </c>
      <c r="L54" s="18" t="str">
        <f t="shared" si="4"/>
        <v xml:space="preserve">stainless steel as the reactor material.
</v>
      </c>
      <c r="M54" s="18" t="str">
        <f t="shared" si="5"/>
        <v>stainless steel</v>
      </c>
    </row>
    <row r="55" spans="1:13" x14ac:dyDescent="0.3">
      <c r="A55" t="s">
        <v>1403</v>
      </c>
      <c r="B55" t="s">
        <v>2077</v>
      </c>
      <c r="C55" t="s">
        <v>1261</v>
      </c>
      <c r="D55">
        <v>0.93866509199142456</v>
      </c>
      <c r="E55">
        <v>0.93209284543991089</v>
      </c>
      <c r="F55">
        <v>0.9353674054145813</v>
      </c>
      <c r="G55">
        <v>2.4443168771526982</v>
      </c>
      <c r="H55">
        <f t="shared" si="0"/>
        <v>837</v>
      </c>
      <c r="I55" s="18" t="str">
        <f t="shared" si="1"/>
        <v>stainless steel as the reactor material.</v>
      </c>
      <c r="J55" s="18" t="str">
        <f t="shared" si="2"/>
        <v>stainless steel</v>
      </c>
      <c r="K55">
        <f t="shared" si="3"/>
        <v>933</v>
      </c>
      <c r="L55" s="18" t="str">
        <f t="shared" si="4"/>
        <v xml:space="preserve">stainless steel as the reactor material.
</v>
      </c>
      <c r="M55" s="18" t="str">
        <f t="shared" si="5"/>
        <v>stainless steel</v>
      </c>
    </row>
    <row r="56" spans="1:13" x14ac:dyDescent="0.3">
      <c r="A56" t="s">
        <v>1402</v>
      </c>
      <c r="B56" t="s">
        <v>2076</v>
      </c>
      <c r="C56" t="s">
        <v>1259</v>
      </c>
      <c r="D56">
        <v>0.97471439838409424</v>
      </c>
      <c r="E56">
        <v>0.97544938325881958</v>
      </c>
      <c r="F56">
        <v>0.97508174180984497</v>
      </c>
      <c r="G56">
        <v>0.34756798161623897</v>
      </c>
      <c r="H56">
        <f t="shared" si="0"/>
        <v>949</v>
      </c>
      <c r="I56" s="18" t="str">
        <f t="shared" si="1"/>
        <v>stainless steel as the reactor material.</v>
      </c>
      <c r="J56" s="18" t="str">
        <f t="shared" si="2"/>
        <v>stainless steel</v>
      </c>
      <c r="K56">
        <f t="shared" si="3"/>
        <v>954</v>
      </c>
      <c r="L56" s="18" t="str">
        <f t="shared" si="4"/>
        <v xml:space="preserve">stainless steel as the reactor material.
</v>
      </c>
      <c r="M56" s="18" t="str">
        <f t="shared" si="5"/>
        <v>stainless steel</v>
      </c>
    </row>
    <row r="57" spans="1:13" x14ac:dyDescent="0.3">
      <c r="A57" t="s">
        <v>1401</v>
      </c>
      <c r="B57" t="s">
        <v>2075</v>
      </c>
      <c r="C57" t="s">
        <v>1257</v>
      </c>
      <c r="D57">
        <v>0.97431206703186035</v>
      </c>
      <c r="E57">
        <v>0.97115224599838257</v>
      </c>
      <c r="F57">
        <v>0.97272956371307373</v>
      </c>
      <c r="G57">
        <v>0.101808439383791</v>
      </c>
      <c r="H57">
        <f t="shared" si="0"/>
        <v>950</v>
      </c>
      <c r="I57" s="18" t="str">
        <f t="shared" si="1"/>
        <v>stainless steel as the reactor material.</v>
      </c>
      <c r="J57" s="18" t="str">
        <f t="shared" si="2"/>
        <v>stainless steel</v>
      </c>
      <c r="K57">
        <f t="shared" si="3"/>
        <v>950</v>
      </c>
      <c r="L57" s="18" t="str">
        <f t="shared" si="4"/>
        <v xml:space="preserve">stainless steel as the reactor material.
</v>
      </c>
      <c r="M57" s="18" t="str">
        <f t="shared" si="5"/>
        <v>stainless steel</v>
      </c>
    </row>
    <row r="58" spans="1:13" x14ac:dyDescent="0.3">
      <c r="A58" t="s">
        <v>1400</v>
      </c>
      <c r="B58" t="s">
        <v>2074</v>
      </c>
      <c r="C58" t="s">
        <v>1255</v>
      </c>
      <c r="D58">
        <v>0.97289174795150757</v>
      </c>
      <c r="E58">
        <v>0.97563076019287109</v>
      </c>
      <c r="F58">
        <v>0.97425931692123413</v>
      </c>
      <c r="G58">
        <v>1.3888888888888891</v>
      </c>
      <c r="H58">
        <f t="shared" si="0"/>
        <v>950</v>
      </c>
      <c r="I58" s="18" t="str">
        <f t="shared" si="1"/>
        <v>stainless steel as the reactor material.</v>
      </c>
      <c r="J58" s="18" t="str">
        <f t="shared" si="2"/>
        <v>stainless steel</v>
      </c>
      <c r="K58">
        <f t="shared" si="3"/>
        <v>948</v>
      </c>
      <c r="L58" s="18" t="str">
        <f t="shared" si="4"/>
        <v xml:space="preserve">stainless steel as the reactor material.
</v>
      </c>
      <c r="M58" s="18" t="str">
        <f t="shared" si="5"/>
        <v>stainless steel</v>
      </c>
    </row>
    <row r="59" spans="1:13" x14ac:dyDescent="0.3">
      <c r="A59" t="s">
        <v>1399</v>
      </c>
      <c r="B59" t="s">
        <v>2073</v>
      </c>
      <c r="C59" t="s">
        <v>1253</v>
      </c>
      <c r="D59">
        <v>0.97221320867538452</v>
      </c>
      <c r="E59">
        <v>0.97499525547027588</v>
      </c>
      <c r="F59">
        <v>0.973602294921875</v>
      </c>
      <c r="G59">
        <v>2.846262341325811</v>
      </c>
      <c r="H59">
        <f t="shared" si="0"/>
        <v>935</v>
      </c>
      <c r="I59" s="18" t="str">
        <f t="shared" si="1"/>
        <v>stainless steel as the reactor material.</v>
      </c>
      <c r="J59" s="18" t="str">
        <f t="shared" si="2"/>
        <v>stainless steel</v>
      </c>
      <c r="K59">
        <f t="shared" si="3"/>
        <v>934</v>
      </c>
      <c r="L59" s="18" t="str">
        <f t="shared" si="4"/>
        <v xml:space="preserve">stainless steel as the reactor material.
</v>
      </c>
      <c r="M59" s="18" t="str">
        <f t="shared" si="5"/>
        <v>stainless steel</v>
      </c>
    </row>
    <row r="60" spans="1:13" x14ac:dyDescent="0.3">
      <c r="A60" t="s">
        <v>1398</v>
      </c>
      <c r="B60" t="s">
        <v>2072</v>
      </c>
      <c r="C60" t="s">
        <v>1251</v>
      </c>
      <c r="D60">
        <v>0.96246123313903809</v>
      </c>
      <c r="E60">
        <v>0.95660579204559326</v>
      </c>
      <c r="F60">
        <v>0.95952457189559937</v>
      </c>
      <c r="G60">
        <v>0.66342817487855654</v>
      </c>
      <c r="H60">
        <f t="shared" si="0"/>
        <v>948</v>
      </c>
      <c r="I60" s="18" t="str">
        <f t="shared" si="1"/>
        <v>stainless steel as the reactor material.</v>
      </c>
      <c r="J60" s="18" t="str">
        <f t="shared" si="2"/>
        <v>stainless steel</v>
      </c>
      <c r="K60">
        <f t="shared" si="3"/>
        <v>951</v>
      </c>
      <c r="L60" s="18" t="str">
        <f t="shared" si="4"/>
        <v xml:space="preserve">stainless steel as the reactor material.
</v>
      </c>
      <c r="M60" s="18" t="str">
        <f t="shared" si="5"/>
        <v>stainless steel</v>
      </c>
    </row>
    <row r="61" spans="1:13" x14ac:dyDescent="0.3">
      <c r="A61" t="s">
        <v>1397</v>
      </c>
      <c r="B61" t="s">
        <v>2071</v>
      </c>
      <c r="C61" t="s">
        <v>1249</v>
      </c>
      <c r="D61">
        <v>0.98846292495727539</v>
      </c>
      <c r="E61">
        <v>0.98882782459259033</v>
      </c>
      <c r="F61">
        <v>0.98864531517028809</v>
      </c>
      <c r="G61">
        <v>0.29897925584458351</v>
      </c>
      <c r="H61">
        <f t="shared" si="0"/>
        <v>933</v>
      </c>
      <c r="I61" s="18" t="str">
        <f t="shared" si="1"/>
        <v>stainless steel as the reactor material.</v>
      </c>
      <c r="J61" s="18" t="str">
        <f t="shared" si="2"/>
        <v>stainless steel</v>
      </c>
      <c r="K61">
        <f t="shared" si="3"/>
        <v>934</v>
      </c>
      <c r="L61" s="18" t="str">
        <f t="shared" si="4"/>
        <v xml:space="preserve">stainless steel as the reactor material.
</v>
      </c>
      <c r="M61" s="18" t="str">
        <f t="shared" si="5"/>
        <v>stainless steel</v>
      </c>
    </row>
    <row r="62" spans="1:13" x14ac:dyDescent="0.3">
      <c r="A62" t="s">
        <v>1396</v>
      </c>
      <c r="B62" t="s">
        <v>2070</v>
      </c>
      <c r="C62" t="s">
        <v>1247</v>
      </c>
      <c r="D62">
        <v>0.98310089111328125</v>
      </c>
      <c r="E62">
        <v>0.98380577564239502</v>
      </c>
      <c r="F62">
        <v>0.98345315456390381</v>
      </c>
      <c r="G62">
        <v>0.2167407457673125</v>
      </c>
      <c r="H62">
        <f t="shared" si="0"/>
        <v>1350</v>
      </c>
      <c r="I62" s="18" t="str">
        <f t="shared" si="1"/>
        <v>stainless steel as the reactor material.</v>
      </c>
      <c r="J62" s="18" t="str">
        <f t="shared" si="2"/>
        <v>stainless steel</v>
      </c>
      <c r="K62">
        <f t="shared" si="3"/>
        <v>1342</v>
      </c>
      <c r="L62" s="18" t="str">
        <f t="shared" si="4"/>
        <v xml:space="preserve">stainless steel as the reactor material.
</v>
      </c>
      <c r="M62" s="18" t="str">
        <f t="shared" si="5"/>
        <v>stainless steel</v>
      </c>
    </row>
    <row r="63" spans="1:13" x14ac:dyDescent="0.3">
      <c r="A63" t="s">
        <v>1395</v>
      </c>
      <c r="B63" t="s">
        <v>2069</v>
      </c>
      <c r="C63" t="s">
        <v>1245</v>
      </c>
      <c r="D63">
        <v>0.99077236652374268</v>
      </c>
      <c r="E63">
        <v>0.99062949419021606</v>
      </c>
      <c r="F63">
        <v>0.99070090055465698</v>
      </c>
      <c r="G63">
        <v>2.817406146088583E-2</v>
      </c>
      <c r="H63">
        <f t="shared" si="0"/>
        <v>1436</v>
      </c>
      <c r="I63" s="18" t="str">
        <f t="shared" si="1"/>
        <v>stainless steel as the reactor material.</v>
      </c>
      <c r="J63" s="18" t="str">
        <f t="shared" si="2"/>
        <v>stainless steel</v>
      </c>
      <c r="K63">
        <f t="shared" si="3"/>
        <v>1432</v>
      </c>
      <c r="L63" s="18" t="str">
        <f t="shared" si="4"/>
        <v xml:space="preserve">stainless steel as the reactor material.
</v>
      </c>
      <c r="M63" s="18" t="str">
        <f t="shared" si="5"/>
        <v>stainless steel</v>
      </c>
    </row>
    <row r="64" spans="1:13" x14ac:dyDescent="0.3">
      <c r="A64" t="s">
        <v>1394</v>
      </c>
      <c r="B64" t="s">
        <v>2068</v>
      </c>
      <c r="C64" t="s">
        <v>1243</v>
      </c>
      <c r="D64">
        <v>0.98116970062255859</v>
      </c>
      <c r="E64">
        <v>0.97995781898498535</v>
      </c>
      <c r="F64">
        <v>0.98056340217590332</v>
      </c>
      <c r="G64">
        <v>3.235917977185284E-2</v>
      </c>
      <c r="H64">
        <f t="shared" si="0"/>
        <v>1441</v>
      </c>
      <c r="I64" s="18" t="str">
        <f t="shared" si="1"/>
        <v>stainless steel as the reactor material.</v>
      </c>
      <c r="J64" s="18" t="str">
        <f t="shared" si="2"/>
        <v>stainless steel</v>
      </c>
      <c r="K64">
        <f t="shared" si="3"/>
        <v>1441</v>
      </c>
      <c r="L64" s="18" t="str">
        <f t="shared" si="4"/>
        <v xml:space="preserve">stainless steel as the reactor material.
</v>
      </c>
      <c r="M64" s="18" t="str">
        <f t="shared" si="5"/>
        <v>stainless steel</v>
      </c>
    </row>
    <row r="65" spans="1:13" x14ac:dyDescent="0.3">
      <c r="A65" t="s">
        <v>1393</v>
      </c>
      <c r="B65" t="s">
        <v>2067</v>
      </c>
      <c r="C65" t="s">
        <v>1241</v>
      </c>
      <c r="D65">
        <v>0.99208712577819824</v>
      </c>
      <c r="E65">
        <v>0.99201935529708862</v>
      </c>
      <c r="F65">
        <v>0.99205315113067627</v>
      </c>
      <c r="G65">
        <v>0.13802909574047459</v>
      </c>
      <c r="H65">
        <f t="shared" si="0"/>
        <v>1361</v>
      </c>
      <c r="I65" s="18" t="str">
        <f t="shared" si="1"/>
        <v>stainless steel as the reactor material.</v>
      </c>
      <c r="J65" s="18" t="str">
        <f t="shared" si="2"/>
        <v>stainless steel</v>
      </c>
      <c r="K65">
        <f t="shared" si="3"/>
        <v>1361</v>
      </c>
      <c r="L65" s="18" t="str">
        <f t="shared" si="4"/>
        <v xml:space="preserve">stainless steel as the reactor material.
</v>
      </c>
      <c r="M65" s="18" t="str">
        <f t="shared" si="5"/>
        <v>stainless steel</v>
      </c>
    </row>
    <row r="66" spans="1:13" x14ac:dyDescent="0.3">
      <c r="A66" t="s">
        <v>1392</v>
      </c>
      <c r="B66" t="s">
        <v>2066</v>
      </c>
      <c r="C66" t="s">
        <v>1239</v>
      </c>
      <c r="D66">
        <v>0.99209362268447876</v>
      </c>
      <c r="E66">
        <v>0.99216723442077637</v>
      </c>
      <c r="F66">
        <v>0.99213045835494995</v>
      </c>
      <c r="G66">
        <v>3.6324425503659451E-3</v>
      </c>
      <c r="H66">
        <f t="shared" si="0"/>
        <v>1448</v>
      </c>
      <c r="I66" s="18" t="str">
        <f t="shared" si="1"/>
        <v>stainless steel as the reactor material.</v>
      </c>
      <c r="J66" s="18" t="str">
        <f t="shared" si="2"/>
        <v>stainless steel</v>
      </c>
      <c r="K66">
        <f t="shared" si="3"/>
        <v>1447</v>
      </c>
      <c r="L66" s="18" t="str">
        <f t="shared" si="4"/>
        <v xml:space="preserve">stainless steel as the reactor material.
</v>
      </c>
      <c r="M66" s="18" t="str">
        <f t="shared" si="5"/>
        <v>stainless steel</v>
      </c>
    </row>
    <row r="67" spans="1:13" x14ac:dyDescent="0.3">
      <c r="A67" t="s">
        <v>1391</v>
      </c>
      <c r="B67" t="s">
        <v>2065</v>
      </c>
      <c r="C67" t="s">
        <v>1237</v>
      </c>
      <c r="D67">
        <v>0.97613048553466797</v>
      </c>
      <c r="E67">
        <v>0.97486191987991333</v>
      </c>
      <c r="F67">
        <v>0.97549581527709961</v>
      </c>
      <c r="G67">
        <v>0.1561348607521201</v>
      </c>
      <c r="H67">
        <f t="shared" ref="H67:H89" si="6">FIND("using",B67)</f>
        <v>1357</v>
      </c>
      <c r="I67" s="18" t="str">
        <f t="shared" ref="I67:I89" si="7">MID(B67,H67+LEN("using "),LEN(B67))</f>
        <v>stainless steel as the reactor material.</v>
      </c>
      <c r="J67" s="18" t="str">
        <f t="shared" ref="J67:J89" si="8">LEFT(I67,FIND(" ",I67,FIND(" ",I67)+1)-1)</f>
        <v>stainless steel</v>
      </c>
      <c r="K67">
        <f t="shared" ref="K67:K89" si="9">FIND("using",C67)</f>
        <v>1361</v>
      </c>
      <c r="L67" s="18" t="str">
        <f t="shared" ref="L67:L89" si="10">MID(C67,K67+LEN("using "),LEN(C67))</f>
        <v xml:space="preserve">stainless steel as the reactor material.
</v>
      </c>
      <c r="M67" s="18" t="str">
        <f t="shared" ref="M67:M89" si="11">LEFT(L67,FIND(" ",L67,FIND(" ",L67)+1)-1)</f>
        <v>stainless steel</v>
      </c>
    </row>
    <row r="68" spans="1:13" x14ac:dyDescent="0.3">
      <c r="A68" t="s">
        <v>1390</v>
      </c>
      <c r="B68" t="s">
        <v>2064</v>
      </c>
      <c r="C68" t="s">
        <v>1235</v>
      </c>
      <c r="D68">
        <v>0.98196029663085938</v>
      </c>
      <c r="E68">
        <v>0.98350942134857178</v>
      </c>
      <c r="F68">
        <v>0.98273426294326782</v>
      </c>
      <c r="G68">
        <v>0.99878120607328325</v>
      </c>
      <c r="H68">
        <f t="shared" si="6"/>
        <v>1338</v>
      </c>
      <c r="I68" s="18" t="str">
        <f t="shared" si="7"/>
        <v>stainless steel as the reactor material.</v>
      </c>
      <c r="J68" s="18" t="str">
        <f t="shared" si="8"/>
        <v>stainless steel</v>
      </c>
      <c r="K68">
        <f t="shared" si="9"/>
        <v>1438</v>
      </c>
      <c r="L68" s="18" t="str">
        <f t="shared" si="10"/>
        <v xml:space="preserve">stainless steel as the reactor material.
</v>
      </c>
      <c r="M68" s="18" t="str">
        <f t="shared" si="11"/>
        <v>stainless steel</v>
      </c>
    </row>
    <row r="69" spans="1:13" x14ac:dyDescent="0.3">
      <c r="A69" t="s">
        <v>1389</v>
      </c>
      <c r="B69" t="s">
        <v>2063</v>
      </c>
      <c r="C69" t="s">
        <v>1233</v>
      </c>
      <c r="D69">
        <v>0.98773163557052612</v>
      </c>
      <c r="E69">
        <v>0.98845863342285156</v>
      </c>
      <c r="F69">
        <v>0.9880949854850769</v>
      </c>
      <c r="G69">
        <v>0.1115362951350457</v>
      </c>
      <c r="H69">
        <f t="shared" si="6"/>
        <v>1351</v>
      </c>
      <c r="I69" s="18" t="str">
        <f t="shared" si="7"/>
        <v>stainless steel as the reactor material.</v>
      </c>
      <c r="J69" s="18" t="str">
        <f t="shared" si="8"/>
        <v>stainless steel</v>
      </c>
      <c r="K69">
        <f t="shared" si="9"/>
        <v>1352</v>
      </c>
      <c r="L69" s="18" t="str">
        <f t="shared" si="10"/>
        <v xml:space="preserve">stainless steel as the reactor material.
</v>
      </c>
      <c r="M69" s="18" t="str">
        <f t="shared" si="11"/>
        <v>stainless steel</v>
      </c>
    </row>
    <row r="70" spans="1:13" x14ac:dyDescent="0.3">
      <c r="A70" t="s">
        <v>1388</v>
      </c>
      <c r="B70" t="s">
        <v>2062</v>
      </c>
      <c r="C70" t="s">
        <v>1231</v>
      </c>
      <c r="D70">
        <v>0.99010920524597168</v>
      </c>
      <c r="E70">
        <v>0.99020892381668091</v>
      </c>
      <c r="F70">
        <v>0.99015909433364868</v>
      </c>
      <c r="G70">
        <v>0.10546516105345161</v>
      </c>
      <c r="H70">
        <f t="shared" si="6"/>
        <v>1352</v>
      </c>
      <c r="I70" s="18" t="str">
        <f t="shared" si="7"/>
        <v>stainless steel as the reactor material.</v>
      </c>
      <c r="J70" s="18" t="str">
        <f t="shared" si="8"/>
        <v>stainless steel</v>
      </c>
      <c r="K70">
        <f t="shared" si="9"/>
        <v>1348</v>
      </c>
      <c r="L70" s="18" t="str">
        <f t="shared" si="10"/>
        <v xml:space="preserve">stainless steel as the reactor material.
</v>
      </c>
      <c r="M70" s="18" t="str">
        <f t="shared" si="11"/>
        <v>stainless steel</v>
      </c>
    </row>
    <row r="71" spans="1:13" x14ac:dyDescent="0.3">
      <c r="A71" t="s">
        <v>1387</v>
      </c>
      <c r="B71" t="s">
        <v>2061</v>
      </c>
      <c r="C71" t="s">
        <v>1229</v>
      </c>
      <c r="D71">
        <v>0.97271943092346191</v>
      </c>
      <c r="E71">
        <v>0.97383427619934082</v>
      </c>
      <c r="F71">
        <v>0.97327655553817749</v>
      </c>
      <c r="G71">
        <v>0.16680706032102269</v>
      </c>
      <c r="H71">
        <f t="shared" si="6"/>
        <v>1353</v>
      </c>
      <c r="I71" s="18" t="str">
        <f t="shared" si="7"/>
        <v>stainless steel as the reactor material.</v>
      </c>
      <c r="J71" s="18" t="str">
        <f t="shared" si="8"/>
        <v>stainless steel</v>
      </c>
      <c r="K71">
        <f t="shared" si="9"/>
        <v>1359</v>
      </c>
      <c r="L71" s="18" t="str">
        <f t="shared" si="10"/>
        <v xml:space="preserve">stainless steel as the reactor material.
</v>
      </c>
      <c r="M71" s="18" t="str">
        <f t="shared" si="11"/>
        <v>stainless steel</v>
      </c>
    </row>
    <row r="72" spans="1:13" x14ac:dyDescent="0.3">
      <c r="A72" t="s">
        <v>1386</v>
      </c>
      <c r="B72" t="s">
        <v>2060</v>
      </c>
      <c r="C72" t="s">
        <v>1227</v>
      </c>
      <c r="D72">
        <v>0.97080934047698975</v>
      </c>
      <c r="E72">
        <v>0.97147834300994873</v>
      </c>
      <c r="F72">
        <v>0.97114372253417969</v>
      </c>
      <c r="G72">
        <v>0.97208454395260069</v>
      </c>
      <c r="H72">
        <f t="shared" si="6"/>
        <v>1352</v>
      </c>
      <c r="I72" s="18" t="str">
        <f t="shared" si="7"/>
        <v>stainless steel as the reactor material.</v>
      </c>
      <c r="J72" s="18" t="str">
        <f t="shared" si="8"/>
        <v>stainless steel</v>
      </c>
      <c r="K72">
        <f t="shared" si="9"/>
        <v>1355</v>
      </c>
      <c r="L72" s="18" t="str">
        <f t="shared" si="10"/>
        <v xml:space="preserve">stainless steel as the reactor material.
</v>
      </c>
      <c r="M72" s="18" t="str">
        <f t="shared" si="11"/>
        <v>stainless steel</v>
      </c>
    </row>
    <row r="73" spans="1:13" x14ac:dyDescent="0.3">
      <c r="A73" t="s">
        <v>1385</v>
      </c>
      <c r="B73" t="s">
        <v>2059</v>
      </c>
      <c r="C73" t="s">
        <v>1225</v>
      </c>
      <c r="D73">
        <v>0.99605178833007813</v>
      </c>
      <c r="E73">
        <v>0.99605178833007813</v>
      </c>
      <c r="F73">
        <v>0.99605178833007813</v>
      </c>
      <c r="G73">
        <v>8.9551992499600479E-3</v>
      </c>
      <c r="H73">
        <f t="shared" si="6"/>
        <v>1435</v>
      </c>
      <c r="I73" s="18" t="str">
        <f t="shared" si="7"/>
        <v>stainless steel as the reactor material.</v>
      </c>
      <c r="J73" s="18" t="str">
        <f t="shared" si="8"/>
        <v>stainless steel</v>
      </c>
      <c r="K73">
        <f t="shared" si="9"/>
        <v>1434</v>
      </c>
      <c r="L73" s="18" t="str">
        <f t="shared" si="10"/>
        <v xml:space="preserve">stainless steel as the reactor material.
</v>
      </c>
      <c r="M73" s="18" t="str">
        <f t="shared" si="11"/>
        <v>stainless steel</v>
      </c>
    </row>
    <row r="74" spans="1:13" x14ac:dyDescent="0.3">
      <c r="A74" t="s">
        <v>1384</v>
      </c>
      <c r="B74" t="s">
        <v>2058</v>
      </c>
      <c r="C74" t="s">
        <v>1223</v>
      </c>
      <c r="D74">
        <v>0.99540603160858154</v>
      </c>
      <c r="E74">
        <v>0.99554038047790527</v>
      </c>
      <c r="F74">
        <v>0.99547320604324341</v>
      </c>
      <c r="G74">
        <v>3.0258839086220301E-3</v>
      </c>
      <c r="H74">
        <f t="shared" si="6"/>
        <v>1432</v>
      </c>
      <c r="I74" s="18" t="str">
        <f t="shared" si="7"/>
        <v>stainless steel as the reactor material.</v>
      </c>
      <c r="J74" s="18" t="str">
        <f t="shared" si="8"/>
        <v>stainless steel</v>
      </c>
      <c r="K74">
        <f t="shared" si="9"/>
        <v>1435</v>
      </c>
      <c r="L74" s="18" t="str">
        <f t="shared" si="10"/>
        <v xml:space="preserve">stainless steel as the reactor material.
</v>
      </c>
      <c r="M74" s="18" t="str">
        <f t="shared" si="11"/>
        <v>stainless steel</v>
      </c>
    </row>
    <row r="75" spans="1:13" x14ac:dyDescent="0.3">
      <c r="A75" t="s">
        <v>1383</v>
      </c>
      <c r="B75" t="s">
        <v>2057</v>
      </c>
      <c r="C75" t="s">
        <v>1221</v>
      </c>
      <c r="D75">
        <v>0.97259616851806641</v>
      </c>
      <c r="E75">
        <v>0.97216415405273438</v>
      </c>
      <c r="F75">
        <v>0.97238010168075562</v>
      </c>
      <c r="G75">
        <v>0.1145150674194375</v>
      </c>
      <c r="H75">
        <f t="shared" si="6"/>
        <v>1358</v>
      </c>
      <c r="I75" s="18" t="str">
        <f t="shared" si="7"/>
        <v>stainless steel as the reactor material.</v>
      </c>
      <c r="J75" s="18" t="str">
        <f t="shared" si="8"/>
        <v>stainless steel</v>
      </c>
      <c r="K75">
        <f t="shared" si="9"/>
        <v>1355</v>
      </c>
      <c r="L75" s="18" t="str">
        <f t="shared" si="10"/>
        <v xml:space="preserve">stainless steel as the reactor material.
</v>
      </c>
      <c r="M75" s="18" t="str">
        <f t="shared" si="11"/>
        <v>stainless steel</v>
      </c>
    </row>
    <row r="76" spans="1:13" x14ac:dyDescent="0.3">
      <c r="A76" t="s">
        <v>1382</v>
      </c>
      <c r="B76" t="s">
        <v>2056</v>
      </c>
      <c r="C76" t="s">
        <v>1219</v>
      </c>
      <c r="D76">
        <v>0.99660634994506836</v>
      </c>
      <c r="E76">
        <v>0.99681210517883301</v>
      </c>
      <c r="F76">
        <v>0.99670922756195068</v>
      </c>
      <c r="G76">
        <v>2.440282606491229E-2</v>
      </c>
      <c r="H76">
        <f t="shared" si="6"/>
        <v>1438</v>
      </c>
      <c r="I76" s="18" t="str">
        <f t="shared" si="7"/>
        <v>stainless steel as the reactor material.</v>
      </c>
      <c r="J76" s="18" t="str">
        <f t="shared" si="8"/>
        <v>stainless steel</v>
      </c>
      <c r="K76">
        <f t="shared" si="9"/>
        <v>1438</v>
      </c>
      <c r="L76" s="18" t="str">
        <f t="shared" si="10"/>
        <v xml:space="preserve">stainless steel as the reactor material.
</v>
      </c>
      <c r="M76" s="18" t="str">
        <f t="shared" si="11"/>
        <v>stainless steel</v>
      </c>
    </row>
    <row r="77" spans="1:13" x14ac:dyDescent="0.3">
      <c r="A77" t="s">
        <v>1381</v>
      </c>
      <c r="B77" t="s">
        <v>2055</v>
      </c>
      <c r="C77" t="s">
        <v>1217</v>
      </c>
      <c r="D77">
        <v>0.99598276615142822</v>
      </c>
      <c r="E77">
        <v>0.99604737758636475</v>
      </c>
      <c r="F77">
        <v>0.99601507186889648</v>
      </c>
      <c r="G77">
        <v>1.515544146020526E-2</v>
      </c>
      <c r="H77">
        <f t="shared" si="6"/>
        <v>1435</v>
      </c>
      <c r="I77" s="18" t="str">
        <f t="shared" si="7"/>
        <v>stainless steel as the reactor material.</v>
      </c>
      <c r="J77" s="18" t="str">
        <f t="shared" si="8"/>
        <v>stainless steel</v>
      </c>
      <c r="K77">
        <f t="shared" si="9"/>
        <v>1434</v>
      </c>
      <c r="L77" s="18" t="str">
        <f t="shared" si="10"/>
        <v xml:space="preserve">stainless steel as the reactor material.
</v>
      </c>
      <c r="M77" s="18" t="str">
        <f t="shared" si="11"/>
        <v>stainless steel</v>
      </c>
    </row>
    <row r="78" spans="1:13" x14ac:dyDescent="0.3">
      <c r="A78" t="s">
        <v>1380</v>
      </c>
      <c r="B78" t="s">
        <v>2054</v>
      </c>
      <c r="C78" t="s">
        <v>1215</v>
      </c>
      <c r="D78">
        <v>0.97376906871795654</v>
      </c>
      <c r="E78">
        <v>0.97545456886291504</v>
      </c>
      <c r="F78">
        <v>0.97461110353469849</v>
      </c>
      <c r="G78">
        <v>6.1947700631199323E-2</v>
      </c>
      <c r="H78">
        <f t="shared" si="6"/>
        <v>1357</v>
      </c>
      <c r="I78" s="18" t="str">
        <f t="shared" si="7"/>
        <v>stainless steel as the reactor material.</v>
      </c>
      <c r="J78" s="18" t="str">
        <f t="shared" si="8"/>
        <v>stainless steel</v>
      </c>
      <c r="K78">
        <f t="shared" si="9"/>
        <v>1356</v>
      </c>
      <c r="L78" s="18" t="str">
        <f t="shared" si="10"/>
        <v xml:space="preserve">stainless steel as the reactor material.
</v>
      </c>
      <c r="M78" s="18" t="str">
        <f t="shared" si="11"/>
        <v>stainless steel</v>
      </c>
    </row>
    <row r="79" spans="1:13" x14ac:dyDescent="0.3">
      <c r="A79" t="s">
        <v>1379</v>
      </c>
      <c r="B79" t="s">
        <v>2053</v>
      </c>
      <c r="C79" t="s">
        <v>1213</v>
      </c>
      <c r="D79">
        <v>0.99665153026580811</v>
      </c>
      <c r="E79">
        <v>0.99665153026580811</v>
      </c>
      <c r="F79">
        <v>0.99665153026580811</v>
      </c>
      <c r="G79">
        <v>1.020520308054051E-2</v>
      </c>
      <c r="H79">
        <f t="shared" si="6"/>
        <v>1438</v>
      </c>
      <c r="I79" s="18" t="str">
        <f t="shared" si="7"/>
        <v>stainless steel as the reactor material.</v>
      </c>
      <c r="J79" s="18" t="str">
        <f t="shared" si="8"/>
        <v>stainless steel</v>
      </c>
      <c r="K79">
        <f t="shared" si="9"/>
        <v>1438</v>
      </c>
      <c r="L79" s="18" t="str">
        <f t="shared" si="10"/>
        <v xml:space="preserve">stainless steel as the reactor material.
</v>
      </c>
      <c r="M79" s="18" t="str">
        <f t="shared" si="11"/>
        <v>stainless steel</v>
      </c>
    </row>
    <row r="80" spans="1:13" x14ac:dyDescent="0.3">
      <c r="A80" t="s">
        <v>1378</v>
      </c>
      <c r="B80" t="s">
        <v>2052</v>
      </c>
      <c r="C80" t="s">
        <v>1211</v>
      </c>
      <c r="D80">
        <v>0.98866993188858032</v>
      </c>
      <c r="E80">
        <v>0.98875194787979126</v>
      </c>
      <c r="F80">
        <v>0.98871093988418579</v>
      </c>
      <c r="G80">
        <v>5.5816050495942272E-2</v>
      </c>
      <c r="H80">
        <f t="shared" si="6"/>
        <v>1357</v>
      </c>
      <c r="I80" s="18" t="str">
        <f t="shared" si="7"/>
        <v>stainless steel as the reactor material.</v>
      </c>
      <c r="J80" s="18" t="str">
        <f t="shared" si="8"/>
        <v>stainless steel</v>
      </c>
      <c r="K80">
        <f t="shared" si="9"/>
        <v>1356</v>
      </c>
      <c r="L80" s="18" t="str">
        <f t="shared" si="10"/>
        <v xml:space="preserve">stainless steel as the reactor material.
</v>
      </c>
      <c r="M80" s="18" t="str">
        <f t="shared" si="11"/>
        <v>stainless steel</v>
      </c>
    </row>
    <row r="81" spans="1:13" x14ac:dyDescent="0.3">
      <c r="A81" t="s">
        <v>1377</v>
      </c>
      <c r="B81" t="s">
        <v>2051</v>
      </c>
      <c r="C81" t="s">
        <v>1209</v>
      </c>
      <c r="D81">
        <v>0.98970651626586914</v>
      </c>
      <c r="E81">
        <v>0.99006688594818115</v>
      </c>
      <c r="F81">
        <v>0.98988664150238037</v>
      </c>
      <c r="G81">
        <v>3.9972567535009072E-2</v>
      </c>
      <c r="H81">
        <f t="shared" si="6"/>
        <v>1433</v>
      </c>
      <c r="I81" s="18" t="str">
        <f t="shared" si="7"/>
        <v>stainless steel as the reactor material.</v>
      </c>
      <c r="J81" s="18" t="str">
        <f t="shared" si="8"/>
        <v>stainless steel</v>
      </c>
      <c r="K81">
        <f t="shared" si="9"/>
        <v>1436</v>
      </c>
      <c r="L81" s="18" t="str">
        <f t="shared" si="10"/>
        <v xml:space="preserve">stainless steel as the reactor material.
</v>
      </c>
      <c r="M81" s="18" t="str">
        <f t="shared" si="11"/>
        <v>stainless steel</v>
      </c>
    </row>
    <row r="82" spans="1:13" x14ac:dyDescent="0.3">
      <c r="A82" t="s">
        <v>1376</v>
      </c>
      <c r="B82" t="s">
        <v>2050</v>
      </c>
      <c r="C82" t="s">
        <v>1207</v>
      </c>
      <c r="D82">
        <v>0.99624341726303101</v>
      </c>
      <c r="E82">
        <v>0.99579501152038574</v>
      </c>
      <c r="F82">
        <v>0.99601912498474121</v>
      </c>
      <c r="G82">
        <v>1.7144777147353261E-2</v>
      </c>
      <c r="H82">
        <f t="shared" si="6"/>
        <v>1427</v>
      </c>
      <c r="I82" s="18" t="str">
        <f t="shared" si="7"/>
        <v>stainless steel as the reactor material.</v>
      </c>
      <c r="J82" s="18" t="str">
        <f t="shared" si="8"/>
        <v>stainless steel</v>
      </c>
      <c r="K82">
        <f t="shared" si="9"/>
        <v>1429</v>
      </c>
      <c r="L82" s="18" t="str">
        <f t="shared" si="10"/>
        <v xml:space="preserve">stainless steel as the reactor material.
</v>
      </c>
      <c r="M82" s="18" t="str">
        <f t="shared" si="11"/>
        <v>stainless steel</v>
      </c>
    </row>
    <row r="83" spans="1:13" x14ac:dyDescent="0.3">
      <c r="A83" t="s">
        <v>1375</v>
      </c>
      <c r="B83" t="s">
        <v>2049</v>
      </c>
      <c r="C83" t="s">
        <v>1205</v>
      </c>
      <c r="D83">
        <v>0.99565958976745605</v>
      </c>
      <c r="E83">
        <v>0.99565958976745605</v>
      </c>
      <c r="F83">
        <v>0.99565958976745605</v>
      </c>
      <c r="G83">
        <v>1.2493572760803721E-3</v>
      </c>
      <c r="H83">
        <f t="shared" si="6"/>
        <v>1355</v>
      </c>
      <c r="I83" s="18" t="str">
        <f t="shared" si="7"/>
        <v>stainless steel as the reactor material.</v>
      </c>
      <c r="J83" s="18" t="str">
        <f t="shared" si="8"/>
        <v>stainless steel</v>
      </c>
      <c r="K83">
        <f t="shared" si="9"/>
        <v>1359</v>
      </c>
      <c r="L83" s="18" t="str">
        <f t="shared" si="10"/>
        <v xml:space="preserve">stainless steel as the reactor material.
</v>
      </c>
      <c r="M83" s="18" t="str">
        <f t="shared" si="11"/>
        <v>stainless steel</v>
      </c>
    </row>
    <row r="84" spans="1:13" x14ac:dyDescent="0.3">
      <c r="A84" t="s">
        <v>1374</v>
      </c>
      <c r="B84" t="s">
        <v>2048</v>
      </c>
      <c r="C84" t="s">
        <v>1203</v>
      </c>
      <c r="D84">
        <v>0.98128426074981689</v>
      </c>
      <c r="E84">
        <v>0.98223060369491577</v>
      </c>
      <c r="F84">
        <v>0.98175728321075439</v>
      </c>
      <c r="G84">
        <v>9.9112380497756742E-3</v>
      </c>
      <c r="H84">
        <f t="shared" si="6"/>
        <v>1434</v>
      </c>
      <c r="I84" s="18" t="str">
        <f t="shared" si="7"/>
        <v>stainless steel as the reactor material.</v>
      </c>
      <c r="J84" s="18" t="str">
        <f t="shared" si="8"/>
        <v>stainless steel</v>
      </c>
      <c r="K84">
        <f t="shared" si="9"/>
        <v>1432</v>
      </c>
      <c r="L84" s="18" t="str">
        <f t="shared" si="10"/>
        <v xml:space="preserve">stainless steel as the reactor material.
</v>
      </c>
      <c r="M84" s="18" t="str">
        <f t="shared" si="11"/>
        <v>stainless steel</v>
      </c>
    </row>
    <row r="85" spans="1:13" x14ac:dyDescent="0.3">
      <c r="A85" t="s">
        <v>1373</v>
      </c>
      <c r="B85" t="s">
        <v>2047</v>
      </c>
      <c r="C85" t="s">
        <v>1201</v>
      </c>
      <c r="D85">
        <v>0.9915701150894165</v>
      </c>
      <c r="E85">
        <v>0.99150502681732178</v>
      </c>
      <c r="F85">
        <v>0.99153757095336914</v>
      </c>
      <c r="G85">
        <v>2.5764288149236789E-2</v>
      </c>
      <c r="H85">
        <f t="shared" si="6"/>
        <v>1434</v>
      </c>
      <c r="I85" s="18" t="str">
        <f t="shared" si="7"/>
        <v>stainless steel as the reactor material.</v>
      </c>
      <c r="J85" s="18" t="str">
        <f t="shared" si="8"/>
        <v>stainless steel</v>
      </c>
      <c r="K85">
        <f t="shared" si="9"/>
        <v>1432</v>
      </c>
      <c r="L85" s="18" t="str">
        <f t="shared" si="10"/>
        <v xml:space="preserve">stainless steel as the reactor material.
</v>
      </c>
      <c r="M85" s="18" t="str">
        <f t="shared" si="11"/>
        <v>stainless steel</v>
      </c>
    </row>
    <row r="86" spans="1:13" x14ac:dyDescent="0.3">
      <c r="A86" t="s">
        <v>1372</v>
      </c>
      <c r="B86" t="s">
        <v>2046</v>
      </c>
      <c r="C86" t="s">
        <v>1199</v>
      </c>
      <c r="D86">
        <v>0.97924554347991943</v>
      </c>
      <c r="E86">
        <v>0.98012614250183105</v>
      </c>
      <c r="F86">
        <v>0.97968566417694092</v>
      </c>
      <c r="G86">
        <v>2.354681326784324E-3</v>
      </c>
      <c r="H86">
        <f t="shared" si="6"/>
        <v>1439</v>
      </c>
      <c r="I86" s="18" t="str">
        <f t="shared" si="7"/>
        <v>stainless steel as the reactor material.</v>
      </c>
      <c r="J86" s="18" t="str">
        <f t="shared" si="8"/>
        <v>stainless steel</v>
      </c>
      <c r="K86">
        <f t="shared" si="9"/>
        <v>1439</v>
      </c>
      <c r="L86" s="18" t="str">
        <f t="shared" si="10"/>
        <v xml:space="preserve">stainless steel as the reactor material.
</v>
      </c>
      <c r="M86" s="18" t="str">
        <f t="shared" si="11"/>
        <v>stainless steel</v>
      </c>
    </row>
    <row r="87" spans="1:13" x14ac:dyDescent="0.3">
      <c r="A87" t="s">
        <v>1371</v>
      </c>
      <c r="B87" t="s">
        <v>2045</v>
      </c>
      <c r="C87" t="s">
        <v>1197</v>
      </c>
      <c r="D87">
        <v>0.9914582371711731</v>
      </c>
      <c r="E87">
        <v>0.99135971069335938</v>
      </c>
      <c r="F87">
        <v>0.99140900373458862</v>
      </c>
      <c r="G87">
        <v>3.466100704142288E-2</v>
      </c>
      <c r="H87">
        <f t="shared" si="6"/>
        <v>1444</v>
      </c>
      <c r="I87" s="18" t="str">
        <f t="shared" si="7"/>
        <v>stainless steel as the reactor material.</v>
      </c>
      <c r="J87" s="18" t="str">
        <f t="shared" si="8"/>
        <v>stainless steel</v>
      </c>
      <c r="K87">
        <f t="shared" si="9"/>
        <v>1442</v>
      </c>
      <c r="L87" s="18" t="str">
        <f t="shared" si="10"/>
        <v xml:space="preserve">stainless steel as the reactor material.
</v>
      </c>
      <c r="M87" s="18" t="str">
        <f t="shared" si="11"/>
        <v>stainless steel</v>
      </c>
    </row>
    <row r="88" spans="1:13" x14ac:dyDescent="0.3">
      <c r="A88" t="s">
        <v>1370</v>
      </c>
      <c r="B88" t="s">
        <v>2044</v>
      </c>
      <c r="C88" t="s">
        <v>1195</v>
      </c>
      <c r="D88">
        <v>0.97688603401184082</v>
      </c>
      <c r="E88">
        <v>0.97750937938690186</v>
      </c>
      <c r="F88">
        <v>0.97719764709472656</v>
      </c>
      <c r="G88">
        <v>4.4966396965819097E-2</v>
      </c>
      <c r="H88">
        <f t="shared" si="6"/>
        <v>1436</v>
      </c>
      <c r="I88" s="18" t="str">
        <f t="shared" si="7"/>
        <v>stainless steel as the reactor material.</v>
      </c>
      <c r="J88" s="18" t="str">
        <f t="shared" si="8"/>
        <v>stainless steel</v>
      </c>
      <c r="K88">
        <f t="shared" si="9"/>
        <v>1430</v>
      </c>
      <c r="L88" s="18" t="str">
        <f t="shared" si="10"/>
        <v xml:space="preserve">stainless steel as the reactor material.
</v>
      </c>
      <c r="M88" s="18" t="str">
        <f t="shared" si="11"/>
        <v>stainless steel</v>
      </c>
    </row>
    <row r="89" spans="1:13" x14ac:dyDescent="0.3">
      <c r="A89" t="s">
        <v>1369</v>
      </c>
      <c r="B89" t="s">
        <v>2043</v>
      </c>
      <c r="C89" t="s">
        <v>1193</v>
      </c>
      <c r="D89">
        <v>0.989859938621521</v>
      </c>
      <c r="E89">
        <v>0.9902496337890625</v>
      </c>
      <c r="F89">
        <v>0.99005478620529175</v>
      </c>
      <c r="G89">
        <v>0.47514943788286379</v>
      </c>
      <c r="H89">
        <f t="shared" si="6"/>
        <v>1366</v>
      </c>
      <c r="I89" s="18" t="str">
        <f t="shared" si="7"/>
        <v>stainless steel as the reactor material.</v>
      </c>
      <c r="J89" s="18" t="str">
        <f t="shared" si="8"/>
        <v>stainless steel</v>
      </c>
      <c r="K89">
        <f t="shared" si="9"/>
        <v>1367</v>
      </c>
      <c r="L89" s="18" t="str">
        <f t="shared" si="10"/>
        <v xml:space="preserve">stainless steel as the reactor material.
</v>
      </c>
      <c r="M89" s="18" t="str">
        <f t="shared" si="11"/>
        <v>stainless steel</v>
      </c>
    </row>
    <row r="90" spans="1:13" x14ac:dyDescent="0.3">
      <c r="D90">
        <f>AVERAGE(D2:D89)</f>
        <v>0.97693803703243087</v>
      </c>
      <c r="E90">
        <f>AVERAGE(E2:E89)</f>
        <v>0.97722088477828284</v>
      </c>
      <c r="F90">
        <f>AVERAGE(F2:F89)</f>
        <v>0.97707488387823105</v>
      </c>
      <c r="G90">
        <f>AVERAGE(G2:G89)</f>
        <v>0.6136785619895897</v>
      </c>
    </row>
  </sheetData>
  <autoFilter ref="A1:G90" xr:uid="{80F2964E-D009-43D5-89AB-F81B9041453D}"/>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C3CF-CBD1-46EF-883E-F29307B32810}">
  <dimension ref="A1:M90"/>
  <sheetViews>
    <sheetView workbookViewId="0">
      <selection activeCell="H2" sqref="H2:M2"/>
    </sheetView>
  </sheetViews>
  <sheetFormatPr defaultRowHeight="14" x14ac:dyDescent="0.3"/>
  <cols>
    <col min="10" max="10" width="16.08203125" customWidth="1"/>
    <col min="13" max="13" width="16.58203125" customWidth="1"/>
  </cols>
  <sheetData>
    <row r="1" spans="1:13" x14ac:dyDescent="0.3">
      <c r="A1" s="1" t="s">
        <v>273</v>
      </c>
      <c r="B1" s="1" t="s">
        <v>272</v>
      </c>
      <c r="C1" s="1" t="s">
        <v>271</v>
      </c>
      <c r="D1" s="1" t="s">
        <v>270</v>
      </c>
      <c r="E1" s="1" t="s">
        <v>269</v>
      </c>
      <c r="F1" s="1" t="s">
        <v>268</v>
      </c>
      <c r="G1" s="1" t="s">
        <v>267</v>
      </c>
    </row>
    <row r="2" spans="1:13" x14ac:dyDescent="0.3">
      <c r="A2" t="s">
        <v>1694</v>
      </c>
      <c r="B2" t="s">
        <v>1693</v>
      </c>
      <c r="C2" t="s">
        <v>1692</v>
      </c>
      <c r="D2">
        <v>0.97316300868988037</v>
      </c>
      <c r="E2">
        <v>0.97215926647186279</v>
      </c>
      <c r="F2">
        <v>0.97266083955764771</v>
      </c>
      <c r="G2">
        <v>0.72895568895202323</v>
      </c>
      <c r="H2">
        <f>FIND("using",B2)</f>
        <v>1176</v>
      </c>
      <c r="I2" s="18" t="str">
        <f>MID(B2,H2+LEN("using "),LEN(B2))</f>
        <v>carbon steel as the reactor material.</v>
      </c>
      <c r="J2" s="18" t="str">
        <f>LEFT(I2,FIND(" ",I2,FIND(" ",I2)+1)-1)</f>
        <v>carbon steel</v>
      </c>
      <c r="K2">
        <f>FIND("using",C2)</f>
        <v>1176</v>
      </c>
      <c r="L2" s="18" t="str">
        <f>MID(C2,K2+LEN("using "),LEN(C2))</f>
        <v>carbon steel as the reactor material.</v>
      </c>
      <c r="M2" s="18" t="str">
        <f>LEFT(L2,FIND(" ",L2,FIND(" ",L2)+1)-1)</f>
        <v>carbon steel</v>
      </c>
    </row>
    <row r="3" spans="1:13" x14ac:dyDescent="0.3">
      <c r="A3" t="s">
        <v>1691</v>
      </c>
      <c r="B3" t="s">
        <v>1690</v>
      </c>
      <c r="C3" t="s">
        <v>1689</v>
      </c>
      <c r="D3">
        <v>0.97600311040878296</v>
      </c>
      <c r="E3">
        <v>0.97642570734024048</v>
      </c>
      <c r="F3">
        <v>0.97621434926986694</v>
      </c>
      <c r="G3">
        <v>0.17873140528707551</v>
      </c>
      <c r="H3">
        <f t="shared" ref="H3:H11" si="0">FIND("using",B3)</f>
        <v>1189</v>
      </c>
      <c r="I3" s="18" t="str">
        <f t="shared" ref="I3:I11" si="1">MID(B3,H3+LEN("using "),LEN(B3))</f>
        <v>carbon steel as the reactor material.</v>
      </c>
      <c r="J3" s="18" t="str">
        <f t="shared" ref="J3:J66" si="2">LEFT(I3,FIND(" ",I3,FIND(" ",I3)+1)-1)</f>
        <v>carbon steel</v>
      </c>
      <c r="K3">
        <f t="shared" ref="K3:K11" si="3">FIND("using",C3)</f>
        <v>1189</v>
      </c>
      <c r="L3" s="18" t="str">
        <f t="shared" ref="L3:L11" si="4">MID(C3,K3+LEN("using "),LEN(C3))</f>
        <v>carbon steel as the reactor material.</v>
      </c>
      <c r="M3" s="18" t="str">
        <f t="shared" ref="M3:M66" si="5">LEFT(L3,FIND(" ",L3,FIND(" ",L3)+1)-1)</f>
        <v>carbon steel</v>
      </c>
    </row>
    <row r="4" spans="1:13" x14ac:dyDescent="0.3">
      <c r="A4" t="s">
        <v>1688</v>
      </c>
      <c r="B4" t="s">
        <v>1687</v>
      </c>
      <c r="C4" t="s">
        <v>1686</v>
      </c>
      <c r="D4">
        <v>0.96820938587188721</v>
      </c>
      <c r="E4">
        <v>0.96787154674530029</v>
      </c>
      <c r="F4">
        <v>0.96804046630859375</v>
      </c>
      <c r="G4">
        <v>8.932022124690002E-2</v>
      </c>
      <c r="H4">
        <f t="shared" si="0"/>
        <v>1191</v>
      </c>
      <c r="I4" s="18" t="str">
        <f t="shared" si="1"/>
        <v>carbon steel as the reactor material.</v>
      </c>
      <c r="J4" s="18" t="str">
        <f t="shared" si="2"/>
        <v>carbon steel</v>
      </c>
      <c r="K4">
        <f t="shared" si="3"/>
        <v>1191</v>
      </c>
      <c r="L4" s="18" t="str">
        <f t="shared" si="4"/>
        <v>carbon steel as the reactor material.</v>
      </c>
      <c r="M4" s="18" t="str">
        <f t="shared" si="5"/>
        <v>carbon steel</v>
      </c>
    </row>
    <row r="5" spans="1:13" x14ac:dyDescent="0.3">
      <c r="A5" t="s">
        <v>1685</v>
      </c>
      <c r="B5" t="s">
        <v>1684</v>
      </c>
      <c r="C5" t="s">
        <v>1683</v>
      </c>
      <c r="D5">
        <v>0.96851921081542969</v>
      </c>
      <c r="E5">
        <v>0.9693450927734375</v>
      </c>
      <c r="F5">
        <v>0.96893197298049927</v>
      </c>
      <c r="G5">
        <v>0.51691031305819313</v>
      </c>
      <c r="H5">
        <f t="shared" si="0"/>
        <v>1119</v>
      </c>
      <c r="I5" s="18" t="str">
        <f t="shared" si="1"/>
        <v>carbon steel as the reactor material.</v>
      </c>
      <c r="J5" s="18" t="str">
        <f t="shared" si="2"/>
        <v>carbon steel</v>
      </c>
      <c r="K5">
        <f t="shared" si="3"/>
        <v>1121</v>
      </c>
      <c r="L5" s="18" t="str">
        <f t="shared" si="4"/>
        <v>carbon steel as the reactor material.</v>
      </c>
      <c r="M5" s="18" t="str">
        <f t="shared" si="5"/>
        <v>carbon steel</v>
      </c>
    </row>
    <row r="6" spans="1:13" x14ac:dyDescent="0.3">
      <c r="A6" t="s">
        <v>1682</v>
      </c>
      <c r="B6" t="s">
        <v>1681</v>
      </c>
      <c r="C6" t="s">
        <v>1680</v>
      </c>
      <c r="D6">
        <v>0.98328232765197754</v>
      </c>
      <c r="E6">
        <v>0.9833189845085144</v>
      </c>
      <c r="F6">
        <v>0.98330062627792358</v>
      </c>
      <c r="G6">
        <v>0.16514503314371681</v>
      </c>
      <c r="H6">
        <f t="shared" si="0"/>
        <v>1122</v>
      </c>
      <c r="I6" s="18" t="str">
        <f t="shared" si="1"/>
        <v>carbon steel as the reactor material.</v>
      </c>
      <c r="J6" s="18" t="str">
        <f t="shared" si="2"/>
        <v>carbon steel</v>
      </c>
      <c r="K6">
        <f t="shared" si="3"/>
        <v>1117</v>
      </c>
      <c r="L6" s="18" t="str">
        <f t="shared" si="4"/>
        <v>carbon steel as the reactor material.</v>
      </c>
      <c r="M6" s="18" t="str">
        <f t="shared" si="5"/>
        <v>carbon steel</v>
      </c>
    </row>
    <row r="7" spans="1:13" x14ac:dyDescent="0.3">
      <c r="A7" t="s">
        <v>1679</v>
      </c>
      <c r="B7" t="s">
        <v>1678</v>
      </c>
      <c r="C7" t="s">
        <v>1677</v>
      </c>
      <c r="D7">
        <v>0.97083598375320435</v>
      </c>
      <c r="E7">
        <v>0.97096860408782959</v>
      </c>
      <c r="F7">
        <v>0.97090226411819458</v>
      </c>
      <c r="G7">
        <v>0.10190149403102459</v>
      </c>
      <c r="H7">
        <f t="shared" si="0"/>
        <v>1192</v>
      </c>
      <c r="I7" s="18" t="str">
        <f t="shared" si="1"/>
        <v>carbon steel as the reactor material.</v>
      </c>
      <c r="J7" s="18" t="str">
        <f t="shared" si="2"/>
        <v>carbon steel</v>
      </c>
      <c r="K7">
        <f t="shared" si="3"/>
        <v>1188</v>
      </c>
      <c r="L7" s="18" t="str">
        <f t="shared" si="4"/>
        <v>carbon steel as the reactor material.</v>
      </c>
      <c r="M7" s="18" t="str">
        <f t="shared" si="5"/>
        <v>carbon steel</v>
      </c>
    </row>
    <row r="8" spans="1:13" x14ac:dyDescent="0.3">
      <c r="A8" t="s">
        <v>1676</v>
      </c>
      <c r="B8" t="s">
        <v>1675</v>
      </c>
      <c r="C8" t="s">
        <v>1674</v>
      </c>
      <c r="D8">
        <v>0.98354727029800415</v>
      </c>
      <c r="E8">
        <v>0.98396837711334229</v>
      </c>
      <c r="F8">
        <v>0.98375773429870605</v>
      </c>
      <c r="G8">
        <v>3.6042391987853302E-3</v>
      </c>
      <c r="H8">
        <f t="shared" si="0"/>
        <v>1179</v>
      </c>
      <c r="I8" s="18" t="str">
        <f t="shared" si="1"/>
        <v>carbon steel as the reactor material.</v>
      </c>
      <c r="J8" s="18" t="str">
        <f t="shared" si="2"/>
        <v>carbon steel</v>
      </c>
      <c r="K8">
        <f t="shared" si="3"/>
        <v>1180</v>
      </c>
      <c r="L8" s="18" t="str">
        <f t="shared" si="4"/>
        <v>carbon steel as the reactor material.</v>
      </c>
      <c r="M8" s="18" t="str">
        <f t="shared" si="5"/>
        <v>carbon steel</v>
      </c>
    </row>
    <row r="9" spans="1:13" x14ac:dyDescent="0.3">
      <c r="A9" t="s">
        <v>1673</v>
      </c>
      <c r="B9" t="s">
        <v>1672</v>
      </c>
      <c r="C9" t="s">
        <v>1671</v>
      </c>
      <c r="D9">
        <v>0.97534692287445068</v>
      </c>
      <c r="E9">
        <v>0.9743078351020813</v>
      </c>
      <c r="F9">
        <v>0.9748271107673645</v>
      </c>
      <c r="G9">
        <v>0.90301368052342867</v>
      </c>
      <c r="H9">
        <f t="shared" si="0"/>
        <v>1184</v>
      </c>
      <c r="I9" s="18" t="str">
        <f t="shared" si="1"/>
        <v>carbon steel as the reactor material.</v>
      </c>
      <c r="J9" s="18" t="str">
        <f t="shared" si="2"/>
        <v>carbon steel</v>
      </c>
      <c r="K9">
        <f t="shared" si="3"/>
        <v>1184</v>
      </c>
      <c r="L9" s="18" t="str">
        <f t="shared" si="4"/>
        <v>carbon steel as the reactor material.</v>
      </c>
      <c r="M9" s="18" t="str">
        <f t="shared" si="5"/>
        <v>carbon steel</v>
      </c>
    </row>
    <row r="10" spans="1:13" x14ac:dyDescent="0.3">
      <c r="A10" t="s">
        <v>1670</v>
      </c>
      <c r="B10" t="s">
        <v>1669</v>
      </c>
      <c r="C10" t="s">
        <v>1668</v>
      </c>
      <c r="D10">
        <v>0.98523521423339844</v>
      </c>
      <c r="E10">
        <v>0.98477029800415039</v>
      </c>
      <c r="F10">
        <v>0.98500275611877441</v>
      </c>
      <c r="G10">
        <v>0.23324199912319171</v>
      </c>
      <c r="H10">
        <f t="shared" si="0"/>
        <v>1178</v>
      </c>
      <c r="I10" s="18" t="str">
        <f t="shared" si="1"/>
        <v>carbon steel as the reactor material.</v>
      </c>
      <c r="J10" s="18" t="str">
        <f t="shared" si="2"/>
        <v>carbon steel</v>
      </c>
      <c r="K10">
        <f t="shared" si="3"/>
        <v>1179</v>
      </c>
      <c r="L10" s="18" t="str">
        <f t="shared" si="4"/>
        <v>carbon steel as the reactor material.</v>
      </c>
      <c r="M10" s="18" t="str">
        <f t="shared" si="5"/>
        <v>carbon steel</v>
      </c>
    </row>
    <row r="11" spans="1:13" x14ac:dyDescent="0.3">
      <c r="A11" t="s">
        <v>1667</v>
      </c>
      <c r="B11" t="s">
        <v>1666</v>
      </c>
      <c r="C11" t="s">
        <v>1665</v>
      </c>
      <c r="D11">
        <v>0.9788777232170105</v>
      </c>
      <c r="E11">
        <v>0.97807455062866211</v>
      </c>
      <c r="F11">
        <v>0.97847592830657959</v>
      </c>
      <c r="G11">
        <v>0.1232396002788753</v>
      </c>
      <c r="H11">
        <f t="shared" si="0"/>
        <v>1167</v>
      </c>
      <c r="I11" s="18" t="str">
        <f t="shared" si="1"/>
        <v>carbon steel as the reactor material.</v>
      </c>
      <c r="J11" s="18" t="str">
        <f t="shared" si="2"/>
        <v>carbon steel</v>
      </c>
      <c r="K11">
        <f t="shared" si="3"/>
        <v>1170</v>
      </c>
      <c r="L11" s="18" t="str">
        <f t="shared" si="4"/>
        <v>carbon steel as the reactor material.</v>
      </c>
      <c r="M11" s="18" t="str">
        <f t="shared" si="5"/>
        <v>carbon steel</v>
      </c>
    </row>
    <row r="12" spans="1:13" x14ac:dyDescent="0.3">
      <c r="A12" t="s">
        <v>1664</v>
      </c>
      <c r="B12" t="s">
        <v>1663</v>
      </c>
      <c r="C12" t="s">
        <v>1662</v>
      </c>
      <c r="D12">
        <v>0.96723675727844238</v>
      </c>
      <c r="E12">
        <v>0.96656018495559692</v>
      </c>
      <c r="F12">
        <v>0.96689838171005249</v>
      </c>
      <c r="G12">
        <v>19.82950503651815</v>
      </c>
      <c r="H12">
        <f t="shared" ref="H12:H75" si="6">FIND("using",B12)</f>
        <v>1188</v>
      </c>
      <c r="I12" s="18" t="str">
        <f t="shared" ref="I12:I75" si="7">MID(B12,H12+LEN("using "),LEN(B12))</f>
        <v>carbon steel as the reactor material.</v>
      </c>
      <c r="J12" s="18" t="str">
        <f t="shared" si="2"/>
        <v>carbon steel</v>
      </c>
      <c r="K12">
        <f t="shared" ref="K12:K75" si="8">FIND("using",C12)</f>
        <v>1180</v>
      </c>
      <c r="L12" s="18" t="str">
        <f t="shared" ref="L12:L75" si="9">MID(C12,K12+LEN("using "),LEN(C12))</f>
        <v>carbon steel as the reactor material.</v>
      </c>
      <c r="M12" s="18" t="str">
        <f t="shared" si="5"/>
        <v>carbon steel</v>
      </c>
    </row>
    <row r="13" spans="1:13" x14ac:dyDescent="0.3">
      <c r="A13" t="s">
        <v>1661</v>
      </c>
      <c r="B13" t="s">
        <v>1660</v>
      </c>
      <c r="C13" t="s">
        <v>1659</v>
      </c>
      <c r="D13">
        <v>0.97615659236907959</v>
      </c>
      <c r="E13">
        <v>0.97533690929412842</v>
      </c>
      <c r="F13">
        <v>0.97574657201766968</v>
      </c>
      <c r="G13">
        <v>0.26635895377617241</v>
      </c>
      <c r="H13">
        <f t="shared" si="6"/>
        <v>1181</v>
      </c>
      <c r="I13" s="18" t="str">
        <f t="shared" si="7"/>
        <v>carbon steel as the reactor material.</v>
      </c>
      <c r="J13" s="18" t="str">
        <f t="shared" si="2"/>
        <v>carbon steel</v>
      </c>
      <c r="K13">
        <f t="shared" si="8"/>
        <v>1176</v>
      </c>
      <c r="L13" s="18" t="str">
        <f t="shared" si="9"/>
        <v>carbon steel as the reactor material.</v>
      </c>
      <c r="M13" s="18" t="str">
        <f t="shared" si="5"/>
        <v>carbon steel</v>
      </c>
    </row>
    <row r="14" spans="1:13" x14ac:dyDescent="0.3">
      <c r="A14" t="s">
        <v>1658</v>
      </c>
      <c r="B14" t="s">
        <v>1657</v>
      </c>
      <c r="C14" t="s">
        <v>1656</v>
      </c>
      <c r="D14">
        <v>0.97272735834121704</v>
      </c>
      <c r="E14">
        <v>0.97207725048065186</v>
      </c>
      <c r="F14">
        <v>0.97240215539932251</v>
      </c>
      <c r="G14">
        <v>0.27422620924007413</v>
      </c>
      <c r="H14">
        <f t="shared" si="6"/>
        <v>1192</v>
      </c>
      <c r="I14" s="18" t="str">
        <f t="shared" si="7"/>
        <v>carbon steel as the reactor material.</v>
      </c>
      <c r="J14" s="18" t="str">
        <f t="shared" si="2"/>
        <v>carbon steel</v>
      </c>
      <c r="K14">
        <f t="shared" si="8"/>
        <v>1186</v>
      </c>
      <c r="L14" s="18" t="str">
        <f t="shared" si="9"/>
        <v>carbon steel as the reactor material.</v>
      </c>
      <c r="M14" s="18" t="str">
        <f t="shared" si="5"/>
        <v>carbon steel</v>
      </c>
    </row>
    <row r="15" spans="1:13" x14ac:dyDescent="0.3">
      <c r="A15" t="s">
        <v>1655</v>
      </c>
      <c r="B15" t="s">
        <v>1654</v>
      </c>
      <c r="C15" t="s">
        <v>1653</v>
      </c>
      <c r="D15">
        <v>0.96988624334335327</v>
      </c>
      <c r="E15">
        <v>0.97027444839477539</v>
      </c>
      <c r="F15">
        <v>0.97008025646209717</v>
      </c>
      <c r="G15">
        <v>0.35971250925655851</v>
      </c>
      <c r="H15">
        <f t="shared" si="6"/>
        <v>1125</v>
      </c>
      <c r="I15" s="18" t="str">
        <f t="shared" si="7"/>
        <v>carbon steel as the reactor material.</v>
      </c>
      <c r="J15" s="18" t="str">
        <f t="shared" si="2"/>
        <v>carbon steel</v>
      </c>
      <c r="K15">
        <f t="shared" si="8"/>
        <v>1136</v>
      </c>
      <c r="L15" s="18" t="str">
        <f t="shared" si="9"/>
        <v>carbon steel as the reactor material.</v>
      </c>
      <c r="M15" s="18" t="str">
        <f t="shared" si="5"/>
        <v>carbon steel</v>
      </c>
    </row>
    <row r="16" spans="1:13" x14ac:dyDescent="0.3">
      <c r="A16" t="s">
        <v>1652</v>
      </c>
      <c r="B16" t="s">
        <v>1651</v>
      </c>
      <c r="C16" t="s">
        <v>1650</v>
      </c>
      <c r="D16">
        <v>0.98563385009765625</v>
      </c>
      <c r="E16">
        <v>0.98578917980194092</v>
      </c>
      <c r="F16">
        <v>0.98571151494979858</v>
      </c>
      <c r="G16">
        <v>0.19412218897789779</v>
      </c>
      <c r="H16">
        <f t="shared" si="6"/>
        <v>1186</v>
      </c>
      <c r="I16" s="18" t="str">
        <f t="shared" si="7"/>
        <v>carbon steel as the reactor material.</v>
      </c>
      <c r="J16" s="18" t="str">
        <f t="shared" si="2"/>
        <v>carbon steel</v>
      </c>
      <c r="K16">
        <f t="shared" si="8"/>
        <v>1184</v>
      </c>
      <c r="L16" s="18" t="str">
        <f t="shared" si="9"/>
        <v>carbon steel as the reactor material.</v>
      </c>
      <c r="M16" s="18" t="str">
        <f t="shared" si="5"/>
        <v>carbon steel</v>
      </c>
    </row>
    <row r="17" spans="1:13" x14ac:dyDescent="0.3">
      <c r="A17" t="s">
        <v>1649</v>
      </c>
      <c r="B17" t="s">
        <v>1648</v>
      </c>
      <c r="C17" t="s">
        <v>1647</v>
      </c>
      <c r="D17">
        <v>0.97279596328735352</v>
      </c>
      <c r="E17">
        <v>0.97270238399505615</v>
      </c>
      <c r="F17">
        <v>0.97274917364120483</v>
      </c>
      <c r="G17">
        <v>0.1232908775985681</v>
      </c>
      <c r="H17">
        <f t="shared" si="6"/>
        <v>1188</v>
      </c>
      <c r="I17" s="18" t="str">
        <f t="shared" si="7"/>
        <v>carbon steel as the reactor material.</v>
      </c>
      <c r="J17" s="18" t="str">
        <f t="shared" si="2"/>
        <v>carbon steel</v>
      </c>
      <c r="K17">
        <f t="shared" si="8"/>
        <v>1191</v>
      </c>
      <c r="L17" s="18" t="str">
        <f t="shared" si="9"/>
        <v>carbon steel as the reactor material.</v>
      </c>
      <c r="M17" s="18" t="str">
        <f t="shared" si="5"/>
        <v>carbon steel</v>
      </c>
    </row>
    <row r="18" spans="1:13" x14ac:dyDescent="0.3">
      <c r="A18" t="s">
        <v>1646</v>
      </c>
      <c r="B18" t="s">
        <v>1645</v>
      </c>
      <c r="C18" t="s">
        <v>1644</v>
      </c>
      <c r="D18">
        <v>0.97739571332931519</v>
      </c>
      <c r="E18">
        <v>0.97745531797409058</v>
      </c>
      <c r="F18">
        <v>0.97742551565170288</v>
      </c>
      <c r="G18">
        <v>5.1574869766383911</v>
      </c>
      <c r="H18">
        <f t="shared" si="6"/>
        <v>1181</v>
      </c>
      <c r="I18" s="18" t="str">
        <f t="shared" si="7"/>
        <v>carbon steel as the reactor material.</v>
      </c>
      <c r="J18" s="18" t="str">
        <f t="shared" si="2"/>
        <v>carbon steel</v>
      </c>
      <c r="K18">
        <f t="shared" si="8"/>
        <v>1182</v>
      </c>
      <c r="L18" s="18" t="str">
        <f t="shared" si="9"/>
        <v>carbon steel as the reactor material.</v>
      </c>
      <c r="M18" s="18" t="str">
        <f t="shared" si="5"/>
        <v>carbon steel</v>
      </c>
    </row>
    <row r="19" spans="1:13" x14ac:dyDescent="0.3">
      <c r="A19" t="s">
        <v>1643</v>
      </c>
      <c r="B19" t="s">
        <v>1642</v>
      </c>
      <c r="C19" t="s">
        <v>1641</v>
      </c>
      <c r="D19">
        <v>0.98066467046737671</v>
      </c>
      <c r="E19">
        <v>0.98072671890258789</v>
      </c>
      <c r="F19">
        <v>0.98069566488265991</v>
      </c>
      <c r="G19">
        <v>0.57043386042695166</v>
      </c>
      <c r="H19">
        <f t="shared" si="6"/>
        <v>1123</v>
      </c>
      <c r="I19" s="18" t="str">
        <f t="shared" si="7"/>
        <v>carbon steel as the reactor material.</v>
      </c>
      <c r="J19" s="18" t="str">
        <f t="shared" si="2"/>
        <v>carbon steel</v>
      </c>
      <c r="K19">
        <f t="shared" si="8"/>
        <v>1118</v>
      </c>
      <c r="L19" s="18" t="str">
        <f t="shared" si="9"/>
        <v>carbon steel as the reactor material.</v>
      </c>
      <c r="M19" s="18" t="str">
        <f t="shared" si="5"/>
        <v>carbon steel</v>
      </c>
    </row>
    <row r="20" spans="1:13" x14ac:dyDescent="0.3">
      <c r="A20" t="s">
        <v>1640</v>
      </c>
      <c r="B20" t="s">
        <v>1639</v>
      </c>
      <c r="C20" t="s">
        <v>1638</v>
      </c>
      <c r="D20">
        <v>0.97427636384963989</v>
      </c>
      <c r="E20">
        <v>0.97450274229049683</v>
      </c>
      <c r="F20">
        <v>0.97438955307006836</v>
      </c>
      <c r="G20">
        <v>0.25537330942736342</v>
      </c>
      <c r="H20">
        <f t="shared" si="6"/>
        <v>1180</v>
      </c>
      <c r="I20" s="18" t="str">
        <f t="shared" si="7"/>
        <v>carbon steel as the reactor material.</v>
      </c>
      <c r="J20" s="18" t="str">
        <f t="shared" si="2"/>
        <v>carbon steel</v>
      </c>
      <c r="K20">
        <f t="shared" si="8"/>
        <v>1181</v>
      </c>
      <c r="L20" s="18" t="str">
        <f t="shared" si="9"/>
        <v>carbon steel as the reactor material.</v>
      </c>
      <c r="M20" s="18" t="str">
        <f t="shared" si="5"/>
        <v>carbon steel</v>
      </c>
    </row>
    <row r="21" spans="1:13" x14ac:dyDescent="0.3">
      <c r="A21" t="s">
        <v>1637</v>
      </c>
      <c r="B21" t="s">
        <v>1636</v>
      </c>
      <c r="C21" t="s">
        <v>1635</v>
      </c>
      <c r="D21">
        <v>0.97992533445358276</v>
      </c>
      <c r="E21">
        <v>0.97976171970367432</v>
      </c>
      <c r="F21">
        <v>0.97984355688095093</v>
      </c>
      <c r="G21">
        <v>0.28915984454920612</v>
      </c>
      <c r="H21">
        <f t="shared" si="6"/>
        <v>1181</v>
      </c>
      <c r="I21" s="18" t="str">
        <f t="shared" si="7"/>
        <v>carbon steel as the reactor material.</v>
      </c>
      <c r="J21" s="18" t="str">
        <f t="shared" si="2"/>
        <v>carbon steel</v>
      </c>
      <c r="K21">
        <f t="shared" si="8"/>
        <v>1183</v>
      </c>
      <c r="L21" s="18" t="str">
        <f t="shared" si="9"/>
        <v>carbon steel as the reactor material.</v>
      </c>
      <c r="M21" s="18" t="str">
        <f t="shared" si="5"/>
        <v>carbon steel</v>
      </c>
    </row>
    <row r="22" spans="1:13" x14ac:dyDescent="0.3">
      <c r="A22" t="s">
        <v>1634</v>
      </c>
      <c r="B22" t="s">
        <v>1633</v>
      </c>
      <c r="C22" t="s">
        <v>1632</v>
      </c>
      <c r="D22">
        <v>0.9601130485534668</v>
      </c>
      <c r="E22">
        <v>0.95969843864440918</v>
      </c>
      <c r="F22">
        <v>0.95990568399429321</v>
      </c>
      <c r="G22">
        <v>0.79283015627683329</v>
      </c>
      <c r="H22">
        <f t="shared" si="6"/>
        <v>1189</v>
      </c>
      <c r="I22" s="18" t="str">
        <f t="shared" si="7"/>
        <v>carbon steel as the reactor material.</v>
      </c>
      <c r="J22" s="18" t="str">
        <f t="shared" si="2"/>
        <v>carbon steel</v>
      </c>
      <c r="K22">
        <f t="shared" si="8"/>
        <v>1186</v>
      </c>
      <c r="L22" s="18" t="str">
        <f t="shared" si="9"/>
        <v>carbon steel as the reactor material.</v>
      </c>
      <c r="M22" s="18" t="str">
        <f t="shared" si="5"/>
        <v>carbon steel</v>
      </c>
    </row>
    <row r="23" spans="1:13" x14ac:dyDescent="0.3">
      <c r="A23" t="s">
        <v>1631</v>
      </c>
      <c r="B23" t="s">
        <v>1630</v>
      </c>
      <c r="C23" t="s">
        <v>1629</v>
      </c>
      <c r="D23">
        <v>0.97758764028549194</v>
      </c>
      <c r="E23">
        <v>0.97801816463470459</v>
      </c>
      <c r="F23">
        <v>0.97780293226242065</v>
      </c>
      <c r="G23">
        <v>0.93197213083026897</v>
      </c>
      <c r="H23">
        <f t="shared" si="6"/>
        <v>1170</v>
      </c>
      <c r="I23" s="18" t="str">
        <f t="shared" si="7"/>
        <v>carbon steel as the reactor material.</v>
      </c>
      <c r="J23" s="18" t="str">
        <f t="shared" si="2"/>
        <v>carbon steel</v>
      </c>
      <c r="K23">
        <f t="shared" si="8"/>
        <v>1175</v>
      </c>
      <c r="L23" s="18" t="str">
        <f t="shared" si="9"/>
        <v>carbon steel as the reactor material.</v>
      </c>
      <c r="M23" s="18" t="str">
        <f t="shared" si="5"/>
        <v>carbon steel</v>
      </c>
    </row>
    <row r="24" spans="1:13" x14ac:dyDescent="0.3">
      <c r="A24" t="s">
        <v>1628</v>
      </c>
      <c r="B24" t="s">
        <v>1627</v>
      </c>
      <c r="C24" t="s">
        <v>1626</v>
      </c>
      <c r="D24">
        <v>0.97238254547119141</v>
      </c>
      <c r="E24">
        <v>0.97142541408538818</v>
      </c>
      <c r="F24">
        <v>0.97190374135971069</v>
      </c>
      <c r="G24">
        <v>0.46706683971447133</v>
      </c>
      <c r="H24">
        <f t="shared" si="6"/>
        <v>1176</v>
      </c>
      <c r="I24" s="18" t="str">
        <f t="shared" si="7"/>
        <v>carbon steel as the reactor material.</v>
      </c>
      <c r="J24" s="18" t="str">
        <f t="shared" si="2"/>
        <v>carbon steel</v>
      </c>
      <c r="K24">
        <f t="shared" si="8"/>
        <v>1173</v>
      </c>
      <c r="L24" s="18" t="str">
        <f t="shared" si="9"/>
        <v>carbon steel as the reactor material.</v>
      </c>
      <c r="M24" s="18" t="str">
        <f t="shared" si="5"/>
        <v>carbon steel</v>
      </c>
    </row>
    <row r="25" spans="1:13" x14ac:dyDescent="0.3">
      <c r="A25" t="s">
        <v>1625</v>
      </c>
      <c r="B25" t="s">
        <v>1624</v>
      </c>
      <c r="C25" t="s">
        <v>1623</v>
      </c>
      <c r="D25">
        <v>0.97867763042449951</v>
      </c>
      <c r="E25">
        <v>0.97832810878753662</v>
      </c>
      <c r="F25">
        <v>0.97850286960601807</v>
      </c>
      <c r="G25">
        <v>0.5893443433232306</v>
      </c>
      <c r="H25">
        <f t="shared" si="6"/>
        <v>1180</v>
      </c>
      <c r="I25" s="18" t="str">
        <f t="shared" si="7"/>
        <v>carbon steel as the reactor material.</v>
      </c>
      <c r="J25" s="18" t="str">
        <f t="shared" si="2"/>
        <v>carbon steel</v>
      </c>
      <c r="K25">
        <f t="shared" si="8"/>
        <v>1180</v>
      </c>
      <c r="L25" s="18" t="str">
        <f t="shared" si="9"/>
        <v>carbon steel as the reactor material.</v>
      </c>
      <c r="M25" s="18" t="str">
        <f t="shared" si="5"/>
        <v>carbon steel</v>
      </c>
    </row>
    <row r="26" spans="1:13" x14ac:dyDescent="0.3">
      <c r="A26" t="s">
        <v>1622</v>
      </c>
      <c r="B26" t="s">
        <v>1621</v>
      </c>
      <c r="C26" t="s">
        <v>1620</v>
      </c>
      <c r="D26">
        <v>0.97575926780700684</v>
      </c>
      <c r="E26">
        <v>0.97570008039474487</v>
      </c>
      <c r="F26">
        <v>0.97572964429855347</v>
      </c>
      <c r="G26">
        <v>0.27030106171522739</v>
      </c>
      <c r="H26">
        <f t="shared" si="6"/>
        <v>1187</v>
      </c>
      <c r="I26" s="18" t="str">
        <f t="shared" si="7"/>
        <v>carbon steel as the reactor material.</v>
      </c>
      <c r="J26" s="18" t="str">
        <f t="shared" si="2"/>
        <v>carbon steel</v>
      </c>
      <c r="K26">
        <f t="shared" si="8"/>
        <v>1191</v>
      </c>
      <c r="L26" s="18" t="str">
        <f t="shared" si="9"/>
        <v>carbon steel as the reactor material.</v>
      </c>
      <c r="M26" s="18" t="str">
        <f t="shared" si="5"/>
        <v>carbon steel</v>
      </c>
    </row>
    <row r="27" spans="1:13" x14ac:dyDescent="0.3">
      <c r="A27" t="s">
        <v>1619</v>
      </c>
      <c r="B27" t="s">
        <v>1618</v>
      </c>
      <c r="C27" t="s">
        <v>1617</v>
      </c>
      <c r="D27">
        <v>0.9846031665802002</v>
      </c>
      <c r="E27">
        <v>0.9841238260269165</v>
      </c>
      <c r="F27">
        <v>0.98436343669891357</v>
      </c>
      <c r="G27">
        <v>0.99250007040865174</v>
      </c>
      <c r="H27">
        <f t="shared" si="6"/>
        <v>1185</v>
      </c>
      <c r="I27" s="18" t="str">
        <f t="shared" si="7"/>
        <v>carbon steel as the reactor material.</v>
      </c>
      <c r="J27" s="18" t="str">
        <f t="shared" si="2"/>
        <v>carbon steel</v>
      </c>
      <c r="K27">
        <f t="shared" si="8"/>
        <v>1187</v>
      </c>
      <c r="L27" s="18" t="str">
        <f t="shared" si="9"/>
        <v>carbon steel as the reactor material.</v>
      </c>
      <c r="M27" s="18" t="str">
        <f t="shared" si="5"/>
        <v>carbon steel</v>
      </c>
    </row>
    <row r="28" spans="1:13" x14ac:dyDescent="0.3">
      <c r="A28" t="s">
        <v>1616</v>
      </c>
      <c r="B28" t="s">
        <v>1615</v>
      </c>
      <c r="C28" t="s">
        <v>1614</v>
      </c>
      <c r="D28">
        <v>0.98903870582580566</v>
      </c>
      <c r="E28">
        <v>0.98897826671600342</v>
      </c>
      <c r="F28">
        <v>0.98900848627090454</v>
      </c>
      <c r="G28">
        <v>2.2571509245077889E-2</v>
      </c>
      <c r="H28">
        <f t="shared" si="6"/>
        <v>1185</v>
      </c>
      <c r="I28" s="18" t="str">
        <f t="shared" si="7"/>
        <v>carbon steel as the reactor material.</v>
      </c>
      <c r="J28" s="18" t="str">
        <f t="shared" si="2"/>
        <v>carbon steel</v>
      </c>
      <c r="K28">
        <f t="shared" si="8"/>
        <v>1185</v>
      </c>
      <c r="L28" s="18" t="str">
        <f t="shared" si="9"/>
        <v>carbon steel as the reactor material.</v>
      </c>
      <c r="M28" s="18" t="str">
        <f t="shared" si="5"/>
        <v>carbon steel</v>
      </c>
    </row>
    <row r="29" spans="1:13" x14ac:dyDescent="0.3">
      <c r="A29" t="s">
        <v>1613</v>
      </c>
      <c r="B29" t="s">
        <v>1612</v>
      </c>
      <c r="C29" t="s">
        <v>1611</v>
      </c>
      <c r="D29">
        <v>0.98549902439117432</v>
      </c>
      <c r="E29">
        <v>0.9854816198348999</v>
      </c>
      <c r="F29">
        <v>0.98549032211303711</v>
      </c>
      <c r="G29">
        <v>0.16221729225913081</v>
      </c>
      <c r="H29">
        <f t="shared" si="6"/>
        <v>1179</v>
      </c>
      <c r="I29" s="18" t="str">
        <f t="shared" si="7"/>
        <v>carbon steel as the reactor material.</v>
      </c>
      <c r="J29" s="18" t="str">
        <f t="shared" si="2"/>
        <v>carbon steel</v>
      </c>
      <c r="K29">
        <f t="shared" si="8"/>
        <v>1181</v>
      </c>
      <c r="L29" s="18" t="str">
        <f t="shared" si="9"/>
        <v>carbon steel as the reactor material.</v>
      </c>
      <c r="M29" s="18" t="str">
        <f t="shared" si="5"/>
        <v>carbon steel</v>
      </c>
    </row>
    <row r="30" spans="1:13" x14ac:dyDescent="0.3">
      <c r="A30" t="s">
        <v>1610</v>
      </c>
      <c r="B30" t="s">
        <v>1609</v>
      </c>
      <c r="C30" t="s">
        <v>1608</v>
      </c>
      <c r="D30">
        <v>0.96751701831817627</v>
      </c>
      <c r="E30">
        <v>0.96802759170532227</v>
      </c>
      <c r="F30">
        <v>0.96777224540710449</v>
      </c>
      <c r="G30">
        <v>1.2796054549847049E-2</v>
      </c>
      <c r="H30">
        <f t="shared" si="6"/>
        <v>1187</v>
      </c>
      <c r="I30" s="18" t="str">
        <f t="shared" si="7"/>
        <v>carbon steel as the reactor material.</v>
      </c>
      <c r="J30" s="18" t="str">
        <f t="shared" si="2"/>
        <v>carbon steel</v>
      </c>
      <c r="K30">
        <f t="shared" si="8"/>
        <v>1187</v>
      </c>
      <c r="L30" s="18" t="str">
        <f t="shared" si="9"/>
        <v>carbon steel as the reactor material.</v>
      </c>
      <c r="M30" s="18" t="str">
        <f t="shared" si="5"/>
        <v>carbon steel</v>
      </c>
    </row>
    <row r="31" spans="1:13" x14ac:dyDescent="0.3">
      <c r="A31" t="s">
        <v>1607</v>
      </c>
      <c r="B31" t="s">
        <v>1606</v>
      </c>
      <c r="C31" t="s">
        <v>1605</v>
      </c>
      <c r="D31">
        <v>0.97931879758834839</v>
      </c>
      <c r="E31">
        <v>0.9799264669418335</v>
      </c>
      <c r="F31">
        <v>0.97962254285812378</v>
      </c>
      <c r="G31">
        <v>0.57242112596014594</v>
      </c>
      <c r="H31">
        <f t="shared" si="6"/>
        <v>1171</v>
      </c>
      <c r="I31" s="18" t="str">
        <f t="shared" si="7"/>
        <v>carbon steel as the reactor material.</v>
      </c>
      <c r="J31" s="18" t="str">
        <f t="shared" si="2"/>
        <v>carbon steel</v>
      </c>
      <c r="K31">
        <f t="shared" si="8"/>
        <v>1174</v>
      </c>
      <c r="L31" s="18" t="str">
        <f t="shared" si="9"/>
        <v>carbon steel as the reactor material.</v>
      </c>
      <c r="M31" s="18" t="str">
        <f t="shared" si="5"/>
        <v>carbon steel</v>
      </c>
    </row>
    <row r="32" spans="1:13" x14ac:dyDescent="0.3">
      <c r="A32" t="s">
        <v>1604</v>
      </c>
      <c r="B32" t="s">
        <v>1603</v>
      </c>
      <c r="C32" t="s">
        <v>1602</v>
      </c>
      <c r="D32">
        <v>0.95942187309265137</v>
      </c>
      <c r="E32">
        <v>0.96679294109344482</v>
      </c>
      <c r="F32">
        <v>0.96309328079223633</v>
      </c>
      <c r="G32">
        <v>2.5168329177057358</v>
      </c>
      <c r="H32">
        <f t="shared" si="6"/>
        <v>935</v>
      </c>
      <c r="I32" s="18" t="str">
        <f t="shared" si="7"/>
        <v>stainless steel as the reactor material.</v>
      </c>
      <c r="J32" s="18" t="str">
        <f t="shared" si="2"/>
        <v>stainless steel</v>
      </c>
      <c r="K32">
        <f t="shared" si="8"/>
        <v>935</v>
      </c>
      <c r="L32" s="18" t="str">
        <f t="shared" si="9"/>
        <v>stainless steel as the reactor material.</v>
      </c>
      <c r="M32" s="18" t="str">
        <f t="shared" si="5"/>
        <v>stainless steel</v>
      </c>
    </row>
    <row r="33" spans="1:13" x14ac:dyDescent="0.3">
      <c r="A33" t="s">
        <v>1601</v>
      </c>
      <c r="B33" t="s">
        <v>1600</v>
      </c>
      <c r="C33" t="s">
        <v>1599</v>
      </c>
      <c r="D33">
        <v>0.96962475776672363</v>
      </c>
      <c r="E33">
        <v>0.97437262535095215</v>
      </c>
      <c r="F33">
        <v>0.97199290990829468</v>
      </c>
      <c r="G33">
        <v>0.29952755905511819</v>
      </c>
      <c r="H33">
        <f t="shared" si="6"/>
        <v>954</v>
      </c>
      <c r="I33" s="18" t="str">
        <f t="shared" si="7"/>
        <v>stainless steel as the reactor material.</v>
      </c>
      <c r="J33" s="18" t="str">
        <f t="shared" si="2"/>
        <v>stainless steel</v>
      </c>
      <c r="K33">
        <f t="shared" si="8"/>
        <v>954</v>
      </c>
      <c r="L33" s="18" t="str">
        <f t="shared" si="9"/>
        <v>stainless steel as the reactor material.</v>
      </c>
      <c r="M33" s="18" t="str">
        <f t="shared" si="5"/>
        <v>stainless steel</v>
      </c>
    </row>
    <row r="34" spans="1:13" x14ac:dyDescent="0.3">
      <c r="A34" t="s">
        <v>1598</v>
      </c>
      <c r="B34" t="s">
        <v>1597</v>
      </c>
      <c r="C34" t="s">
        <v>1596</v>
      </c>
      <c r="D34">
        <v>0.97291994094848633</v>
      </c>
      <c r="E34">
        <v>0.97669136524200439</v>
      </c>
      <c r="F34">
        <v>0.97480201721191406</v>
      </c>
      <c r="G34">
        <v>0.21799652000994291</v>
      </c>
      <c r="H34">
        <f t="shared" si="6"/>
        <v>934</v>
      </c>
      <c r="I34" s="18" t="str">
        <f t="shared" si="7"/>
        <v>stainless steel as the reactor material.</v>
      </c>
      <c r="J34" s="18" t="str">
        <f t="shared" si="2"/>
        <v>stainless steel</v>
      </c>
      <c r="K34">
        <f t="shared" si="8"/>
        <v>934</v>
      </c>
      <c r="L34" s="18" t="str">
        <f t="shared" si="9"/>
        <v>stainless steel as the reactor material.</v>
      </c>
      <c r="M34" s="18" t="str">
        <f t="shared" si="5"/>
        <v>stainless steel</v>
      </c>
    </row>
    <row r="35" spans="1:13" x14ac:dyDescent="0.3">
      <c r="A35" t="s">
        <v>1595</v>
      </c>
      <c r="B35" t="s">
        <v>1594</v>
      </c>
      <c r="C35" t="s">
        <v>1593</v>
      </c>
      <c r="D35">
        <v>0.95394003391265869</v>
      </c>
      <c r="E35">
        <v>0.96303814649581909</v>
      </c>
      <c r="F35">
        <v>0.95846754312515259</v>
      </c>
      <c r="G35">
        <v>5.5768115942028986</v>
      </c>
      <c r="H35">
        <f t="shared" si="6"/>
        <v>935</v>
      </c>
      <c r="I35" s="18" t="str">
        <f t="shared" si="7"/>
        <v>stainless steel as the reactor material.</v>
      </c>
      <c r="J35" s="18" t="str">
        <f t="shared" si="2"/>
        <v>stainless steel</v>
      </c>
      <c r="K35">
        <f t="shared" si="8"/>
        <v>933</v>
      </c>
      <c r="L35" s="18" t="str">
        <f t="shared" si="9"/>
        <v>stainless steel as the reactor material.</v>
      </c>
      <c r="M35" s="18" t="str">
        <f t="shared" si="5"/>
        <v>stainless steel</v>
      </c>
    </row>
    <row r="36" spans="1:13" x14ac:dyDescent="0.3">
      <c r="A36" t="s">
        <v>1592</v>
      </c>
      <c r="B36" t="s">
        <v>1591</v>
      </c>
      <c r="C36" t="s">
        <v>1590</v>
      </c>
      <c r="D36">
        <v>0.97580814361572266</v>
      </c>
      <c r="E36">
        <v>0.97205018997192383</v>
      </c>
      <c r="F36">
        <v>0.97392553091049194</v>
      </c>
      <c r="G36">
        <v>0.1146788990825688</v>
      </c>
      <c r="H36">
        <f t="shared" si="6"/>
        <v>953</v>
      </c>
      <c r="I36" s="18" t="str">
        <f t="shared" si="7"/>
        <v>stainless steel as the reactor material.</v>
      </c>
      <c r="J36" s="18" t="str">
        <f t="shared" si="2"/>
        <v>stainless steel</v>
      </c>
      <c r="K36">
        <f t="shared" si="8"/>
        <v>953</v>
      </c>
      <c r="L36" s="18" t="str">
        <f t="shared" si="9"/>
        <v>stainless steel as the reactor material.</v>
      </c>
      <c r="M36" s="18" t="str">
        <f t="shared" si="5"/>
        <v>stainless steel</v>
      </c>
    </row>
    <row r="37" spans="1:13" x14ac:dyDescent="0.3">
      <c r="A37" t="s">
        <v>1589</v>
      </c>
      <c r="B37" t="s">
        <v>1588</v>
      </c>
      <c r="C37" t="s">
        <v>1587</v>
      </c>
      <c r="D37">
        <v>0.97500216960906982</v>
      </c>
      <c r="E37">
        <v>0.97904825210571289</v>
      </c>
      <c r="F37">
        <v>0.97702103853225708</v>
      </c>
      <c r="G37">
        <v>4.287444933920705</v>
      </c>
      <c r="H37">
        <f t="shared" si="6"/>
        <v>934</v>
      </c>
      <c r="I37" s="18" t="str">
        <f t="shared" si="7"/>
        <v>stainless steel as the reactor material.</v>
      </c>
      <c r="J37" s="18" t="str">
        <f t="shared" si="2"/>
        <v>stainless steel</v>
      </c>
      <c r="K37">
        <f t="shared" si="8"/>
        <v>934</v>
      </c>
      <c r="L37" s="18" t="str">
        <f t="shared" si="9"/>
        <v>stainless steel as the reactor material.</v>
      </c>
      <c r="M37" s="18" t="str">
        <f t="shared" si="5"/>
        <v>stainless steel</v>
      </c>
    </row>
    <row r="38" spans="1:13" x14ac:dyDescent="0.3">
      <c r="A38" t="s">
        <v>1586</v>
      </c>
      <c r="B38" t="s">
        <v>1585</v>
      </c>
      <c r="C38" t="s">
        <v>1584</v>
      </c>
      <c r="D38">
        <v>0.98941671848297119</v>
      </c>
      <c r="E38">
        <v>0.98941671848297119</v>
      </c>
      <c r="F38">
        <v>0.98941671848297119</v>
      </c>
      <c r="G38">
        <v>0.86191576328416541</v>
      </c>
      <c r="H38">
        <f t="shared" si="6"/>
        <v>954</v>
      </c>
      <c r="I38" s="18" t="str">
        <f t="shared" si="7"/>
        <v>stainless steel as the reactor material.</v>
      </c>
      <c r="J38" s="18" t="str">
        <f t="shared" si="2"/>
        <v>stainless steel</v>
      </c>
      <c r="K38">
        <f t="shared" si="8"/>
        <v>949</v>
      </c>
      <c r="L38" s="18" t="str">
        <f t="shared" si="9"/>
        <v>stainless steel as the reactor material.</v>
      </c>
      <c r="M38" s="18" t="str">
        <f t="shared" si="5"/>
        <v>stainless steel</v>
      </c>
    </row>
    <row r="39" spans="1:13" x14ac:dyDescent="0.3">
      <c r="A39" t="s">
        <v>1583</v>
      </c>
      <c r="B39" t="s">
        <v>1582</v>
      </c>
      <c r="C39" t="s">
        <v>1581</v>
      </c>
      <c r="D39">
        <v>0.97164160013198853</v>
      </c>
      <c r="E39">
        <v>0.9738268256187439</v>
      </c>
      <c r="F39">
        <v>0.9727330207824707</v>
      </c>
      <c r="G39">
        <v>0.38128580521960542</v>
      </c>
      <c r="H39">
        <f t="shared" si="6"/>
        <v>949</v>
      </c>
      <c r="I39" s="18" t="str">
        <f t="shared" si="7"/>
        <v>stainless steel as the reactor material.</v>
      </c>
      <c r="J39" s="18" t="str">
        <f t="shared" si="2"/>
        <v>stainless steel</v>
      </c>
      <c r="K39">
        <f t="shared" si="8"/>
        <v>950</v>
      </c>
      <c r="L39" s="18" t="str">
        <f t="shared" si="9"/>
        <v>stainless steel as the reactor material.</v>
      </c>
      <c r="M39" s="18" t="str">
        <f t="shared" si="5"/>
        <v>stainless steel</v>
      </c>
    </row>
    <row r="40" spans="1:13" x14ac:dyDescent="0.3">
      <c r="A40" t="s">
        <v>1580</v>
      </c>
      <c r="B40" t="s">
        <v>1579</v>
      </c>
      <c r="C40" t="s">
        <v>1578</v>
      </c>
      <c r="D40">
        <v>0.97577583789825439</v>
      </c>
      <c r="E40">
        <v>0.97238326072692871</v>
      </c>
      <c r="F40">
        <v>0.97407662868499756</v>
      </c>
      <c r="G40">
        <v>0.39589467917551191</v>
      </c>
      <c r="H40">
        <f t="shared" si="6"/>
        <v>935</v>
      </c>
      <c r="I40" s="18" t="str">
        <f t="shared" si="7"/>
        <v>stainless steel as the reactor material.</v>
      </c>
      <c r="J40" s="18" t="str">
        <f t="shared" si="2"/>
        <v>stainless steel</v>
      </c>
      <c r="K40">
        <f t="shared" si="8"/>
        <v>935</v>
      </c>
      <c r="L40" s="18" t="str">
        <f t="shared" si="9"/>
        <v>stainless steel as the reactor material.</v>
      </c>
      <c r="M40" s="18" t="str">
        <f t="shared" si="5"/>
        <v>stainless steel</v>
      </c>
    </row>
    <row r="41" spans="1:13" x14ac:dyDescent="0.3">
      <c r="A41" t="s">
        <v>1577</v>
      </c>
      <c r="B41" t="s">
        <v>1576</v>
      </c>
      <c r="C41" t="s">
        <v>1575</v>
      </c>
      <c r="D41">
        <v>0.97265160083770752</v>
      </c>
      <c r="E41">
        <v>0.96875596046447754</v>
      </c>
      <c r="F41">
        <v>0.97069990634918213</v>
      </c>
      <c r="G41">
        <v>0.48014121800529569</v>
      </c>
      <c r="H41">
        <f t="shared" si="6"/>
        <v>949</v>
      </c>
      <c r="I41" s="18" t="str">
        <f t="shared" si="7"/>
        <v>stainless steel as the reactor material.</v>
      </c>
      <c r="J41" s="18" t="str">
        <f t="shared" si="2"/>
        <v>stainless steel</v>
      </c>
      <c r="K41">
        <f t="shared" si="8"/>
        <v>949</v>
      </c>
      <c r="L41" s="18" t="str">
        <f t="shared" si="9"/>
        <v>stainless steel as the reactor material.</v>
      </c>
      <c r="M41" s="18" t="str">
        <f t="shared" si="5"/>
        <v>stainless steel</v>
      </c>
    </row>
    <row r="42" spans="1:13" x14ac:dyDescent="0.3">
      <c r="A42" t="s">
        <v>1574</v>
      </c>
      <c r="B42" t="s">
        <v>1573</v>
      </c>
      <c r="C42" t="s">
        <v>1572</v>
      </c>
      <c r="D42">
        <v>0.97965925931930542</v>
      </c>
      <c r="E42">
        <v>0.97983849048614502</v>
      </c>
      <c r="F42">
        <v>0.97974890470504761</v>
      </c>
      <c r="G42">
        <v>0.33359904344360308</v>
      </c>
      <c r="H42">
        <f t="shared" si="6"/>
        <v>954</v>
      </c>
      <c r="I42" s="18" t="str">
        <f t="shared" si="7"/>
        <v>stainless steel as the reactor material.</v>
      </c>
      <c r="J42" s="18" t="str">
        <f t="shared" si="2"/>
        <v>stainless steel</v>
      </c>
      <c r="K42">
        <f t="shared" si="8"/>
        <v>950</v>
      </c>
      <c r="L42" s="18" t="str">
        <f t="shared" si="9"/>
        <v>stainless steel as the reactor material.</v>
      </c>
      <c r="M42" s="18" t="str">
        <f t="shared" si="5"/>
        <v>stainless steel</v>
      </c>
    </row>
    <row r="43" spans="1:13" x14ac:dyDescent="0.3">
      <c r="A43" t="s">
        <v>1571</v>
      </c>
      <c r="B43" t="s">
        <v>1570</v>
      </c>
      <c r="C43" t="s">
        <v>1569</v>
      </c>
      <c r="D43">
        <v>0.97602248191833496</v>
      </c>
      <c r="E43">
        <v>0.97818011045455933</v>
      </c>
      <c r="F43">
        <v>0.97710007429122925</v>
      </c>
      <c r="G43">
        <v>0.16402405686167301</v>
      </c>
      <c r="H43">
        <f t="shared" si="6"/>
        <v>951</v>
      </c>
      <c r="I43" s="18" t="str">
        <f t="shared" si="7"/>
        <v>stainless steel as the reactor material.</v>
      </c>
      <c r="J43" s="18" t="str">
        <f t="shared" si="2"/>
        <v>stainless steel</v>
      </c>
      <c r="K43">
        <f t="shared" si="8"/>
        <v>951</v>
      </c>
      <c r="L43" s="18" t="str">
        <f t="shared" si="9"/>
        <v>stainless steel as the reactor material.</v>
      </c>
      <c r="M43" s="18" t="str">
        <f t="shared" si="5"/>
        <v>stainless steel</v>
      </c>
    </row>
    <row r="44" spans="1:13" x14ac:dyDescent="0.3">
      <c r="A44" t="s">
        <v>1568</v>
      </c>
      <c r="B44" t="s">
        <v>1567</v>
      </c>
      <c r="C44" t="s">
        <v>1566</v>
      </c>
      <c r="D44">
        <v>0.97104060649871826</v>
      </c>
      <c r="E44">
        <v>0.97415411472320557</v>
      </c>
      <c r="F44">
        <v>0.97259485721588135</v>
      </c>
      <c r="G44">
        <v>0.83323847467273759</v>
      </c>
      <c r="H44">
        <f t="shared" si="6"/>
        <v>952</v>
      </c>
      <c r="I44" s="18" t="str">
        <f t="shared" si="7"/>
        <v>stainless steel as the reactor material.</v>
      </c>
      <c r="J44" s="18" t="str">
        <f t="shared" si="2"/>
        <v>stainless steel</v>
      </c>
      <c r="K44">
        <f t="shared" si="8"/>
        <v>949</v>
      </c>
      <c r="L44" s="18" t="str">
        <f t="shared" si="9"/>
        <v>stainless steel as the reactor material.</v>
      </c>
      <c r="M44" s="18" t="str">
        <f t="shared" si="5"/>
        <v>stainless steel</v>
      </c>
    </row>
    <row r="45" spans="1:13" x14ac:dyDescent="0.3">
      <c r="A45" t="s">
        <v>1565</v>
      </c>
      <c r="B45" t="s">
        <v>1564</v>
      </c>
      <c r="C45" t="s">
        <v>1563</v>
      </c>
      <c r="D45">
        <v>0.95827627182006836</v>
      </c>
      <c r="E45">
        <v>0.96501821279525757</v>
      </c>
      <c r="F45">
        <v>0.96163541078567505</v>
      </c>
      <c r="G45">
        <v>3.9423076923076921</v>
      </c>
      <c r="H45">
        <f t="shared" si="6"/>
        <v>954</v>
      </c>
      <c r="I45" s="18" t="str">
        <f t="shared" si="7"/>
        <v>stainless steel as the reactor material.</v>
      </c>
      <c r="J45" s="18" t="str">
        <f t="shared" si="2"/>
        <v>stainless steel</v>
      </c>
      <c r="K45">
        <f t="shared" si="8"/>
        <v>949</v>
      </c>
      <c r="L45" s="18" t="str">
        <f t="shared" si="9"/>
        <v>stainless steel as the reactor material.</v>
      </c>
      <c r="M45" s="18" t="str">
        <f t="shared" si="5"/>
        <v>stainless steel</v>
      </c>
    </row>
    <row r="46" spans="1:13" x14ac:dyDescent="0.3">
      <c r="A46" t="s">
        <v>1562</v>
      </c>
      <c r="B46" t="s">
        <v>1561</v>
      </c>
      <c r="C46" t="s">
        <v>1560</v>
      </c>
      <c r="D46">
        <v>0.96471816301345825</v>
      </c>
      <c r="E46">
        <v>0.96702635288238525</v>
      </c>
      <c r="F46">
        <v>0.96587085723876953</v>
      </c>
      <c r="G46">
        <v>0.54512957998212686</v>
      </c>
      <c r="H46">
        <f t="shared" si="6"/>
        <v>957</v>
      </c>
      <c r="I46" s="18" t="str">
        <f t="shared" si="7"/>
        <v>stainless steel as the reactor material.</v>
      </c>
      <c r="J46" s="18" t="str">
        <f t="shared" si="2"/>
        <v>stainless steel</v>
      </c>
      <c r="K46">
        <f t="shared" si="8"/>
        <v>950</v>
      </c>
      <c r="L46" s="18" t="str">
        <f t="shared" si="9"/>
        <v>stainless steel as the reactor material.</v>
      </c>
      <c r="M46" s="18" t="str">
        <f t="shared" si="5"/>
        <v>stainless steel</v>
      </c>
    </row>
    <row r="47" spans="1:13" x14ac:dyDescent="0.3">
      <c r="A47" t="s">
        <v>1559</v>
      </c>
      <c r="B47" t="s">
        <v>1558</v>
      </c>
      <c r="C47" t="s">
        <v>1557</v>
      </c>
      <c r="D47">
        <v>0.98665314912796021</v>
      </c>
      <c r="E47">
        <v>0.98665314912796021</v>
      </c>
      <c r="F47">
        <v>0.98665314912796021</v>
      </c>
      <c r="G47">
        <v>0.45114942528735619</v>
      </c>
      <c r="H47">
        <f t="shared" si="6"/>
        <v>944</v>
      </c>
      <c r="I47" s="18" t="str">
        <f t="shared" si="7"/>
        <v>stainless steel as the reactor material.</v>
      </c>
      <c r="J47" s="18" t="str">
        <f t="shared" si="2"/>
        <v>stainless steel</v>
      </c>
      <c r="K47">
        <f t="shared" si="8"/>
        <v>952</v>
      </c>
      <c r="L47" s="18" t="str">
        <f t="shared" si="9"/>
        <v>stainless steel as the reactor material.</v>
      </c>
      <c r="M47" s="18" t="str">
        <f t="shared" si="5"/>
        <v>stainless steel</v>
      </c>
    </row>
    <row r="48" spans="1:13" x14ac:dyDescent="0.3">
      <c r="A48" t="s">
        <v>1556</v>
      </c>
      <c r="B48" t="s">
        <v>1555</v>
      </c>
      <c r="C48" t="s">
        <v>1554</v>
      </c>
      <c r="D48">
        <v>0.96482807397842407</v>
      </c>
      <c r="E48">
        <v>0.95813179016113281</v>
      </c>
      <c r="F48">
        <v>0.96146833896636963</v>
      </c>
      <c r="G48">
        <v>0.72197705207413954</v>
      </c>
      <c r="H48">
        <f t="shared" si="6"/>
        <v>949</v>
      </c>
      <c r="I48" s="18" t="str">
        <f t="shared" si="7"/>
        <v>stainless steel as the reactor material.</v>
      </c>
      <c r="J48" s="18" t="str">
        <f t="shared" si="2"/>
        <v>stainless steel</v>
      </c>
      <c r="K48">
        <f t="shared" si="8"/>
        <v>954</v>
      </c>
      <c r="L48" s="18" t="str">
        <f t="shared" si="9"/>
        <v>stainless steel as the reactor material.</v>
      </c>
      <c r="M48" s="18" t="str">
        <f t="shared" si="5"/>
        <v>stainless steel</v>
      </c>
    </row>
    <row r="49" spans="1:13" x14ac:dyDescent="0.3">
      <c r="A49" t="s">
        <v>1553</v>
      </c>
      <c r="B49" t="s">
        <v>1552</v>
      </c>
      <c r="C49" t="s">
        <v>1551</v>
      </c>
      <c r="D49">
        <v>0.97121596336364746</v>
      </c>
      <c r="E49">
        <v>0.96722143888473511</v>
      </c>
      <c r="F49">
        <v>0.96921455860137939</v>
      </c>
      <c r="G49">
        <v>0.70800316957210774</v>
      </c>
      <c r="H49">
        <f t="shared" si="6"/>
        <v>935</v>
      </c>
      <c r="I49" s="18" t="str">
        <f t="shared" si="7"/>
        <v>stainless steel as the reactor material.</v>
      </c>
      <c r="J49" s="18" t="str">
        <f t="shared" si="2"/>
        <v>stainless steel</v>
      </c>
      <c r="K49">
        <f t="shared" si="8"/>
        <v>935</v>
      </c>
      <c r="L49" s="18" t="str">
        <f t="shared" si="9"/>
        <v>stainless steel as the reactor material.</v>
      </c>
      <c r="M49" s="18" t="str">
        <f t="shared" si="5"/>
        <v>stainless steel</v>
      </c>
    </row>
    <row r="50" spans="1:13" x14ac:dyDescent="0.3">
      <c r="A50" t="s">
        <v>1550</v>
      </c>
      <c r="B50" t="s">
        <v>1549</v>
      </c>
      <c r="C50" t="s">
        <v>1548</v>
      </c>
      <c r="D50">
        <v>0.97467243671417236</v>
      </c>
      <c r="E50">
        <v>0.97063475847244263</v>
      </c>
      <c r="F50">
        <v>0.97264939546585083</v>
      </c>
      <c r="G50">
        <v>0.54701116037303166</v>
      </c>
      <c r="H50">
        <f t="shared" si="6"/>
        <v>934</v>
      </c>
      <c r="I50" s="18" t="str">
        <f t="shared" si="7"/>
        <v>stainless steel as the reactor material.</v>
      </c>
      <c r="J50" s="18" t="str">
        <f t="shared" si="2"/>
        <v>stainless steel</v>
      </c>
      <c r="K50">
        <f t="shared" si="8"/>
        <v>934</v>
      </c>
      <c r="L50" s="18" t="str">
        <f t="shared" si="9"/>
        <v>stainless steel as the reactor material.</v>
      </c>
      <c r="M50" s="18" t="str">
        <f t="shared" si="5"/>
        <v>stainless steel</v>
      </c>
    </row>
    <row r="51" spans="1:13" x14ac:dyDescent="0.3">
      <c r="A51" t="s">
        <v>1547</v>
      </c>
      <c r="B51" t="s">
        <v>1546</v>
      </c>
      <c r="C51" t="s">
        <v>1545</v>
      </c>
      <c r="D51">
        <v>0.96433860063552856</v>
      </c>
      <c r="E51">
        <v>0.95787644386291504</v>
      </c>
      <c r="F51">
        <v>0.96109664440155029</v>
      </c>
      <c r="G51">
        <v>0.64285714285714279</v>
      </c>
      <c r="H51">
        <f t="shared" si="6"/>
        <v>949</v>
      </c>
      <c r="I51" s="18" t="str">
        <f t="shared" si="7"/>
        <v>stainless steel as the reactor material.</v>
      </c>
      <c r="J51" s="18" t="str">
        <f t="shared" si="2"/>
        <v>stainless steel</v>
      </c>
      <c r="K51">
        <f t="shared" si="8"/>
        <v>950</v>
      </c>
      <c r="L51" s="18" t="str">
        <f t="shared" si="9"/>
        <v>stainless steel as the reactor material.</v>
      </c>
      <c r="M51" s="18" t="str">
        <f t="shared" si="5"/>
        <v>stainless steel</v>
      </c>
    </row>
    <row r="52" spans="1:13" x14ac:dyDescent="0.3">
      <c r="A52" t="s">
        <v>1544</v>
      </c>
      <c r="B52" t="s">
        <v>1543</v>
      </c>
      <c r="C52" t="s">
        <v>1542</v>
      </c>
      <c r="D52">
        <v>0.9574621319770813</v>
      </c>
      <c r="E52">
        <v>0.96409046649932861</v>
      </c>
      <c r="F52">
        <v>0.96076482534408569</v>
      </c>
      <c r="G52">
        <v>1.9211065573770489</v>
      </c>
      <c r="H52">
        <f t="shared" si="6"/>
        <v>950</v>
      </c>
      <c r="I52" s="18" t="str">
        <f t="shared" si="7"/>
        <v>stainless steel as the reactor material.</v>
      </c>
      <c r="J52" s="18" t="str">
        <f t="shared" si="2"/>
        <v>stainless steel</v>
      </c>
      <c r="K52">
        <f t="shared" si="8"/>
        <v>944</v>
      </c>
      <c r="L52" s="18" t="str">
        <f t="shared" si="9"/>
        <v>stainless steel as the reactor material.</v>
      </c>
      <c r="M52" s="18" t="str">
        <f t="shared" si="5"/>
        <v>stainless steel</v>
      </c>
    </row>
    <row r="53" spans="1:13" x14ac:dyDescent="0.3">
      <c r="A53" t="s">
        <v>1541</v>
      </c>
      <c r="B53" t="s">
        <v>1540</v>
      </c>
      <c r="C53" t="s">
        <v>1539</v>
      </c>
      <c r="D53">
        <v>0.95855122804641724</v>
      </c>
      <c r="E53">
        <v>0.96458500623703003</v>
      </c>
      <c r="F53">
        <v>0.96155864000320435</v>
      </c>
      <c r="G53">
        <v>1.1951219512195119</v>
      </c>
      <c r="H53">
        <f t="shared" si="6"/>
        <v>949</v>
      </c>
      <c r="I53" s="18" t="str">
        <f t="shared" si="7"/>
        <v>stainless steel as the reactor material.</v>
      </c>
      <c r="J53" s="18" t="str">
        <f t="shared" si="2"/>
        <v>stainless steel</v>
      </c>
      <c r="K53">
        <f t="shared" si="8"/>
        <v>950</v>
      </c>
      <c r="L53" s="18" t="str">
        <f t="shared" si="9"/>
        <v>stainless steel as the reactor material.</v>
      </c>
      <c r="M53" s="18" t="str">
        <f t="shared" si="5"/>
        <v>stainless steel</v>
      </c>
    </row>
    <row r="54" spans="1:13" x14ac:dyDescent="0.3">
      <c r="A54" t="s">
        <v>1538</v>
      </c>
      <c r="B54" t="s">
        <v>1537</v>
      </c>
      <c r="C54" t="s">
        <v>1536</v>
      </c>
      <c r="D54">
        <v>0.99230420589447021</v>
      </c>
      <c r="E54">
        <v>0.99230039119720459</v>
      </c>
      <c r="F54">
        <v>0.9923022985458374</v>
      </c>
      <c r="G54">
        <v>0.29517241379310349</v>
      </c>
      <c r="H54">
        <f t="shared" si="6"/>
        <v>949</v>
      </c>
      <c r="I54" s="18" t="str">
        <f t="shared" si="7"/>
        <v>stainless steel as the reactor material.</v>
      </c>
      <c r="J54" s="18" t="str">
        <f t="shared" si="2"/>
        <v>stainless steel</v>
      </c>
      <c r="K54">
        <f t="shared" si="8"/>
        <v>949</v>
      </c>
      <c r="L54" s="18" t="str">
        <f t="shared" si="9"/>
        <v>stainless steel as the reactor material.</v>
      </c>
      <c r="M54" s="18" t="str">
        <f t="shared" si="5"/>
        <v>stainless steel</v>
      </c>
    </row>
    <row r="55" spans="1:13" x14ac:dyDescent="0.3">
      <c r="A55" t="s">
        <v>1535</v>
      </c>
      <c r="B55" t="s">
        <v>1534</v>
      </c>
      <c r="C55" t="s">
        <v>1533</v>
      </c>
      <c r="D55">
        <v>0.9734380841255188</v>
      </c>
      <c r="E55">
        <v>0.97648179531097412</v>
      </c>
      <c r="F55">
        <v>0.97495758533477783</v>
      </c>
      <c r="G55">
        <v>3.6107921928817439</v>
      </c>
      <c r="H55">
        <f t="shared" si="6"/>
        <v>935</v>
      </c>
      <c r="I55" s="18" t="str">
        <f t="shared" si="7"/>
        <v>stainless steel as the reactor material.</v>
      </c>
      <c r="J55" s="18" t="str">
        <f t="shared" si="2"/>
        <v>stainless steel</v>
      </c>
      <c r="K55">
        <f t="shared" si="8"/>
        <v>933</v>
      </c>
      <c r="L55" s="18" t="str">
        <f t="shared" si="9"/>
        <v>stainless steel as the reactor material.</v>
      </c>
      <c r="M55" s="18" t="str">
        <f t="shared" si="5"/>
        <v>stainless steel</v>
      </c>
    </row>
    <row r="56" spans="1:13" x14ac:dyDescent="0.3">
      <c r="A56" t="s">
        <v>1532</v>
      </c>
      <c r="B56" t="s">
        <v>1531</v>
      </c>
      <c r="C56" t="s">
        <v>1530</v>
      </c>
      <c r="D56">
        <v>0.97118890285491943</v>
      </c>
      <c r="E56">
        <v>0.97572565078735352</v>
      </c>
      <c r="F56">
        <v>0.97345197200775146</v>
      </c>
      <c r="G56">
        <v>0.38337801608579081</v>
      </c>
      <c r="H56">
        <f t="shared" si="6"/>
        <v>953</v>
      </c>
      <c r="I56" s="18" t="str">
        <f t="shared" si="7"/>
        <v>stainless steel as the reactor material.</v>
      </c>
      <c r="J56" s="18" t="str">
        <f t="shared" si="2"/>
        <v>stainless steel</v>
      </c>
      <c r="K56">
        <f t="shared" si="8"/>
        <v>954</v>
      </c>
      <c r="L56" s="18" t="str">
        <f t="shared" si="9"/>
        <v>stainless steel as the reactor material.</v>
      </c>
      <c r="M56" s="18" t="str">
        <f t="shared" si="5"/>
        <v>stainless steel</v>
      </c>
    </row>
    <row r="57" spans="1:13" x14ac:dyDescent="0.3">
      <c r="A57" t="s">
        <v>1529</v>
      </c>
      <c r="B57" t="s">
        <v>1528</v>
      </c>
      <c r="C57" t="s">
        <v>1527</v>
      </c>
      <c r="D57">
        <v>0.98972964286804199</v>
      </c>
      <c r="E57">
        <v>0.98970592021942139</v>
      </c>
      <c r="F57">
        <v>0.98971778154373169</v>
      </c>
      <c r="G57">
        <v>0.2525117213663764</v>
      </c>
      <c r="H57">
        <f t="shared" si="6"/>
        <v>949</v>
      </c>
      <c r="I57" s="18" t="str">
        <f t="shared" si="7"/>
        <v>stainless steel as the reactor material.</v>
      </c>
      <c r="J57" s="18" t="str">
        <f t="shared" si="2"/>
        <v>stainless steel</v>
      </c>
      <c r="K57">
        <f t="shared" si="8"/>
        <v>950</v>
      </c>
      <c r="L57" s="18" t="str">
        <f t="shared" si="9"/>
        <v>stainless steel as the reactor material.</v>
      </c>
      <c r="M57" s="18" t="str">
        <f t="shared" si="5"/>
        <v>stainless steel</v>
      </c>
    </row>
    <row r="58" spans="1:13" x14ac:dyDescent="0.3">
      <c r="A58" t="s">
        <v>1526</v>
      </c>
      <c r="B58" t="s">
        <v>1525</v>
      </c>
      <c r="C58" t="s">
        <v>1524</v>
      </c>
      <c r="D58">
        <v>0.97435659170150757</v>
      </c>
      <c r="E58">
        <v>0.97647130489349365</v>
      </c>
      <c r="F58">
        <v>0.97541284561157227</v>
      </c>
      <c r="G58">
        <v>1.658436213991769</v>
      </c>
      <c r="H58">
        <f t="shared" si="6"/>
        <v>950</v>
      </c>
      <c r="I58" s="18" t="str">
        <f t="shared" si="7"/>
        <v>stainless steel as the reactor material.</v>
      </c>
      <c r="J58" s="18" t="str">
        <f t="shared" si="2"/>
        <v>stainless steel</v>
      </c>
      <c r="K58">
        <f t="shared" si="8"/>
        <v>948</v>
      </c>
      <c r="L58" s="18" t="str">
        <f t="shared" si="9"/>
        <v>stainless steel as the reactor material.</v>
      </c>
      <c r="M58" s="18" t="str">
        <f t="shared" si="5"/>
        <v>stainless steel</v>
      </c>
    </row>
    <row r="59" spans="1:13" x14ac:dyDescent="0.3">
      <c r="A59" t="s">
        <v>1523</v>
      </c>
      <c r="B59" t="s">
        <v>1522</v>
      </c>
      <c r="C59" t="s">
        <v>1521</v>
      </c>
      <c r="D59">
        <v>0.96995913982391357</v>
      </c>
      <c r="E59">
        <v>0.97328686714172363</v>
      </c>
      <c r="F59">
        <v>0.97162014245986938</v>
      </c>
      <c r="G59">
        <v>2.1184767277856129</v>
      </c>
      <c r="H59">
        <f t="shared" si="6"/>
        <v>935</v>
      </c>
      <c r="I59" s="18" t="str">
        <f t="shared" si="7"/>
        <v>stainless steel as the reactor material.</v>
      </c>
      <c r="J59" s="18" t="str">
        <f t="shared" si="2"/>
        <v>stainless steel</v>
      </c>
      <c r="K59">
        <f t="shared" si="8"/>
        <v>934</v>
      </c>
      <c r="L59" s="18" t="str">
        <f t="shared" si="9"/>
        <v>stainless steel as the reactor material.</v>
      </c>
      <c r="M59" s="18" t="str">
        <f t="shared" si="5"/>
        <v>stainless steel</v>
      </c>
    </row>
    <row r="60" spans="1:13" x14ac:dyDescent="0.3">
      <c r="A60" t="s">
        <v>1520</v>
      </c>
      <c r="B60" t="s">
        <v>1519</v>
      </c>
      <c r="C60" t="s">
        <v>1518</v>
      </c>
      <c r="D60">
        <v>0.98650747537612915</v>
      </c>
      <c r="E60">
        <v>0.98651766777038574</v>
      </c>
      <c r="F60">
        <v>0.98651260137557983</v>
      </c>
      <c r="G60">
        <v>0.39347675225537809</v>
      </c>
      <c r="H60">
        <f t="shared" si="6"/>
        <v>951</v>
      </c>
      <c r="I60" s="18" t="str">
        <f t="shared" si="7"/>
        <v>stainless steel as the reactor material.</v>
      </c>
      <c r="J60" s="18" t="str">
        <f t="shared" si="2"/>
        <v>stainless steel</v>
      </c>
      <c r="K60">
        <f t="shared" si="8"/>
        <v>951</v>
      </c>
      <c r="L60" s="18" t="str">
        <f t="shared" si="9"/>
        <v>stainless steel as the reactor material.</v>
      </c>
      <c r="M60" s="18" t="str">
        <f t="shared" si="5"/>
        <v>stainless steel</v>
      </c>
    </row>
    <row r="61" spans="1:13" x14ac:dyDescent="0.3">
      <c r="A61" t="s">
        <v>1517</v>
      </c>
      <c r="B61" t="s">
        <v>1516</v>
      </c>
      <c r="C61" t="s">
        <v>1515</v>
      </c>
      <c r="D61">
        <v>0.98804187774658203</v>
      </c>
      <c r="E61">
        <v>0.98782801628112793</v>
      </c>
      <c r="F61">
        <v>0.98793494701385498</v>
      </c>
      <c r="G61">
        <v>0.26918011195258479</v>
      </c>
      <c r="H61">
        <f t="shared" si="6"/>
        <v>934</v>
      </c>
      <c r="I61" s="18" t="str">
        <f t="shared" si="7"/>
        <v>stainless steel as the reactor material.</v>
      </c>
      <c r="J61" s="18" t="str">
        <f t="shared" si="2"/>
        <v>stainless steel</v>
      </c>
      <c r="K61">
        <f t="shared" si="8"/>
        <v>934</v>
      </c>
      <c r="L61" s="18" t="str">
        <f t="shared" si="9"/>
        <v>stainless steel as the reactor material.</v>
      </c>
      <c r="M61" s="18" t="str">
        <f t="shared" si="5"/>
        <v>stainless steel</v>
      </c>
    </row>
    <row r="62" spans="1:13" x14ac:dyDescent="0.3">
      <c r="A62" t="s">
        <v>1514</v>
      </c>
      <c r="B62" t="s">
        <v>1513</v>
      </c>
      <c r="C62" t="s">
        <v>1512</v>
      </c>
      <c r="D62">
        <v>0.98444831371307373</v>
      </c>
      <c r="E62">
        <v>0.98439651727676392</v>
      </c>
      <c r="F62">
        <v>0.98442238569259644</v>
      </c>
      <c r="G62">
        <v>8.3037865164727012E-2</v>
      </c>
      <c r="H62">
        <f t="shared" si="6"/>
        <v>1354</v>
      </c>
      <c r="I62" s="18" t="str">
        <f t="shared" si="7"/>
        <v>stainless steel as the reactor material.</v>
      </c>
      <c r="J62" s="18" t="str">
        <f t="shared" si="2"/>
        <v>stainless steel</v>
      </c>
      <c r="K62">
        <f t="shared" si="8"/>
        <v>1342</v>
      </c>
      <c r="L62" s="18" t="str">
        <f t="shared" si="9"/>
        <v>stainless steel as the reactor material.</v>
      </c>
      <c r="M62" s="18" t="str">
        <f t="shared" si="5"/>
        <v>stainless steel</v>
      </c>
    </row>
    <row r="63" spans="1:13" x14ac:dyDescent="0.3">
      <c r="A63" t="s">
        <v>1511</v>
      </c>
      <c r="B63" t="s">
        <v>2156</v>
      </c>
      <c r="C63" t="s">
        <v>1510</v>
      </c>
      <c r="D63">
        <v>0.99157977104187012</v>
      </c>
      <c r="E63">
        <v>0.99174487590789795</v>
      </c>
      <c r="F63">
        <v>0.99166232347488403</v>
      </c>
      <c r="G63">
        <v>2.0144543384722331E-2</v>
      </c>
      <c r="H63">
        <f t="shared" si="6"/>
        <v>1432</v>
      </c>
      <c r="I63" s="18" t="str">
        <f t="shared" si="7"/>
        <v>stainless steel as the reactor material.</v>
      </c>
      <c r="J63" s="18" t="str">
        <f t="shared" si="2"/>
        <v>stainless steel</v>
      </c>
      <c r="K63">
        <f t="shared" si="8"/>
        <v>1432</v>
      </c>
      <c r="L63" s="18" t="str">
        <f t="shared" si="9"/>
        <v>stainless steel as the reactor material.</v>
      </c>
      <c r="M63" s="18" t="str">
        <f t="shared" si="5"/>
        <v>stainless steel</v>
      </c>
    </row>
    <row r="64" spans="1:13" x14ac:dyDescent="0.3">
      <c r="A64" t="s">
        <v>1509</v>
      </c>
      <c r="B64" t="s">
        <v>2155</v>
      </c>
      <c r="C64" t="s">
        <v>1508</v>
      </c>
      <c r="D64">
        <v>0.98253035545349121</v>
      </c>
      <c r="E64">
        <v>0.98190349340438843</v>
      </c>
      <c r="F64">
        <v>0.98221677541732788</v>
      </c>
      <c r="G64">
        <v>1.006974484050409E-4</v>
      </c>
      <c r="H64">
        <f t="shared" si="6"/>
        <v>1441</v>
      </c>
      <c r="I64" s="18" t="str">
        <f t="shared" si="7"/>
        <v>stainless steel as the reactor material.</v>
      </c>
      <c r="J64" s="18" t="str">
        <f t="shared" si="2"/>
        <v>stainless steel</v>
      </c>
      <c r="K64">
        <f t="shared" si="8"/>
        <v>1441</v>
      </c>
      <c r="L64" s="18" t="str">
        <f t="shared" si="9"/>
        <v>stainless steel as the reactor material.</v>
      </c>
      <c r="M64" s="18" t="str">
        <f t="shared" si="5"/>
        <v>stainless steel</v>
      </c>
    </row>
    <row r="65" spans="1:13" x14ac:dyDescent="0.3">
      <c r="A65" t="s">
        <v>1507</v>
      </c>
      <c r="B65" t="s">
        <v>2154</v>
      </c>
      <c r="C65" t="s">
        <v>1506</v>
      </c>
      <c r="D65">
        <v>0.98475760221481323</v>
      </c>
      <c r="E65">
        <v>0.98432612419128418</v>
      </c>
      <c r="F65">
        <v>0.98454177379608154</v>
      </c>
      <c r="G65">
        <v>0.12238281975969199</v>
      </c>
      <c r="H65">
        <f t="shared" si="6"/>
        <v>1363</v>
      </c>
      <c r="I65" s="18" t="str">
        <f t="shared" si="7"/>
        <v>stainless steel as the reactor material.</v>
      </c>
      <c r="J65" s="18" t="str">
        <f t="shared" si="2"/>
        <v>stainless steel</v>
      </c>
      <c r="K65">
        <f t="shared" si="8"/>
        <v>1361</v>
      </c>
      <c r="L65" s="18" t="str">
        <f t="shared" si="9"/>
        <v>stainless steel as the reactor material.</v>
      </c>
      <c r="M65" s="18" t="str">
        <f t="shared" si="5"/>
        <v>stainless steel</v>
      </c>
    </row>
    <row r="66" spans="1:13" x14ac:dyDescent="0.3">
      <c r="A66" t="s">
        <v>1505</v>
      </c>
      <c r="B66" t="s">
        <v>2153</v>
      </c>
      <c r="C66" t="s">
        <v>1504</v>
      </c>
      <c r="D66">
        <v>0.97776710987091064</v>
      </c>
      <c r="E66">
        <v>0.97743630409240723</v>
      </c>
      <c r="F66">
        <v>0.97760164737701416</v>
      </c>
      <c r="G66">
        <v>1.021442902405034E-2</v>
      </c>
      <c r="H66">
        <f t="shared" si="6"/>
        <v>1448</v>
      </c>
      <c r="I66" s="18" t="str">
        <f t="shared" si="7"/>
        <v>stainless steel as the reactor material.</v>
      </c>
      <c r="J66" s="18" t="str">
        <f t="shared" si="2"/>
        <v>stainless steel</v>
      </c>
      <c r="K66">
        <f t="shared" si="8"/>
        <v>1447</v>
      </c>
      <c r="L66" s="18" t="str">
        <f t="shared" si="9"/>
        <v>stainless steel as the reactor material.</v>
      </c>
      <c r="M66" s="18" t="str">
        <f t="shared" si="5"/>
        <v>stainless steel</v>
      </c>
    </row>
    <row r="67" spans="1:13" x14ac:dyDescent="0.3">
      <c r="A67" t="s">
        <v>1503</v>
      </c>
      <c r="B67" t="s">
        <v>2152</v>
      </c>
      <c r="C67" t="s">
        <v>1502</v>
      </c>
      <c r="D67">
        <v>0.9752470850944519</v>
      </c>
      <c r="E67">
        <v>0.97429239749908447</v>
      </c>
      <c r="F67">
        <v>0.97476953268051147</v>
      </c>
      <c r="G67">
        <v>0.21021381860356381</v>
      </c>
      <c r="H67">
        <f t="shared" si="6"/>
        <v>1361</v>
      </c>
      <c r="I67" s="18" t="str">
        <f t="shared" si="7"/>
        <v>stainless steel as the reactor material.</v>
      </c>
      <c r="J67" s="18" t="str">
        <f t="shared" ref="J67:J89" si="10">LEFT(I67,FIND(" ",I67,FIND(" ",I67)+1)-1)</f>
        <v>stainless steel</v>
      </c>
      <c r="K67">
        <f t="shared" si="8"/>
        <v>1361</v>
      </c>
      <c r="L67" s="18" t="str">
        <f t="shared" si="9"/>
        <v>stainless steel as the reactor material.</v>
      </c>
      <c r="M67" s="18" t="str">
        <f t="shared" ref="M67:M89" si="11">LEFT(L67,FIND(" ",L67,FIND(" ",L67)+1)-1)</f>
        <v>stainless steel</v>
      </c>
    </row>
    <row r="68" spans="1:13" x14ac:dyDescent="0.3">
      <c r="A68" t="s">
        <v>1501</v>
      </c>
      <c r="B68" t="s">
        <v>2151</v>
      </c>
      <c r="C68" t="s">
        <v>1500</v>
      </c>
      <c r="D68">
        <v>0.97923439741134644</v>
      </c>
      <c r="E68">
        <v>0.98062670230865479</v>
      </c>
      <c r="F68">
        <v>0.97993004322052002</v>
      </c>
      <c r="G68">
        <v>3.9945556392383197E-3</v>
      </c>
      <c r="H68">
        <f t="shared" si="6"/>
        <v>1437</v>
      </c>
      <c r="I68" s="18" t="str">
        <f t="shared" si="7"/>
        <v>stainless steel as the reactor material.</v>
      </c>
      <c r="J68" s="18" t="str">
        <f t="shared" si="10"/>
        <v>stainless steel</v>
      </c>
      <c r="K68">
        <f t="shared" si="8"/>
        <v>1438</v>
      </c>
      <c r="L68" s="18" t="str">
        <f t="shared" si="9"/>
        <v>stainless steel as the reactor material.</v>
      </c>
      <c r="M68" s="18" t="str">
        <f t="shared" si="11"/>
        <v>stainless steel</v>
      </c>
    </row>
    <row r="69" spans="1:13" x14ac:dyDescent="0.3">
      <c r="A69" t="s">
        <v>1499</v>
      </c>
      <c r="B69" t="s">
        <v>2150</v>
      </c>
      <c r="C69" t="s">
        <v>1498</v>
      </c>
      <c r="D69">
        <v>0.9868549108505249</v>
      </c>
      <c r="E69">
        <v>0.98726224899291992</v>
      </c>
      <c r="F69">
        <v>0.98705852031707764</v>
      </c>
      <c r="G69">
        <v>8.6419801715003942E-3</v>
      </c>
      <c r="H69">
        <f t="shared" si="6"/>
        <v>1354</v>
      </c>
      <c r="I69" s="18" t="str">
        <f t="shared" si="7"/>
        <v>stainless steel as the reactor material.</v>
      </c>
      <c r="J69" s="18" t="str">
        <f t="shared" si="10"/>
        <v>stainless steel</v>
      </c>
      <c r="K69">
        <f t="shared" si="8"/>
        <v>1352</v>
      </c>
      <c r="L69" s="18" t="str">
        <f t="shared" si="9"/>
        <v>stainless steel as the reactor material.</v>
      </c>
      <c r="M69" s="18" t="str">
        <f t="shared" si="11"/>
        <v>stainless steel</v>
      </c>
    </row>
    <row r="70" spans="1:13" x14ac:dyDescent="0.3">
      <c r="A70" t="s">
        <v>1497</v>
      </c>
      <c r="B70" t="s">
        <v>2149</v>
      </c>
      <c r="C70" t="s">
        <v>1496</v>
      </c>
      <c r="D70">
        <v>0.98607945442199707</v>
      </c>
      <c r="E70">
        <v>0.98570418357849121</v>
      </c>
      <c r="F70">
        <v>0.98589181900024414</v>
      </c>
      <c r="G70">
        <v>0.98293558757421362</v>
      </c>
      <c r="H70">
        <f t="shared" si="6"/>
        <v>1348</v>
      </c>
      <c r="I70" s="18" t="str">
        <f t="shared" si="7"/>
        <v>stainless steel as the reactor material.</v>
      </c>
      <c r="J70" s="18" t="str">
        <f t="shared" si="10"/>
        <v>stainless steel</v>
      </c>
      <c r="K70">
        <f t="shared" si="8"/>
        <v>1348</v>
      </c>
      <c r="L70" s="18" t="str">
        <f t="shared" si="9"/>
        <v>stainless steel as the reactor material.</v>
      </c>
      <c r="M70" s="18" t="str">
        <f t="shared" si="11"/>
        <v>stainless steel</v>
      </c>
    </row>
    <row r="71" spans="1:13" x14ac:dyDescent="0.3">
      <c r="A71" t="s">
        <v>1495</v>
      </c>
      <c r="B71" t="s">
        <v>2148</v>
      </c>
      <c r="C71" t="s">
        <v>1494</v>
      </c>
      <c r="D71">
        <v>0.94277119636535645</v>
      </c>
      <c r="E71">
        <v>0.94266438484191895</v>
      </c>
      <c r="F71">
        <v>0.9427177906036377</v>
      </c>
      <c r="G71">
        <v>4.85604314635237E-2</v>
      </c>
      <c r="H71">
        <f t="shared" si="6"/>
        <v>1389</v>
      </c>
      <c r="I71" s="18" t="str">
        <f t="shared" si="7"/>
        <v>stainless steel as the reactor material.</v>
      </c>
      <c r="J71" s="18" t="str">
        <f t="shared" si="10"/>
        <v>stainless steel</v>
      </c>
      <c r="K71">
        <f t="shared" si="8"/>
        <v>1359</v>
      </c>
      <c r="L71" s="18" t="str">
        <f t="shared" si="9"/>
        <v>stainless steel as the reactor material.</v>
      </c>
      <c r="M71" s="18" t="str">
        <f t="shared" si="11"/>
        <v>stainless steel</v>
      </c>
    </row>
    <row r="72" spans="1:13" x14ac:dyDescent="0.3">
      <c r="A72" t="s">
        <v>1493</v>
      </c>
      <c r="B72" t="s">
        <v>2147</v>
      </c>
      <c r="C72" t="s">
        <v>1492</v>
      </c>
      <c r="D72">
        <v>0.96729481220245361</v>
      </c>
      <c r="E72">
        <v>0.96829211711883545</v>
      </c>
      <c r="F72">
        <v>0.96779322624206543</v>
      </c>
      <c r="G72">
        <v>0.94858618659678307</v>
      </c>
      <c r="H72">
        <f t="shared" si="6"/>
        <v>1350</v>
      </c>
      <c r="I72" s="18" t="str">
        <f t="shared" si="7"/>
        <v>stainless steel as the reactor material.</v>
      </c>
      <c r="J72" s="18" t="str">
        <f t="shared" si="10"/>
        <v>stainless steel</v>
      </c>
      <c r="K72">
        <f t="shared" si="8"/>
        <v>1355</v>
      </c>
      <c r="L72" s="18" t="str">
        <f t="shared" si="9"/>
        <v>stainless steel as the reactor material.</v>
      </c>
      <c r="M72" s="18" t="str">
        <f t="shared" si="11"/>
        <v>stainless steel</v>
      </c>
    </row>
    <row r="73" spans="1:13" x14ac:dyDescent="0.3">
      <c r="A73" t="s">
        <v>1491</v>
      </c>
      <c r="B73" t="s">
        <v>2146</v>
      </c>
      <c r="C73" t="s">
        <v>1490</v>
      </c>
      <c r="D73">
        <v>0.99290990829467773</v>
      </c>
      <c r="E73">
        <v>0.99307042360305786</v>
      </c>
      <c r="F73">
        <v>0.99299019575119019</v>
      </c>
      <c r="G73">
        <v>3.643448471118145E-3</v>
      </c>
      <c r="H73">
        <f t="shared" si="6"/>
        <v>1429</v>
      </c>
      <c r="I73" s="18" t="str">
        <f t="shared" si="7"/>
        <v>stainless steel as the reactor material.</v>
      </c>
      <c r="J73" s="18" t="str">
        <f t="shared" si="10"/>
        <v>stainless steel</v>
      </c>
      <c r="K73">
        <f t="shared" si="8"/>
        <v>1434</v>
      </c>
      <c r="L73" s="18" t="str">
        <f t="shared" si="9"/>
        <v>stainless steel as the reactor material.</v>
      </c>
      <c r="M73" s="18" t="str">
        <f t="shared" si="11"/>
        <v>stainless steel</v>
      </c>
    </row>
    <row r="74" spans="1:13" x14ac:dyDescent="0.3">
      <c r="A74" t="s">
        <v>1489</v>
      </c>
      <c r="B74" t="s">
        <v>2145</v>
      </c>
      <c r="C74" t="s">
        <v>1488</v>
      </c>
      <c r="D74">
        <v>0.99304819107055664</v>
      </c>
      <c r="E74">
        <v>0.99315512180328369</v>
      </c>
      <c r="F74">
        <v>0.99310165643692017</v>
      </c>
      <c r="G74">
        <v>4.1008542898125208E-2</v>
      </c>
      <c r="H74">
        <f t="shared" si="6"/>
        <v>1435</v>
      </c>
      <c r="I74" s="18" t="str">
        <f t="shared" si="7"/>
        <v>stainless steel as the reactor material.</v>
      </c>
      <c r="J74" s="18" t="str">
        <f t="shared" si="10"/>
        <v>stainless steel</v>
      </c>
      <c r="K74">
        <f t="shared" si="8"/>
        <v>1435</v>
      </c>
      <c r="L74" s="18" t="str">
        <f t="shared" si="9"/>
        <v>stainless steel as the reactor material.</v>
      </c>
      <c r="M74" s="18" t="str">
        <f t="shared" si="11"/>
        <v>stainless steel</v>
      </c>
    </row>
    <row r="75" spans="1:13" x14ac:dyDescent="0.3">
      <c r="A75" t="s">
        <v>1487</v>
      </c>
      <c r="B75" t="s">
        <v>2144</v>
      </c>
      <c r="C75" t="s">
        <v>1486</v>
      </c>
      <c r="D75">
        <v>0.97997581958770752</v>
      </c>
      <c r="E75">
        <v>0.98080241680145264</v>
      </c>
      <c r="F75">
        <v>0.98038893938064575</v>
      </c>
      <c r="G75">
        <v>5.8837381067623672E-2</v>
      </c>
      <c r="H75">
        <f t="shared" si="6"/>
        <v>1359</v>
      </c>
      <c r="I75" s="18" t="str">
        <f t="shared" si="7"/>
        <v>stainless steel as the reactor material.</v>
      </c>
      <c r="J75" s="18" t="str">
        <f t="shared" si="10"/>
        <v>stainless steel</v>
      </c>
      <c r="K75">
        <f t="shared" si="8"/>
        <v>1355</v>
      </c>
      <c r="L75" s="18" t="str">
        <f t="shared" si="9"/>
        <v>stainless steel as the reactor material.</v>
      </c>
      <c r="M75" s="18" t="str">
        <f t="shared" si="11"/>
        <v>stainless steel</v>
      </c>
    </row>
    <row r="76" spans="1:13" x14ac:dyDescent="0.3">
      <c r="A76" t="s">
        <v>1485</v>
      </c>
      <c r="B76" t="s">
        <v>2143</v>
      </c>
      <c r="C76" t="s">
        <v>1484</v>
      </c>
      <c r="D76">
        <v>0.99750876426696777</v>
      </c>
      <c r="E76">
        <v>0.99782657623291016</v>
      </c>
      <c r="F76">
        <v>0.99766767024993896</v>
      </c>
      <c r="G76">
        <v>1.5637431471715211E-3</v>
      </c>
      <c r="H76">
        <f t="shared" ref="H76:H89" si="12">FIND("using",B76)</f>
        <v>1436</v>
      </c>
      <c r="I76" s="18" t="str">
        <f t="shared" ref="I76:I89" si="13">MID(B76,H76+LEN("using "),LEN(B76))</f>
        <v>stainless steel as the reactor material.</v>
      </c>
      <c r="J76" s="18" t="str">
        <f t="shared" si="10"/>
        <v>stainless steel</v>
      </c>
      <c r="K76">
        <f t="shared" ref="K76:K89" si="14">FIND("using",C76)</f>
        <v>1438</v>
      </c>
      <c r="L76" s="18" t="str">
        <f t="shared" ref="L76:L89" si="15">MID(C76,K76+LEN("using "),LEN(C76))</f>
        <v>stainless steel as the reactor material.</v>
      </c>
      <c r="M76" s="18" t="str">
        <f t="shared" si="11"/>
        <v>stainless steel</v>
      </c>
    </row>
    <row r="77" spans="1:13" x14ac:dyDescent="0.3">
      <c r="A77" t="s">
        <v>1483</v>
      </c>
      <c r="B77" t="s">
        <v>2142</v>
      </c>
      <c r="C77" t="s">
        <v>1482</v>
      </c>
      <c r="D77">
        <v>0.99634075164794922</v>
      </c>
      <c r="E77">
        <v>0.99634075164794922</v>
      </c>
      <c r="F77">
        <v>0.99634075164794922</v>
      </c>
      <c r="G77">
        <v>3.1016847900672481E-2</v>
      </c>
      <c r="H77">
        <f t="shared" si="12"/>
        <v>1433</v>
      </c>
      <c r="I77" s="18" t="str">
        <f t="shared" si="13"/>
        <v>stainless steel as the reactor material.</v>
      </c>
      <c r="J77" s="18" t="str">
        <f t="shared" si="10"/>
        <v>stainless steel</v>
      </c>
      <c r="K77">
        <f t="shared" si="14"/>
        <v>1434</v>
      </c>
      <c r="L77" s="18" t="str">
        <f t="shared" si="15"/>
        <v>stainless steel as the reactor material.</v>
      </c>
      <c r="M77" s="18" t="str">
        <f t="shared" si="11"/>
        <v>stainless steel</v>
      </c>
    </row>
    <row r="78" spans="1:13" x14ac:dyDescent="0.3">
      <c r="A78" t="s">
        <v>1481</v>
      </c>
      <c r="B78" t="s">
        <v>2141</v>
      </c>
      <c r="C78" t="s">
        <v>1480</v>
      </c>
      <c r="D78">
        <v>0.96561801433563232</v>
      </c>
      <c r="E78">
        <v>0.9666169285774231</v>
      </c>
      <c r="F78">
        <v>0.96611714363098145</v>
      </c>
      <c r="G78">
        <v>0.12876465284039679</v>
      </c>
      <c r="H78">
        <f t="shared" si="12"/>
        <v>1356</v>
      </c>
      <c r="I78" s="18" t="str">
        <f t="shared" si="13"/>
        <v>stainless steel as the reactor material.</v>
      </c>
      <c r="J78" s="18" t="str">
        <f t="shared" si="10"/>
        <v>stainless steel</v>
      </c>
      <c r="K78">
        <f t="shared" si="14"/>
        <v>1356</v>
      </c>
      <c r="L78" s="18" t="str">
        <f t="shared" si="15"/>
        <v>stainless steel as the reactor material.</v>
      </c>
      <c r="M78" s="18" t="str">
        <f t="shared" si="11"/>
        <v>stainless steel</v>
      </c>
    </row>
    <row r="79" spans="1:13" x14ac:dyDescent="0.3">
      <c r="A79" t="s">
        <v>1479</v>
      </c>
      <c r="B79" t="s">
        <v>2140</v>
      </c>
      <c r="C79" t="s">
        <v>1478</v>
      </c>
      <c r="D79">
        <v>0.98491239547729492</v>
      </c>
      <c r="E79">
        <v>0.98347461223602295</v>
      </c>
      <c r="F79">
        <v>0.98419296741485596</v>
      </c>
      <c r="G79">
        <v>1.40926719520239E-2</v>
      </c>
      <c r="H79">
        <f t="shared" si="12"/>
        <v>1434</v>
      </c>
      <c r="I79" s="18" t="str">
        <f t="shared" si="13"/>
        <v>stainless steel as the reactor material.</v>
      </c>
      <c r="J79" s="18" t="str">
        <f t="shared" si="10"/>
        <v>stainless steel</v>
      </c>
      <c r="K79">
        <f t="shared" si="14"/>
        <v>1438</v>
      </c>
      <c r="L79" s="18" t="str">
        <f t="shared" si="15"/>
        <v>stainless steel as the reactor material.</v>
      </c>
      <c r="M79" s="18" t="str">
        <f t="shared" si="11"/>
        <v>stainless steel</v>
      </c>
    </row>
    <row r="80" spans="1:13" x14ac:dyDescent="0.3">
      <c r="A80" t="s">
        <v>1477</v>
      </c>
      <c r="B80" t="s">
        <v>2139</v>
      </c>
      <c r="C80" t="s">
        <v>1476</v>
      </c>
      <c r="D80">
        <v>0.96079480648040771</v>
      </c>
      <c r="E80">
        <v>0.96210217475891113</v>
      </c>
      <c r="F80">
        <v>0.96144801378250122</v>
      </c>
      <c r="G80">
        <v>0.19206492335437311</v>
      </c>
      <c r="H80">
        <f t="shared" si="12"/>
        <v>1358</v>
      </c>
      <c r="I80" s="18" t="str">
        <f t="shared" si="13"/>
        <v>stainless steel as the reactor material.</v>
      </c>
      <c r="J80" s="18" t="str">
        <f t="shared" si="10"/>
        <v>stainless steel</v>
      </c>
      <c r="K80">
        <f t="shared" si="14"/>
        <v>1356</v>
      </c>
      <c r="L80" s="18" t="str">
        <f t="shared" si="15"/>
        <v>stainless steel as the reactor material.</v>
      </c>
      <c r="M80" s="18" t="str">
        <f t="shared" si="11"/>
        <v>stainless steel</v>
      </c>
    </row>
    <row r="81" spans="1:13" x14ac:dyDescent="0.3">
      <c r="A81" t="s">
        <v>1475</v>
      </c>
      <c r="B81" t="s">
        <v>2138</v>
      </c>
      <c r="C81" t="s">
        <v>1474</v>
      </c>
      <c r="D81">
        <v>0.99627625942230225</v>
      </c>
      <c r="E81">
        <v>0.99627625942230225</v>
      </c>
      <c r="F81">
        <v>0.99627625942230225</v>
      </c>
      <c r="G81">
        <v>2.5195739866401929E-3</v>
      </c>
      <c r="H81">
        <f t="shared" si="12"/>
        <v>1438</v>
      </c>
      <c r="I81" s="18" t="str">
        <f t="shared" si="13"/>
        <v>stainless steel as the reactor material.</v>
      </c>
      <c r="J81" s="18" t="str">
        <f t="shared" si="10"/>
        <v>stainless steel</v>
      </c>
      <c r="K81">
        <f t="shared" si="14"/>
        <v>1436</v>
      </c>
      <c r="L81" s="18" t="str">
        <f t="shared" si="15"/>
        <v>stainless steel as the reactor material.</v>
      </c>
      <c r="M81" s="18" t="str">
        <f t="shared" si="11"/>
        <v>stainless steel</v>
      </c>
    </row>
    <row r="82" spans="1:13" x14ac:dyDescent="0.3">
      <c r="A82" t="s">
        <v>1473</v>
      </c>
      <c r="B82" t="s">
        <v>2137</v>
      </c>
      <c r="C82" t="s">
        <v>1472</v>
      </c>
      <c r="D82">
        <v>0.96475553512573242</v>
      </c>
      <c r="E82">
        <v>0.96213340759277344</v>
      </c>
      <c r="F82">
        <v>0.96344268321990967</v>
      </c>
      <c r="G82">
        <v>1.9843018235656412E-2</v>
      </c>
      <c r="H82">
        <f t="shared" si="12"/>
        <v>1417</v>
      </c>
      <c r="I82" s="18" t="str">
        <f t="shared" si="13"/>
        <v>stainless steel as the reactor material.</v>
      </c>
      <c r="J82" s="18" t="str">
        <f t="shared" si="10"/>
        <v>stainless steel</v>
      </c>
      <c r="K82">
        <f t="shared" si="14"/>
        <v>1429</v>
      </c>
      <c r="L82" s="18" t="str">
        <f t="shared" si="15"/>
        <v>stainless steel as the reactor material.</v>
      </c>
      <c r="M82" s="18" t="str">
        <f t="shared" si="11"/>
        <v>stainless steel</v>
      </c>
    </row>
    <row r="83" spans="1:13" x14ac:dyDescent="0.3">
      <c r="A83" t="s">
        <v>1471</v>
      </c>
      <c r="B83" t="s">
        <v>2136</v>
      </c>
      <c r="C83" t="s">
        <v>1470</v>
      </c>
      <c r="D83">
        <v>0.99257206916809082</v>
      </c>
      <c r="E83">
        <v>0.99215555191040039</v>
      </c>
      <c r="F83">
        <v>0.99236381053924561</v>
      </c>
      <c r="G83">
        <v>0.10558673007912291</v>
      </c>
      <c r="H83">
        <f t="shared" si="12"/>
        <v>1359</v>
      </c>
      <c r="I83" s="18" t="str">
        <f t="shared" si="13"/>
        <v>stainless steel as the reactor material.</v>
      </c>
      <c r="J83" s="18" t="str">
        <f t="shared" si="10"/>
        <v>stainless steel</v>
      </c>
      <c r="K83">
        <f t="shared" si="14"/>
        <v>1359</v>
      </c>
      <c r="L83" s="18" t="str">
        <f t="shared" si="15"/>
        <v>stainless steel as the reactor material.</v>
      </c>
      <c r="M83" s="18" t="str">
        <f t="shared" si="11"/>
        <v>stainless steel</v>
      </c>
    </row>
    <row r="84" spans="1:13" x14ac:dyDescent="0.3">
      <c r="A84" t="s">
        <v>1469</v>
      </c>
      <c r="B84" t="s">
        <v>2135</v>
      </c>
      <c r="C84" t="s">
        <v>1468</v>
      </c>
      <c r="D84">
        <v>0.98378950357437134</v>
      </c>
      <c r="E84">
        <v>0.98471760749816895</v>
      </c>
      <c r="F84">
        <v>0.98425334692001343</v>
      </c>
      <c r="G84">
        <v>2.3598095470226631E-2</v>
      </c>
      <c r="H84">
        <f t="shared" si="12"/>
        <v>1438</v>
      </c>
      <c r="I84" s="18" t="str">
        <f t="shared" si="13"/>
        <v>stainless steel as the reactor material.</v>
      </c>
      <c r="J84" s="18" t="str">
        <f t="shared" si="10"/>
        <v>stainless steel</v>
      </c>
      <c r="K84">
        <f t="shared" si="14"/>
        <v>1432</v>
      </c>
      <c r="L84" s="18" t="str">
        <f t="shared" si="15"/>
        <v>stainless steel as the reactor material.</v>
      </c>
      <c r="M84" s="18" t="str">
        <f t="shared" si="11"/>
        <v>stainless steel</v>
      </c>
    </row>
    <row r="85" spans="1:13" x14ac:dyDescent="0.3">
      <c r="A85" t="s">
        <v>1467</v>
      </c>
      <c r="B85" t="s">
        <v>2134</v>
      </c>
      <c r="C85" t="s">
        <v>1466</v>
      </c>
      <c r="D85">
        <v>0.99950629472732544</v>
      </c>
      <c r="E85">
        <v>0.99950629472732544</v>
      </c>
      <c r="F85">
        <v>0.99950629472732544</v>
      </c>
      <c r="G85">
        <v>2.8292340217083069E-2</v>
      </c>
      <c r="H85">
        <f t="shared" si="12"/>
        <v>1434</v>
      </c>
      <c r="I85" s="18" t="str">
        <f t="shared" si="13"/>
        <v>stainless steel as the reactor material.</v>
      </c>
      <c r="J85" s="18" t="str">
        <f t="shared" si="10"/>
        <v>stainless steel</v>
      </c>
      <c r="K85">
        <f t="shared" si="14"/>
        <v>1432</v>
      </c>
      <c r="L85" s="18" t="str">
        <f t="shared" si="15"/>
        <v>stainless steel as the reactor material.</v>
      </c>
      <c r="M85" s="18" t="str">
        <f t="shared" si="11"/>
        <v>stainless steel</v>
      </c>
    </row>
    <row r="86" spans="1:13" x14ac:dyDescent="0.3">
      <c r="A86" t="s">
        <v>1465</v>
      </c>
      <c r="B86" t="s">
        <v>2133</v>
      </c>
      <c r="C86" t="s">
        <v>1464</v>
      </c>
      <c r="D86">
        <v>0.98238897323608398</v>
      </c>
      <c r="E86">
        <v>0.98169136047363281</v>
      </c>
      <c r="F86">
        <v>0.98204004764556885</v>
      </c>
      <c r="G86">
        <v>0.89871213062829669</v>
      </c>
      <c r="H86">
        <f t="shared" si="12"/>
        <v>1433</v>
      </c>
      <c r="I86" s="18" t="str">
        <f t="shared" si="13"/>
        <v>stainless steel as the reactor material.</v>
      </c>
      <c r="J86" s="18" t="str">
        <f t="shared" si="10"/>
        <v>stainless steel</v>
      </c>
      <c r="K86">
        <f t="shared" si="14"/>
        <v>1439</v>
      </c>
      <c r="L86" s="18" t="str">
        <f t="shared" si="15"/>
        <v>stainless steel as the reactor material.</v>
      </c>
      <c r="M86" s="18" t="str">
        <f t="shared" si="11"/>
        <v>stainless steel</v>
      </c>
    </row>
    <row r="87" spans="1:13" x14ac:dyDescent="0.3">
      <c r="A87" t="s">
        <v>1463</v>
      </c>
      <c r="B87" t="s">
        <v>2132</v>
      </c>
      <c r="C87" t="s">
        <v>1462</v>
      </c>
      <c r="D87">
        <v>0.98999971151351929</v>
      </c>
      <c r="E87">
        <v>0.98958766460418701</v>
      </c>
      <c r="F87">
        <v>0.98979365825653076</v>
      </c>
      <c r="G87">
        <v>7.774632741204361E-3</v>
      </c>
      <c r="H87">
        <f t="shared" si="12"/>
        <v>1446</v>
      </c>
      <c r="I87" s="18" t="str">
        <f t="shared" si="13"/>
        <v>stainless steel as the reactor material.</v>
      </c>
      <c r="J87" s="18" t="str">
        <f t="shared" si="10"/>
        <v>stainless steel</v>
      </c>
      <c r="K87">
        <f t="shared" si="14"/>
        <v>1442</v>
      </c>
      <c r="L87" s="18" t="str">
        <f t="shared" si="15"/>
        <v>stainless steel as the reactor material.</v>
      </c>
      <c r="M87" s="18" t="str">
        <f t="shared" si="11"/>
        <v>stainless steel</v>
      </c>
    </row>
    <row r="88" spans="1:13" x14ac:dyDescent="0.3">
      <c r="A88" t="s">
        <v>1461</v>
      </c>
      <c r="B88" t="s">
        <v>2131</v>
      </c>
      <c r="C88" t="s">
        <v>1460</v>
      </c>
      <c r="D88">
        <v>0.97594630718231201</v>
      </c>
      <c r="E88">
        <v>0.97694611549377441</v>
      </c>
      <c r="F88">
        <v>0.97644591331481934</v>
      </c>
      <c r="G88">
        <v>2.520004491740525E-2</v>
      </c>
      <c r="H88">
        <f t="shared" si="12"/>
        <v>1432</v>
      </c>
      <c r="I88" s="18" t="str">
        <f t="shared" si="13"/>
        <v>stainless steel as the reactor material.</v>
      </c>
      <c r="J88" s="18" t="str">
        <f t="shared" si="10"/>
        <v>stainless steel</v>
      </c>
      <c r="K88">
        <f t="shared" si="14"/>
        <v>1430</v>
      </c>
      <c r="L88" s="18" t="str">
        <f t="shared" si="15"/>
        <v>stainless steel as the reactor material.</v>
      </c>
      <c r="M88" s="18" t="str">
        <f t="shared" si="11"/>
        <v>stainless steel</v>
      </c>
    </row>
    <row r="89" spans="1:13" x14ac:dyDescent="0.3">
      <c r="A89" t="s">
        <v>1459</v>
      </c>
      <c r="B89" t="s">
        <v>2130</v>
      </c>
      <c r="C89" t="s">
        <v>1458</v>
      </c>
      <c r="D89">
        <v>0.98814201354980469</v>
      </c>
      <c r="E89">
        <v>0.98857605457305908</v>
      </c>
      <c r="F89">
        <v>0.98835897445678711</v>
      </c>
      <c r="G89">
        <v>7.1571167860659229E-2</v>
      </c>
      <c r="H89">
        <f t="shared" si="12"/>
        <v>1366</v>
      </c>
      <c r="I89" s="18" t="str">
        <f t="shared" si="13"/>
        <v>stainless steel as the reactor material.</v>
      </c>
      <c r="J89" s="18" t="str">
        <f t="shared" si="10"/>
        <v>stainless steel</v>
      </c>
      <c r="K89">
        <f t="shared" si="14"/>
        <v>1367</v>
      </c>
      <c r="L89" s="18" t="str">
        <f t="shared" si="15"/>
        <v>stainless steel as the reactor material.</v>
      </c>
      <c r="M89" s="18" t="str">
        <f t="shared" si="11"/>
        <v>stainless steel</v>
      </c>
    </row>
    <row r="90" spans="1:13" x14ac:dyDescent="0.3">
      <c r="D90">
        <f>AVERAGE(D2:D89)</f>
        <v>0.97707310386679391</v>
      </c>
      <c r="E90">
        <f>AVERAGE(E2:E89)</f>
        <v>0.97747543183240027</v>
      </c>
      <c r="F90">
        <f>AVERAGE(F2:F89)</f>
        <v>0.97727257826111535</v>
      </c>
      <c r="G90">
        <f>AVERAGE(G2:G89)</f>
        <v>0.85670609354472438</v>
      </c>
    </row>
  </sheetData>
  <autoFilter ref="A1:G90" xr:uid="{45BFC3CF-CBD1-46EF-883E-F29307B32810}"/>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DD69-8B31-491D-BB4A-1C9AA73D219F}">
  <dimension ref="A1:N90"/>
  <sheetViews>
    <sheetView workbookViewId="0">
      <selection activeCell="I2" sqref="I2:N2"/>
    </sheetView>
  </sheetViews>
  <sheetFormatPr defaultRowHeight="14" x14ac:dyDescent="0.3"/>
  <cols>
    <col min="8" max="8" width="9" customWidth="1"/>
    <col min="10" max="10" width="16.25" customWidth="1"/>
    <col min="11" max="11" width="18.83203125" customWidth="1"/>
    <col min="13" max="13" width="16.08203125" customWidth="1"/>
  </cols>
  <sheetData>
    <row r="1" spans="1:14" x14ac:dyDescent="0.3">
      <c r="A1" s="1" t="s">
        <v>273</v>
      </c>
      <c r="B1" s="1" t="s">
        <v>272</v>
      </c>
      <c r="C1" s="1" t="s">
        <v>271</v>
      </c>
      <c r="D1" s="1" t="s">
        <v>270</v>
      </c>
      <c r="E1" s="1" t="s">
        <v>269</v>
      </c>
      <c r="F1" s="1" t="s">
        <v>268</v>
      </c>
      <c r="G1" s="1" t="s">
        <v>267</v>
      </c>
    </row>
    <row r="2" spans="1:14" x14ac:dyDescent="0.3">
      <c r="A2" t="s">
        <v>1774</v>
      </c>
      <c r="B2" t="s">
        <v>2246</v>
      </c>
      <c r="C2" t="s">
        <v>1351</v>
      </c>
      <c r="D2">
        <v>0.97924494743347168</v>
      </c>
      <c r="E2">
        <v>0.97878718376159668</v>
      </c>
      <c r="F2">
        <v>0.97901606559753418</v>
      </c>
      <c r="G2">
        <v>0.16936650591845681</v>
      </c>
      <c r="I2">
        <f>FIND("using",B2)</f>
        <v>1178</v>
      </c>
      <c r="J2" s="18" t="str">
        <f>MID(B2,I2+LEN("using "),LEN(B2))</f>
        <v>carbon steel as the reactor material.</v>
      </c>
      <c r="K2" s="18" t="str">
        <f>LEFT(J2,FIND(" ",J2,FIND(" ",J2)+1)-1)</f>
        <v>carbon steel</v>
      </c>
      <c r="L2">
        <f>FIND("using",C2)</f>
        <v>1179</v>
      </c>
      <c r="M2" s="18" t="str">
        <f>MID(C2,L2+LEN("using "),LEN(C2))</f>
        <v xml:space="preserve">carbon steel as the reactor material.
</v>
      </c>
      <c r="N2" s="18" t="str">
        <f>LEFT(M2,FIND(" ",M2,FIND(" ",M2)+1)-1)</f>
        <v>carbon steel</v>
      </c>
    </row>
    <row r="3" spans="1:14" x14ac:dyDescent="0.3">
      <c r="A3" t="s">
        <v>1773</v>
      </c>
      <c r="B3" t="s">
        <v>2245</v>
      </c>
      <c r="C3" t="s">
        <v>1349</v>
      </c>
      <c r="D3">
        <v>0.96420317888259888</v>
      </c>
      <c r="E3">
        <v>0.96290332078933716</v>
      </c>
      <c r="F3">
        <v>0.96355277299880981</v>
      </c>
      <c r="G3">
        <v>4.3984197071810369</v>
      </c>
      <c r="I3">
        <f t="shared" ref="I3:I66" si="0">FIND("using",B3)</f>
        <v>1172</v>
      </c>
      <c r="J3" s="18" t="str">
        <f t="shared" ref="J3:J66" si="1">MID(B3,I3+LEN("using "),LEN(B3))</f>
        <v>carbon steel as the reactor material.</v>
      </c>
      <c r="K3" s="18" t="str">
        <f t="shared" ref="K3:K66" si="2">LEFT(J3,FIND(" ",J3,FIND(" ",J3)+1)-1)</f>
        <v>carbon steel</v>
      </c>
      <c r="L3">
        <f t="shared" ref="L3:L66" si="3">FIND("using",C3)</f>
        <v>1170</v>
      </c>
      <c r="M3" s="18" t="str">
        <f t="shared" ref="M3:M66" si="4">MID(C3,L3+LEN("using "),LEN(C3))</f>
        <v xml:space="preserve">carbon steel as the reactor material.
</v>
      </c>
      <c r="N3" s="18" t="str">
        <f t="shared" ref="N3:N66" si="5">LEFT(M3,FIND(" ",M3,FIND(" ",M3)+1)-1)</f>
        <v>carbon steel</v>
      </c>
    </row>
    <row r="4" spans="1:14" x14ac:dyDescent="0.3">
      <c r="A4" t="s">
        <v>1772</v>
      </c>
      <c r="B4" t="s">
        <v>2244</v>
      </c>
      <c r="C4" t="s">
        <v>1347</v>
      </c>
      <c r="D4">
        <v>0.98619890213012695</v>
      </c>
      <c r="E4">
        <v>0.98629450798034668</v>
      </c>
      <c r="F4">
        <v>0.98624670505523682</v>
      </c>
      <c r="G4">
        <v>0.14520376856452449</v>
      </c>
      <c r="I4">
        <f t="shared" si="0"/>
        <v>1180</v>
      </c>
      <c r="J4" s="18" t="str">
        <f t="shared" si="1"/>
        <v>carbon steel as the reactor material.</v>
      </c>
      <c r="K4" s="18" t="str">
        <f t="shared" si="2"/>
        <v>carbon steel</v>
      </c>
      <c r="L4">
        <f t="shared" si="3"/>
        <v>1180</v>
      </c>
      <c r="M4" s="18" t="str">
        <f t="shared" si="4"/>
        <v xml:space="preserve">carbon steel as the reactor material.
</v>
      </c>
      <c r="N4" s="18" t="str">
        <f t="shared" si="5"/>
        <v>carbon steel</v>
      </c>
    </row>
    <row r="5" spans="1:14" x14ac:dyDescent="0.3">
      <c r="A5" t="s">
        <v>1771</v>
      </c>
      <c r="B5" t="s">
        <v>2243</v>
      </c>
      <c r="C5" t="s">
        <v>1345</v>
      </c>
      <c r="D5">
        <v>0.96928215026855469</v>
      </c>
      <c r="E5">
        <v>0.96816575527191162</v>
      </c>
      <c r="F5">
        <v>0.96872365474700928</v>
      </c>
      <c r="G5">
        <v>0.52651682386781729</v>
      </c>
      <c r="I5">
        <f t="shared" si="0"/>
        <v>1180</v>
      </c>
      <c r="J5" s="18" t="str">
        <f t="shared" si="1"/>
        <v>carbon steel as the reactor material.</v>
      </c>
      <c r="K5" s="18" t="str">
        <f t="shared" si="2"/>
        <v>carbon steel</v>
      </c>
      <c r="L5">
        <f t="shared" si="3"/>
        <v>1176</v>
      </c>
      <c r="M5" s="18" t="str">
        <f t="shared" si="4"/>
        <v xml:space="preserve">carbon steel as the reactor material.
</v>
      </c>
      <c r="N5" s="18" t="str">
        <f t="shared" si="5"/>
        <v>carbon steel</v>
      </c>
    </row>
    <row r="6" spans="1:14" x14ac:dyDescent="0.3">
      <c r="A6" t="s">
        <v>1770</v>
      </c>
      <c r="B6" t="s">
        <v>2242</v>
      </c>
      <c r="C6" t="s">
        <v>1343</v>
      </c>
      <c r="D6">
        <v>0.97287940979003906</v>
      </c>
      <c r="E6">
        <v>0.97191452980041504</v>
      </c>
      <c r="F6">
        <v>0.97239673137664795</v>
      </c>
      <c r="G6">
        <v>0.82496807595518329</v>
      </c>
      <c r="I6">
        <f t="shared" si="0"/>
        <v>1190</v>
      </c>
      <c r="J6" s="18" t="str">
        <f t="shared" si="1"/>
        <v>carbon steel as the reactor material.</v>
      </c>
      <c r="K6" s="18" t="str">
        <f t="shared" si="2"/>
        <v>carbon steel</v>
      </c>
      <c r="L6">
        <f t="shared" si="3"/>
        <v>1186</v>
      </c>
      <c r="M6" s="18" t="str">
        <f t="shared" si="4"/>
        <v xml:space="preserve">carbon steel as the reactor material.
</v>
      </c>
      <c r="N6" s="18" t="str">
        <f t="shared" si="5"/>
        <v>carbon steel</v>
      </c>
    </row>
    <row r="7" spans="1:14" x14ac:dyDescent="0.3">
      <c r="A7" t="s">
        <v>1769</v>
      </c>
      <c r="B7" t="s">
        <v>2241</v>
      </c>
      <c r="C7" t="s">
        <v>1341</v>
      </c>
      <c r="D7">
        <v>0.97641068696975708</v>
      </c>
      <c r="E7">
        <v>0.97663450241088867</v>
      </c>
      <c r="F7">
        <v>0.97652262449264526</v>
      </c>
      <c r="G7">
        <v>0.82258522975300485</v>
      </c>
      <c r="I7">
        <f t="shared" si="0"/>
        <v>1135</v>
      </c>
      <c r="J7" s="18" t="str">
        <f t="shared" si="1"/>
        <v>carbon steel as the reactor material.</v>
      </c>
      <c r="K7" s="18" t="str">
        <f t="shared" si="2"/>
        <v>carbon steel</v>
      </c>
      <c r="L7">
        <f t="shared" si="3"/>
        <v>1136</v>
      </c>
      <c r="M7" s="18" t="str">
        <f t="shared" si="4"/>
        <v xml:space="preserve">carbon steel as the reactor material.
</v>
      </c>
      <c r="N7" s="18" t="str">
        <f t="shared" si="5"/>
        <v>carbon steel</v>
      </c>
    </row>
    <row r="8" spans="1:14" x14ac:dyDescent="0.3">
      <c r="A8" t="s">
        <v>1768</v>
      </c>
      <c r="B8" t="s">
        <v>2240</v>
      </c>
      <c r="C8" t="s">
        <v>1339</v>
      </c>
      <c r="D8">
        <v>0.97585272789001465</v>
      </c>
      <c r="E8">
        <v>0.9754866361618042</v>
      </c>
      <c r="F8">
        <v>0.97566962242126465</v>
      </c>
      <c r="G8">
        <v>0.7935237911398515</v>
      </c>
      <c r="I8">
        <f t="shared" si="0"/>
        <v>1187</v>
      </c>
      <c r="J8" s="18" t="str">
        <f t="shared" si="1"/>
        <v>carbon steel as the reactor material.</v>
      </c>
      <c r="K8" s="18" t="str">
        <f t="shared" si="2"/>
        <v>carbon steel</v>
      </c>
      <c r="L8">
        <f t="shared" si="3"/>
        <v>1184</v>
      </c>
      <c r="M8" s="18" t="str">
        <f t="shared" si="4"/>
        <v xml:space="preserve">carbon steel as the reactor material.
</v>
      </c>
      <c r="N8" s="18" t="str">
        <f t="shared" si="5"/>
        <v>carbon steel</v>
      </c>
    </row>
    <row r="9" spans="1:14" x14ac:dyDescent="0.3">
      <c r="A9" t="s">
        <v>1767</v>
      </c>
      <c r="B9" t="s">
        <v>2239</v>
      </c>
      <c r="C9" t="s">
        <v>1337</v>
      </c>
      <c r="D9">
        <v>0.97254848480224609</v>
      </c>
      <c r="E9">
        <v>0.97294867038726807</v>
      </c>
      <c r="F9">
        <v>0.97274857759475708</v>
      </c>
      <c r="G9">
        <v>0.49351640793515328</v>
      </c>
      <c r="I9">
        <f t="shared" si="0"/>
        <v>1188</v>
      </c>
      <c r="J9" s="18" t="str">
        <f t="shared" si="1"/>
        <v>carbon steel as the reactor material.</v>
      </c>
      <c r="K9" s="18" t="str">
        <f t="shared" si="2"/>
        <v>carbon steel</v>
      </c>
      <c r="L9">
        <f t="shared" si="3"/>
        <v>1191</v>
      </c>
      <c r="M9" s="18" t="str">
        <f t="shared" si="4"/>
        <v xml:space="preserve">carbon steel as the reactor material.
</v>
      </c>
      <c r="N9" s="18" t="str">
        <f t="shared" si="5"/>
        <v>carbon steel</v>
      </c>
    </row>
    <row r="10" spans="1:14" x14ac:dyDescent="0.3">
      <c r="A10" t="s">
        <v>1782</v>
      </c>
      <c r="B10" t="s">
        <v>2238</v>
      </c>
      <c r="C10" t="s">
        <v>1367</v>
      </c>
      <c r="D10">
        <v>0.98281556367874146</v>
      </c>
      <c r="E10">
        <v>0.98236620426177979</v>
      </c>
      <c r="F10">
        <v>0.98259079456329346</v>
      </c>
      <c r="G10">
        <v>0.71782064794024658</v>
      </c>
      <c r="I10">
        <f t="shared" si="0"/>
        <v>1173</v>
      </c>
      <c r="J10" s="18" t="str">
        <f t="shared" si="1"/>
        <v>carbon steel as the reactor material.</v>
      </c>
      <c r="K10" s="18" t="str">
        <f t="shared" si="2"/>
        <v>carbon steel</v>
      </c>
      <c r="L10">
        <f t="shared" si="3"/>
        <v>1176</v>
      </c>
      <c r="M10" s="18" t="str">
        <f t="shared" si="4"/>
        <v xml:space="preserve">carbon steel as the reactor material.
</v>
      </c>
      <c r="N10" s="18" t="str">
        <f t="shared" si="5"/>
        <v>carbon steel</v>
      </c>
    </row>
    <row r="11" spans="1:14" x14ac:dyDescent="0.3">
      <c r="A11" t="s">
        <v>1781</v>
      </c>
      <c r="B11" t="s">
        <v>2237</v>
      </c>
      <c r="C11" t="s">
        <v>1365</v>
      </c>
      <c r="D11">
        <v>0.97785401344299316</v>
      </c>
      <c r="E11">
        <v>0.97778403759002686</v>
      </c>
      <c r="F11">
        <v>0.97781902551651001</v>
      </c>
      <c r="G11">
        <v>3.6638538287588493E-2</v>
      </c>
      <c r="I11">
        <f t="shared" si="0"/>
        <v>1185</v>
      </c>
      <c r="J11" s="18" t="str">
        <f t="shared" si="1"/>
        <v>carbon steel as the reactor material.</v>
      </c>
      <c r="K11" s="18" t="str">
        <f t="shared" si="2"/>
        <v>carbon steel</v>
      </c>
      <c r="L11">
        <f t="shared" si="3"/>
        <v>1189</v>
      </c>
      <c r="M11" s="18" t="str">
        <f t="shared" si="4"/>
        <v xml:space="preserve">carbon steel as the reactor material.
</v>
      </c>
      <c r="N11" s="18" t="str">
        <f t="shared" si="5"/>
        <v>carbon steel</v>
      </c>
    </row>
    <row r="12" spans="1:14" x14ac:dyDescent="0.3">
      <c r="A12" t="s">
        <v>1780</v>
      </c>
      <c r="B12" t="s">
        <v>2236</v>
      </c>
      <c r="C12" t="s">
        <v>1363</v>
      </c>
      <c r="D12">
        <v>0.9743502140045166</v>
      </c>
      <c r="E12">
        <v>0.97423386573791504</v>
      </c>
      <c r="F12">
        <v>0.97429203987121582</v>
      </c>
      <c r="G12">
        <v>7.1694009591538238E-2</v>
      </c>
      <c r="I12">
        <f t="shared" si="0"/>
        <v>1189</v>
      </c>
      <c r="J12" s="18" t="str">
        <f t="shared" si="1"/>
        <v>carbon steel as the reactor material.</v>
      </c>
      <c r="K12" s="18" t="str">
        <f t="shared" si="2"/>
        <v>carbon steel</v>
      </c>
      <c r="L12">
        <f t="shared" si="3"/>
        <v>1191</v>
      </c>
      <c r="M12" s="18" t="str">
        <f t="shared" si="4"/>
        <v xml:space="preserve">carbon steel as the reactor material.
</v>
      </c>
      <c r="N12" s="18" t="str">
        <f t="shared" si="5"/>
        <v>carbon steel</v>
      </c>
    </row>
    <row r="13" spans="1:14" x14ac:dyDescent="0.3">
      <c r="A13" t="s">
        <v>1779</v>
      </c>
      <c r="B13" t="s">
        <v>2235</v>
      </c>
      <c r="C13" t="s">
        <v>1361</v>
      </c>
      <c r="D13">
        <v>0.96462857723236084</v>
      </c>
      <c r="E13">
        <v>0.96493339538574219</v>
      </c>
      <c r="F13">
        <v>0.96478098630905151</v>
      </c>
      <c r="G13">
        <v>0.10376515934944069</v>
      </c>
      <c r="I13">
        <f t="shared" si="0"/>
        <v>1123</v>
      </c>
      <c r="J13" s="18" t="str">
        <f t="shared" si="1"/>
        <v>carbon steel as the reactor material.</v>
      </c>
      <c r="K13" s="18" t="str">
        <f t="shared" si="2"/>
        <v>carbon steel</v>
      </c>
      <c r="L13">
        <f t="shared" si="3"/>
        <v>1121</v>
      </c>
      <c r="M13" s="18" t="str">
        <f t="shared" si="4"/>
        <v xml:space="preserve">carbon steel as the reactor material.
</v>
      </c>
      <c r="N13" s="18" t="str">
        <f t="shared" si="5"/>
        <v>carbon steel</v>
      </c>
    </row>
    <row r="14" spans="1:14" x14ac:dyDescent="0.3">
      <c r="A14" t="s">
        <v>1778</v>
      </c>
      <c r="B14" t="s">
        <v>2234</v>
      </c>
      <c r="C14" t="s">
        <v>1359</v>
      </c>
      <c r="D14">
        <v>0.97514712810516357</v>
      </c>
      <c r="E14">
        <v>0.97443163394927979</v>
      </c>
      <c r="F14">
        <v>0.97478926181793213</v>
      </c>
      <c r="G14">
        <v>0.55364580884772707</v>
      </c>
      <c r="I14">
        <f t="shared" si="0"/>
        <v>1119</v>
      </c>
      <c r="J14" s="18" t="str">
        <f t="shared" si="1"/>
        <v>carbon steel as the reactor material.</v>
      </c>
      <c r="K14" s="18" t="str">
        <f t="shared" si="2"/>
        <v>carbon steel</v>
      </c>
      <c r="L14">
        <f t="shared" si="3"/>
        <v>1117</v>
      </c>
      <c r="M14" s="18" t="str">
        <f t="shared" si="4"/>
        <v xml:space="preserve">carbon steel as the reactor material.
</v>
      </c>
      <c r="N14" s="18" t="str">
        <f t="shared" si="5"/>
        <v>carbon steel</v>
      </c>
    </row>
    <row r="15" spans="1:14" x14ac:dyDescent="0.3">
      <c r="A15" t="s">
        <v>1777</v>
      </c>
      <c r="B15" t="s">
        <v>2233</v>
      </c>
      <c r="C15" t="s">
        <v>1357</v>
      </c>
      <c r="D15">
        <v>0.96677720546722412</v>
      </c>
      <c r="E15">
        <v>0.96724420785903931</v>
      </c>
      <c r="F15">
        <v>0.96701061725616455</v>
      </c>
      <c r="G15">
        <v>0.61198977768246499</v>
      </c>
      <c r="I15">
        <f t="shared" si="0"/>
        <v>1186</v>
      </c>
      <c r="J15" s="18" t="str">
        <f t="shared" si="1"/>
        <v>carbon steel as the reactor material.</v>
      </c>
      <c r="K15" s="18" t="str">
        <f t="shared" si="2"/>
        <v>carbon steel</v>
      </c>
      <c r="L15">
        <f t="shared" si="3"/>
        <v>1188</v>
      </c>
      <c r="M15" s="18" t="str">
        <f t="shared" si="4"/>
        <v xml:space="preserve">carbon steel as the reactor material.
</v>
      </c>
      <c r="N15" s="18" t="str">
        <f t="shared" si="5"/>
        <v>carbon steel</v>
      </c>
    </row>
    <row r="16" spans="1:14" x14ac:dyDescent="0.3">
      <c r="A16" t="s">
        <v>1776</v>
      </c>
      <c r="B16" t="s">
        <v>2232</v>
      </c>
      <c r="C16" t="s">
        <v>1355</v>
      </c>
      <c r="D16">
        <v>0.97326982021331787</v>
      </c>
      <c r="E16">
        <v>0.97359901666641235</v>
      </c>
      <c r="F16">
        <v>0.97343438863754272</v>
      </c>
      <c r="G16">
        <v>0.19499700924832439</v>
      </c>
      <c r="I16">
        <f t="shared" si="0"/>
        <v>1179</v>
      </c>
      <c r="J16" s="18" t="str">
        <f t="shared" si="1"/>
        <v>carbon steel as the reactor material.</v>
      </c>
      <c r="K16" s="18" t="str">
        <f t="shared" si="2"/>
        <v>carbon steel</v>
      </c>
      <c r="L16">
        <f t="shared" si="3"/>
        <v>1180</v>
      </c>
      <c r="M16" s="18" t="str">
        <f t="shared" si="4"/>
        <v xml:space="preserve">carbon steel as the reactor material.
</v>
      </c>
      <c r="N16" s="18" t="str">
        <f t="shared" si="5"/>
        <v>carbon steel</v>
      </c>
    </row>
    <row r="17" spans="1:14" x14ac:dyDescent="0.3">
      <c r="A17" t="s">
        <v>1775</v>
      </c>
      <c r="B17" t="s">
        <v>2231</v>
      </c>
      <c r="C17" t="s">
        <v>1353</v>
      </c>
      <c r="D17">
        <v>0.97402739524841309</v>
      </c>
      <c r="E17">
        <v>0.97412365674972534</v>
      </c>
      <c r="F17">
        <v>0.97407549619674683</v>
      </c>
      <c r="G17">
        <v>8.5866763597911622E-2</v>
      </c>
      <c r="I17">
        <f t="shared" si="0"/>
        <v>1181</v>
      </c>
      <c r="J17" s="18" t="str">
        <f t="shared" si="1"/>
        <v>carbon steel as the reactor material.</v>
      </c>
      <c r="K17" s="18" t="str">
        <f t="shared" si="2"/>
        <v>carbon steel</v>
      </c>
      <c r="L17">
        <f t="shared" si="3"/>
        <v>1184</v>
      </c>
      <c r="M17" s="18" t="str">
        <f t="shared" si="4"/>
        <v xml:space="preserve">carbon steel as the reactor material.
</v>
      </c>
      <c r="N17" s="18" t="str">
        <f t="shared" si="5"/>
        <v>carbon steel</v>
      </c>
    </row>
    <row r="18" spans="1:14" x14ac:dyDescent="0.3">
      <c r="A18" t="s">
        <v>1766</v>
      </c>
      <c r="B18" t="s">
        <v>2230</v>
      </c>
      <c r="C18" t="s">
        <v>1335</v>
      </c>
      <c r="D18">
        <v>0.97497272491455078</v>
      </c>
      <c r="E18">
        <v>0.97532963752746582</v>
      </c>
      <c r="F18">
        <v>0.9751511812210083</v>
      </c>
      <c r="G18">
        <v>8.4747549277959314E-2</v>
      </c>
      <c r="I18">
        <f t="shared" si="0"/>
        <v>1181</v>
      </c>
      <c r="J18" s="18" t="str">
        <f t="shared" si="1"/>
        <v>carbon steel as the reactor material.</v>
      </c>
      <c r="K18" s="18" t="str">
        <f t="shared" si="2"/>
        <v>carbon steel</v>
      </c>
      <c r="L18">
        <f t="shared" si="3"/>
        <v>1182</v>
      </c>
      <c r="M18" s="18" t="str">
        <f t="shared" si="4"/>
        <v xml:space="preserve">carbon steel as the reactor material.
</v>
      </c>
      <c r="N18" s="18" t="str">
        <f t="shared" si="5"/>
        <v>carbon steel</v>
      </c>
    </row>
    <row r="19" spans="1:14" x14ac:dyDescent="0.3">
      <c r="A19" t="s">
        <v>1765</v>
      </c>
      <c r="B19" t="s">
        <v>2229</v>
      </c>
      <c r="C19" t="s">
        <v>1333</v>
      </c>
      <c r="D19">
        <v>0.97732073068618774</v>
      </c>
      <c r="E19">
        <v>0.97749048471450806</v>
      </c>
      <c r="F19">
        <v>0.9774056077003479</v>
      </c>
      <c r="G19">
        <v>0.59681305432399323</v>
      </c>
      <c r="I19">
        <f t="shared" si="0"/>
        <v>1120</v>
      </c>
      <c r="J19" s="18" t="str">
        <f t="shared" si="1"/>
        <v>carbon steel as the reactor material.</v>
      </c>
      <c r="K19" s="18" t="str">
        <f t="shared" si="2"/>
        <v>carbon steel</v>
      </c>
      <c r="L19">
        <f t="shared" si="3"/>
        <v>1118</v>
      </c>
      <c r="M19" s="18" t="str">
        <f t="shared" si="4"/>
        <v xml:space="preserve">carbon steel as the reactor material.
</v>
      </c>
      <c r="N19" s="18" t="str">
        <f t="shared" si="5"/>
        <v>carbon steel</v>
      </c>
    </row>
    <row r="20" spans="1:14" x14ac:dyDescent="0.3">
      <c r="A20" t="s">
        <v>1764</v>
      </c>
      <c r="B20" t="s">
        <v>2228</v>
      </c>
      <c r="C20" t="s">
        <v>1331</v>
      </c>
      <c r="D20">
        <v>0.97803229093551636</v>
      </c>
      <c r="E20">
        <v>0.97820371389389038</v>
      </c>
      <c r="F20">
        <v>0.97811800241470337</v>
      </c>
      <c r="G20">
        <v>0.45351248053950749</v>
      </c>
      <c r="I20">
        <f t="shared" si="0"/>
        <v>1181</v>
      </c>
      <c r="J20" s="18" t="str">
        <f t="shared" si="1"/>
        <v>carbon steel as the reactor material.</v>
      </c>
      <c r="K20" s="18" t="str">
        <f t="shared" si="2"/>
        <v>carbon steel</v>
      </c>
      <c r="L20">
        <f t="shared" si="3"/>
        <v>1181</v>
      </c>
      <c r="M20" s="18" t="str">
        <f t="shared" si="4"/>
        <v xml:space="preserve">carbon steel as the reactor material.
</v>
      </c>
      <c r="N20" s="18" t="str">
        <f t="shared" si="5"/>
        <v>carbon steel</v>
      </c>
    </row>
    <row r="21" spans="1:14" x14ac:dyDescent="0.3">
      <c r="A21" t="s">
        <v>1763</v>
      </c>
      <c r="B21" t="s">
        <v>2227</v>
      </c>
      <c r="C21" t="s">
        <v>1329</v>
      </c>
      <c r="D21">
        <v>0.97636675834655762</v>
      </c>
      <c r="E21">
        <v>0.9771532416343689</v>
      </c>
      <c r="F21">
        <v>0.97675985097885132</v>
      </c>
      <c r="G21">
        <v>0.1056415461388818</v>
      </c>
      <c r="I21">
        <f t="shared" si="0"/>
        <v>1183</v>
      </c>
      <c r="J21" s="18" t="str">
        <f t="shared" si="1"/>
        <v>carbon steel as the reactor material.</v>
      </c>
      <c r="K21" s="18" t="str">
        <f t="shared" si="2"/>
        <v>carbon steel</v>
      </c>
      <c r="L21">
        <f t="shared" si="3"/>
        <v>1183</v>
      </c>
      <c r="M21" s="18" t="str">
        <f t="shared" si="4"/>
        <v xml:space="preserve">carbon steel as the reactor material.
</v>
      </c>
      <c r="N21" s="18" t="str">
        <f t="shared" si="5"/>
        <v>carbon steel</v>
      </c>
    </row>
    <row r="22" spans="1:14" x14ac:dyDescent="0.3">
      <c r="A22" t="s">
        <v>1762</v>
      </c>
      <c r="B22" t="s">
        <v>2226</v>
      </c>
      <c r="C22" t="s">
        <v>1327</v>
      </c>
      <c r="D22">
        <v>0.96460437774658203</v>
      </c>
      <c r="E22">
        <v>0.96306955814361572</v>
      </c>
      <c r="F22">
        <v>0.96383637189865112</v>
      </c>
      <c r="G22">
        <v>8.2697922033316315E-2</v>
      </c>
      <c r="I22">
        <f t="shared" si="0"/>
        <v>1184</v>
      </c>
      <c r="J22" s="18" t="str">
        <f t="shared" si="1"/>
        <v>carbon steel as the reactor material.</v>
      </c>
      <c r="K22" s="18" t="str">
        <f t="shared" si="2"/>
        <v>carbon steel</v>
      </c>
      <c r="L22">
        <f t="shared" si="3"/>
        <v>1186</v>
      </c>
      <c r="M22" s="18" t="str">
        <f t="shared" si="4"/>
        <v xml:space="preserve">carbon steel as the reactor material.
</v>
      </c>
      <c r="N22" s="18" t="str">
        <f t="shared" si="5"/>
        <v>carbon steel</v>
      </c>
    </row>
    <row r="23" spans="1:14" x14ac:dyDescent="0.3">
      <c r="A23" t="s">
        <v>1761</v>
      </c>
      <c r="B23" t="s">
        <v>2225</v>
      </c>
      <c r="C23" t="s">
        <v>1325</v>
      </c>
      <c r="D23">
        <v>0.98726332187652588</v>
      </c>
      <c r="E23">
        <v>0.98719775676727295</v>
      </c>
      <c r="F23">
        <v>0.98723053932189941</v>
      </c>
      <c r="G23">
        <v>1.2584671956647959</v>
      </c>
      <c r="I23">
        <f t="shared" si="0"/>
        <v>1175</v>
      </c>
      <c r="J23" s="18" t="str">
        <f t="shared" si="1"/>
        <v>carbon steel as the reactor material.</v>
      </c>
      <c r="K23" s="18" t="str">
        <f t="shared" si="2"/>
        <v>carbon steel</v>
      </c>
      <c r="L23">
        <f t="shared" si="3"/>
        <v>1175</v>
      </c>
      <c r="M23" s="18" t="str">
        <f t="shared" si="4"/>
        <v xml:space="preserve">carbon steel as the reactor material.
</v>
      </c>
      <c r="N23" s="18" t="str">
        <f t="shared" si="5"/>
        <v>carbon steel</v>
      </c>
    </row>
    <row r="24" spans="1:14" x14ac:dyDescent="0.3">
      <c r="A24" t="s">
        <v>1760</v>
      </c>
      <c r="B24" t="s">
        <v>2224</v>
      </c>
      <c r="C24" t="s">
        <v>1323</v>
      </c>
      <c r="D24">
        <v>0.9703681468963623</v>
      </c>
      <c r="E24">
        <v>0.96880114078521729</v>
      </c>
      <c r="F24">
        <v>0.96958398818969727</v>
      </c>
      <c r="G24">
        <v>0.35177373999567391</v>
      </c>
      <c r="I24">
        <f t="shared" si="0"/>
        <v>1166</v>
      </c>
      <c r="J24" s="18" t="str">
        <f t="shared" si="1"/>
        <v>carbon steel as the reactor material.</v>
      </c>
      <c r="K24" s="18" t="str">
        <f t="shared" si="2"/>
        <v>carbon steel</v>
      </c>
      <c r="L24">
        <f t="shared" si="3"/>
        <v>1173</v>
      </c>
      <c r="M24" s="18" t="str">
        <f t="shared" si="4"/>
        <v xml:space="preserve">carbon steel as the reactor material.
</v>
      </c>
      <c r="N24" s="18" t="str">
        <f t="shared" si="5"/>
        <v>carbon steel</v>
      </c>
    </row>
    <row r="25" spans="1:14" x14ac:dyDescent="0.3">
      <c r="A25" t="s">
        <v>1759</v>
      </c>
      <c r="B25" t="s">
        <v>2223</v>
      </c>
      <c r="C25" t="s">
        <v>1321</v>
      </c>
      <c r="D25">
        <v>0.97936320304870605</v>
      </c>
      <c r="E25">
        <v>0.9795035719871521</v>
      </c>
      <c r="F25">
        <v>0.97943329811096191</v>
      </c>
      <c r="G25">
        <v>0.66740141382740881</v>
      </c>
      <c r="I25">
        <f t="shared" si="0"/>
        <v>1180</v>
      </c>
      <c r="J25" s="18" t="str">
        <f t="shared" si="1"/>
        <v>carbon steel as the reactor material.</v>
      </c>
      <c r="K25" s="18" t="str">
        <f t="shared" si="2"/>
        <v>carbon steel</v>
      </c>
      <c r="L25">
        <f t="shared" si="3"/>
        <v>1180</v>
      </c>
      <c r="M25" s="18" t="str">
        <f t="shared" si="4"/>
        <v xml:space="preserve">carbon steel as the reactor material.
</v>
      </c>
      <c r="N25" s="18" t="str">
        <f t="shared" si="5"/>
        <v>carbon steel</v>
      </c>
    </row>
    <row r="26" spans="1:14" x14ac:dyDescent="0.3">
      <c r="A26" t="s">
        <v>1758</v>
      </c>
      <c r="B26" t="s">
        <v>2222</v>
      </c>
      <c r="C26" t="s">
        <v>1319</v>
      </c>
      <c r="D26">
        <v>0.97494816780090332</v>
      </c>
      <c r="E26">
        <v>0.97514748573303223</v>
      </c>
      <c r="F26">
        <v>0.97504782676696777</v>
      </c>
      <c r="G26">
        <v>0.28593590924516421</v>
      </c>
      <c r="I26">
        <f t="shared" si="0"/>
        <v>1184</v>
      </c>
      <c r="J26" s="18" t="str">
        <f t="shared" si="1"/>
        <v>carbon steel as the reactor material.</v>
      </c>
      <c r="K26" s="18" t="str">
        <f t="shared" si="2"/>
        <v>carbon steel</v>
      </c>
      <c r="L26">
        <f t="shared" si="3"/>
        <v>1191</v>
      </c>
      <c r="M26" s="18" t="str">
        <f t="shared" si="4"/>
        <v xml:space="preserve">carbon steel as the reactor material.
</v>
      </c>
      <c r="N26" s="18" t="str">
        <f t="shared" si="5"/>
        <v>carbon steel</v>
      </c>
    </row>
    <row r="27" spans="1:14" x14ac:dyDescent="0.3">
      <c r="A27" t="s">
        <v>1757</v>
      </c>
      <c r="B27" t="s">
        <v>2221</v>
      </c>
      <c r="C27" t="s">
        <v>1317</v>
      </c>
      <c r="D27">
        <v>0.97486340999603271</v>
      </c>
      <c r="E27">
        <v>0.97465407848358154</v>
      </c>
      <c r="F27">
        <v>0.97475874423980713</v>
      </c>
      <c r="G27">
        <v>0.229540653955558</v>
      </c>
      <c r="I27">
        <f t="shared" si="0"/>
        <v>1183</v>
      </c>
      <c r="J27" s="18" t="str">
        <f t="shared" si="1"/>
        <v>carbon steel as the reactor material.</v>
      </c>
      <c r="K27" s="18" t="str">
        <f t="shared" si="2"/>
        <v>carbon steel</v>
      </c>
      <c r="L27">
        <f t="shared" si="3"/>
        <v>1187</v>
      </c>
      <c r="M27" s="18" t="str">
        <f t="shared" si="4"/>
        <v xml:space="preserve">carbon steel as the reactor material.
</v>
      </c>
      <c r="N27" s="18" t="str">
        <f t="shared" si="5"/>
        <v>carbon steel</v>
      </c>
    </row>
    <row r="28" spans="1:14" x14ac:dyDescent="0.3">
      <c r="A28" t="s">
        <v>1756</v>
      </c>
      <c r="B28" t="s">
        <v>2220</v>
      </c>
      <c r="C28" t="s">
        <v>1315</v>
      </c>
      <c r="D28">
        <v>0.97822248935699463</v>
      </c>
      <c r="E28">
        <v>0.97796940803527832</v>
      </c>
      <c r="F28">
        <v>0.9780958890914917</v>
      </c>
      <c r="G28">
        <v>0.1131655728868087</v>
      </c>
      <c r="I28">
        <f t="shared" si="0"/>
        <v>1184</v>
      </c>
      <c r="J28" s="18" t="str">
        <f t="shared" si="1"/>
        <v>carbon steel as the reactor material.</v>
      </c>
      <c r="K28" s="18" t="str">
        <f t="shared" si="2"/>
        <v>carbon steel</v>
      </c>
      <c r="L28">
        <f t="shared" si="3"/>
        <v>1185</v>
      </c>
      <c r="M28" s="18" t="str">
        <f t="shared" si="4"/>
        <v xml:space="preserve">carbon steel as the reactor material.
</v>
      </c>
      <c r="N28" s="18" t="str">
        <f t="shared" si="5"/>
        <v>carbon steel</v>
      </c>
    </row>
    <row r="29" spans="1:14" x14ac:dyDescent="0.3">
      <c r="A29" t="s">
        <v>1755</v>
      </c>
      <c r="B29" t="s">
        <v>2219</v>
      </c>
      <c r="C29" t="s">
        <v>1313</v>
      </c>
      <c r="D29">
        <v>0.9851992130279541</v>
      </c>
      <c r="E29">
        <v>0.98499482870101929</v>
      </c>
      <c r="F29">
        <v>0.98509699106216431</v>
      </c>
      <c r="G29">
        <v>0.77616395932284143</v>
      </c>
      <c r="I29">
        <f t="shared" si="0"/>
        <v>1180</v>
      </c>
      <c r="J29" s="18" t="str">
        <f t="shared" si="1"/>
        <v>carbon steel as the reactor material.</v>
      </c>
      <c r="K29" s="18" t="str">
        <f t="shared" si="2"/>
        <v>carbon steel</v>
      </c>
      <c r="L29">
        <f t="shared" si="3"/>
        <v>1181</v>
      </c>
      <c r="M29" s="18" t="str">
        <f t="shared" si="4"/>
        <v xml:space="preserve">carbon steel as the reactor material.
</v>
      </c>
      <c r="N29" s="18" t="str">
        <f t="shared" si="5"/>
        <v>carbon steel</v>
      </c>
    </row>
    <row r="30" spans="1:14" x14ac:dyDescent="0.3">
      <c r="A30" t="s">
        <v>1754</v>
      </c>
      <c r="B30" t="s">
        <v>2218</v>
      </c>
      <c r="C30" t="s">
        <v>1311</v>
      </c>
      <c r="D30">
        <v>0.96658873558044434</v>
      </c>
      <c r="E30">
        <v>0.96721732616424561</v>
      </c>
      <c r="F30">
        <v>0.96690291166305542</v>
      </c>
      <c r="G30">
        <v>2.2984579754575799E-2</v>
      </c>
      <c r="I30">
        <f t="shared" si="0"/>
        <v>1187</v>
      </c>
      <c r="J30" s="18" t="str">
        <f t="shared" si="1"/>
        <v>carbon steel as the reactor material.</v>
      </c>
      <c r="K30" s="18" t="str">
        <f t="shared" si="2"/>
        <v>carbon steel</v>
      </c>
      <c r="L30">
        <f t="shared" si="3"/>
        <v>1187</v>
      </c>
      <c r="M30" s="18" t="str">
        <f t="shared" si="4"/>
        <v xml:space="preserve">carbon steel as the reactor material.
</v>
      </c>
      <c r="N30" s="18" t="str">
        <f t="shared" si="5"/>
        <v>carbon steel</v>
      </c>
    </row>
    <row r="31" spans="1:14" x14ac:dyDescent="0.3">
      <c r="A31" t="s">
        <v>1753</v>
      </c>
      <c r="B31" t="s">
        <v>2217</v>
      </c>
      <c r="C31" t="s">
        <v>1309</v>
      </c>
      <c r="D31">
        <v>0.97181546688079834</v>
      </c>
      <c r="E31">
        <v>0.97245705127716064</v>
      </c>
      <c r="F31">
        <v>0.97213613986968994</v>
      </c>
      <c r="G31">
        <v>0.13508955251242</v>
      </c>
      <c r="I31">
        <f t="shared" si="0"/>
        <v>1178</v>
      </c>
      <c r="J31" s="18" t="str">
        <f t="shared" si="1"/>
        <v>carbon steel as the reactor material.</v>
      </c>
      <c r="K31" s="18" t="str">
        <f t="shared" si="2"/>
        <v>carbon steel</v>
      </c>
      <c r="L31">
        <f t="shared" si="3"/>
        <v>1174</v>
      </c>
      <c r="M31" s="18" t="str">
        <f t="shared" si="4"/>
        <v xml:space="preserve">carbon steel as the reactor material.
</v>
      </c>
      <c r="N31" s="18" t="str">
        <f t="shared" si="5"/>
        <v>carbon steel</v>
      </c>
    </row>
    <row r="32" spans="1:14" x14ac:dyDescent="0.3">
      <c r="A32" t="s">
        <v>1752</v>
      </c>
      <c r="B32" t="s">
        <v>2216</v>
      </c>
      <c r="C32" t="s">
        <v>1307</v>
      </c>
      <c r="D32">
        <v>0.95795369148254395</v>
      </c>
      <c r="E32">
        <v>0.96625494956970215</v>
      </c>
      <c r="F32">
        <v>0.96208637952804565</v>
      </c>
      <c r="G32">
        <v>3.0529925187032418</v>
      </c>
      <c r="I32">
        <f t="shared" si="0"/>
        <v>938</v>
      </c>
      <c r="J32" s="18" t="str">
        <f t="shared" si="1"/>
        <v>stainless steel as the reactor material.</v>
      </c>
      <c r="K32" s="18" t="str">
        <f t="shared" si="2"/>
        <v>stainless steel</v>
      </c>
      <c r="L32">
        <f t="shared" si="3"/>
        <v>935</v>
      </c>
      <c r="M32" s="18" t="str">
        <f t="shared" si="4"/>
        <v xml:space="preserve">stainless steel as the reactor material.
</v>
      </c>
      <c r="N32" s="18" t="str">
        <f t="shared" si="5"/>
        <v>stainless steel</v>
      </c>
    </row>
    <row r="33" spans="1:14" x14ac:dyDescent="0.3">
      <c r="A33" t="s">
        <v>1751</v>
      </c>
      <c r="B33" t="s">
        <v>2215</v>
      </c>
      <c r="C33" t="s">
        <v>1305</v>
      </c>
      <c r="D33">
        <v>0.96860820055007935</v>
      </c>
      <c r="E33">
        <v>0.97458779811859131</v>
      </c>
      <c r="F33">
        <v>0.97158879041671753</v>
      </c>
      <c r="G33">
        <v>0.13763779527559061</v>
      </c>
      <c r="I33">
        <f t="shared" si="0"/>
        <v>954</v>
      </c>
      <c r="J33" s="18" t="str">
        <f t="shared" si="1"/>
        <v>stainless steel as the reactor material.</v>
      </c>
      <c r="K33" s="18" t="str">
        <f t="shared" si="2"/>
        <v>stainless steel</v>
      </c>
      <c r="L33">
        <f t="shared" si="3"/>
        <v>954</v>
      </c>
      <c r="M33" s="18" t="str">
        <f t="shared" si="4"/>
        <v xml:space="preserve">stainless steel as the reactor material.
</v>
      </c>
      <c r="N33" s="18" t="str">
        <f t="shared" si="5"/>
        <v>stainless steel</v>
      </c>
    </row>
    <row r="34" spans="1:14" x14ac:dyDescent="0.3">
      <c r="A34" t="s">
        <v>1747</v>
      </c>
      <c r="B34" t="s">
        <v>2214</v>
      </c>
      <c r="C34" t="s">
        <v>1297</v>
      </c>
      <c r="D34">
        <v>0.9563332200050354</v>
      </c>
      <c r="E34">
        <v>0.9651639461517334</v>
      </c>
      <c r="F34">
        <v>0.96072828769683838</v>
      </c>
      <c r="G34">
        <v>5.5313876651982383</v>
      </c>
      <c r="I34">
        <f t="shared" si="0"/>
        <v>940</v>
      </c>
      <c r="J34" s="18" t="str">
        <f t="shared" si="1"/>
        <v>stainless steel as the reactor material.</v>
      </c>
      <c r="K34" s="18" t="str">
        <f t="shared" si="2"/>
        <v>stainless steel</v>
      </c>
      <c r="L34">
        <f t="shared" si="3"/>
        <v>934</v>
      </c>
      <c r="M34" s="18" t="str">
        <f t="shared" si="4"/>
        <v xml:space="preserve">stainless steel as the reactor material.
</v>
      </c>
      <c r="N34" s="18" t="str">
        <f t="shared" si="5"/>
        <v>stainless steel</v>
      </c>
    </row>
    <row r="35" spans="1:14" x14ac:dyDescent="0.3">
      <c r="A35" t="s">
        <v>1746</v>
      </c>
      <c r="B35" t="s">
        <v>2213</v>
      </c>
      <c r="C35" t="s">
        <v>1295</v>
      </c>
      <c r="D35">
        <v>0.9863283634185791</v>
      </c>
      <c r="E35">
        <v>0.98567062616348267</v>
      </c>
      <c r="F35">
        <v>0.98599940538406372</v>
      </c>
      <c r="G35">
        <v>0.82317398258397012</v>
      </c>
      <c r="I35">
        <f t="shared" si="0"/>
        <v>955</v>
      </c>
      <c r="J35" s="18" t="str">
        <f t="shared" si="1"/>
        <v>stainless steel as the reactor material.</v>
      </c>
      <c r="K35" s="18" t="str">
        <f t="shared" si="2"/>
        <v>stainless steel</v>
      </c>
      <c r="L35">
        <f t="shared" si="3"/>
        <v>949</v>
      </c>
      <c r="M35" s="18" t="str">
        <f t="shared" si="4"/>
        <v xml:space="preserve">stainless steel as the reactor material.
</v>
      </c>
      <c r="N35" s="18" t="str">
        <f t="shared" si="5"/>
        <v>stainless steel</v>
      </c>
    </row>
    <row r="36" spans="1:14" x14ac:dyDescent="0.3">
      <c r="A36" t="s">
        <v>1745</v>
      </c>
      <c r="B36" t="s">
        <v>2212</v>
      </c>
      <c r="C36" t="s">
        <v>1293</v>
      </c>
      <c r="D36">
        <v>0.98705482482910156</v>
      </c>
      <c r="E36">
        <v>0.98697465658187866</v>
      </c>
      <c r="F36">
        <v>0.98701471090316772</v>
      </c>
      <c r="G36">
        <v>0.91024824952259709</v>
      </c>
      <c r="I36">
        <f t="shared" si="0"/>
        <v>941</v>
      </c>
      <c r="J36" s="18" t="str">
        <f t="shared" si="1"/>
        <v>stainless steel as the reactor material.</v>
      </c>
      <c r="K36" s="18" t="str">
        <f t="shared" si="2"/>
        <v>stainless steel</v>
      </c>
      <c r="L36">
        <f t="shared" si="3"/>
        <v>950</v>
      </c>
      <c r="M36" s="18" t="str">
        <f t="shared" si="4"/>
        <v xml:space="preserve">stainless steel as the reactor material.
</v>
      </c>
      <c r="N36" s="18" t="str">
        <f t="shared" si="5"/>
        <v>stainless steel</v>
      </c>
    </row>
    <row r="37" spans="1:14" x14ac:dyDescent="0.3">
      <c r="A37" t="s">
        <v>1744</v>
      </c>
      <c r="B37" t="s">
        <v>2211</v>
      </c>
      <c r="C37" t="s">
        <v>1291</v>
      </c>
      <c r="D37">
        <v>0.98094832897186279</v>
      </c>
      <c r="E37">
        <v>0.98076200485229492</v>
      </c>
      <c r="F37">
        <v>0.98085516691207886</v>
      </c>
      <c r="G37">
        <v>0.86988974868177771</v>
      </c>
      <c r="I37">
        <f t="shared" si="0"/>
        <v>933</v>
      </c>
      <c r="J37" s="18" t="str">
        <f t="shared" si="1"/>
        <v>stainless steel as the reactor material.</v>
      </c>
      <c r="K37" s="18" t="str">
        <f t="shared" si="2"/>
        <v>stainless steel</v>
      </c>
      <c r="L37">
        <f t="shared" si="3"/>
        <v>935</v>
      </c>
      <c r="M37" s="18" t="str">
        <f t="shared" si="4"/>
        <v xml:space="preserve">stainless steel as the reactor material.
</v>
      </c>
      <c r="N37" s="18" t="str">
        <f t="shared" si="5"/>
        <v>stainless steel</v>
      </c>
    </row>
    <row r="38" spans="1:14" x14ac:dyDescent="0.3">
      <c r="A38" t="s">
        <v>1743</v>
      </c>
      <c r="B38" t="s">
        <v>2210</v>
      </c>
      <c r="C38" t="s">
        <v>1289</v>
      </c>
      <c r="D38">
        <v>0.97528505325317383</v>
      </c>
      <c r="E38">
        <v>0.97166204452514648</v>
      </c>
      <c r="F38">
        <v>0.97347015142440796</v>
      </c>
      <c r="G38">
        <v>0.1906443071491615</v>
      </c>
      <c r="I38">
        <f t="shared" si="0"/>
        <v>949</v>
      </c>
      <c r="J38" s="18" t="str">
        <f t="shared" si="1"/>
        <v>stainless steel as the reactor material.</v>
      </c>
      <c r="K38" s="18" t="str">
        <f t="shared" si="2"/>
        <v>stainless steel</v>
      </c>
      <c r="L38">
        <f t="shared" si="3"/>
        <v>949</v>
      </c>
      <c r="M38" s="18" t="str">
        <f t="shared" si="4"/>
        <v xml:space="preserve">stainless steel as the reactor material.
</v>
      </c>
      <c r="N38" s="18" t="str">
        <f t="shared" si="5"/>
        <v>stainless steel</v>
      </c>
    </row>
    <row r="39" spans="1:14" x14ac:dyDescent="0.3">
      <c r="A39" t="s">
        <v>1742</v>
      </c>
      <c r="B39" t="s">
        <v>2209</v>
      </c>
      <c r="C39" t="s">
        <v>1287</v>
      </c>
      <c r="D39">
        <v>0.97388368844985962</v>
      </c>
      <c r="E39">
        <v>0.97191327810287476</v>
      </c>
      <c r="F39">
        <v>0.97289746999740601</v>
      </c>
      <c r="G39">
        <v>0.16620167397369459</v>
      </c>
      <c r="I39">
        <f t="shared" si="0"/>
        <v>950</v>
      </c>
      <c r="J39" s="18" t="str">
        <f t="shared" si="1"/>
        <v>stainless steel as the reactor material.</v>
      </c>
      <c r="K39" s="18" t="str">
        <f t="shared" si="2"/>
        <v>stainless steel</v>
      </c>
      <c r="L39">
        <f t="shared" si="3"/>
        <v>950</v>
      </c>
      <c r="M39" s="18" t="str">
        <f t="shared" si="4"/>
        <v xml:space="preserve">stainless steel as the reactor material.
</v>
      </c>
      <c r="N39" s="18" t="str">
        <f t="shared" si="5"/>
        <v>stainless steel</v>
      </c>
    </row>
    <row r="40" spans="1:14" x14ac:dyDescent="0.3">
      <c r="A40" t="s">
        <v>1741</v>
      </c>
      <c r="B40" t="s">
        <v>2208</v>
      </c>
      <c r="C40" t="s">
        <v>1285</v>
      </c>
      <c r="D40">
        <v>0.99005293846130371</v>
      </c>
      <c r="E40">
        <v>0.99013751745223999</v>
      </c>
      <c r="F40">
        <v>0.99009519815444946</v>
      </c>
      <c r="G40">
        <v>6.8343357025697105E-2</v>
      </c>
      <c r="I40">
        <f t="shared" si="0"/>
        <v>950</v>
      </c>
      <c r="J40" s="18" t="str">
        <f t="shared" si="1"/>
        <v>stainless steel as the reactor material.</v>
      </c>
      <c r="K40" s="18" t="str">
        <f t="shared" si="2"/>
        <v>stainless steel</v>
      </c>
      <c r="L40">
        <f t="shared" si="3"/>
        <v>951</v>
      </c>
      <c r="M40" s="18" t="str">
        <f t="shared" si="4"/>
        <v xml:space="preserve">stainless steel as the reactor material.
</v>
      </c>
      <c r="N40" s="18" t="str">
        <f t="shared" si="5"/>
        <v>stainless steel</v>
      </c>
    </row>
    <row r="41" spans="1:14" x14ac:dyDescent="0.3">
      <c r="A41" t="s">
        <v>1740</v>
      </c>
      <c r="B41" t="s">
        <v>2207</v>
      </c>
      <c r="C41" t="s">
        <v>1283</v>
      </c>
      <c r="D41">
        <v>0.97781950235366821</v>
      </c>
      <c r="E41">
        <v>0.97555077075958252</v>
      </c>
      <c r="F41">
        <v>0.97668379545211792</v>
      </c>
      <c r="G41">
        <v>0.43710870802504259</v>
      </c>
      <c r="I41">
        <f t="shared" si="0"/>
        <v>948</v>
      </c>
      <c r="J41" s="18" t="str">
        <f t="shared" si="1"/>
        <v>stainless steel as the reactor material.</v>
      </c>
      <c r="K41" s="18" t="str">
        <f t="shared" si="2"/>
        <v>stainless steel</v>
      </c>
      <c r="L41">
        <f t="shared" si="3"/>
        <v>949</v>
      </c>
      <c r="M41" s="18" t="str">
        <f t="shared" si="4"/>
        <v xml:space="preserve">stainless steel as the reactor material.
</v>
      </c>
      <c r="N41" s="18" t="str">
        <f t="shared" si="5"/>
        <v>stainless steel</v>
      </c>
    </row>
    <row r="42" spans="1:14" x14ac:dyDescent="0.3">
      <c r="A42" t="s">
        <v>1739</v>
      </c>
      <c r="B42" t="s">
        <v>2206</v>
      </c>
      <c r="C42" t="s">
        <v>1281</v>
      </c>
      <c r="D42">
        <v>0.95813637971878052</v>
      </c>
      <c r="E42">
        <v>0.9638860821723938</v>
      </c>
      <c r="F42">
        <v>0.9610026478767395</v>
      </c>
      <c r="G42">
        <v>3.8159340659340661</v>
      </c>
      <c r="I42">
        <f t="shared" si="0"/>
        <v>951</v>
      </c>
      <c r="J42" s="18" t="str">
        <f t="shared" si="1"/>
        <v>stainless steel as the reactor material.</v>
      </c>
      <c r="K42" s="18" t="str">
        <f t="shared" si="2"/>
        <v>stainless steel</v>
      </c>
      <c r="L42">
        <f t="shared" si="3"/>
        <v>949</v>
      </c>
      <c r="M42" s="18" t="str">
        <f t="shared" si="4"/>
        <v xml:space="preserve">stainless steel as the reactor material.
</v>
      </c>
      <c r="N42" s="18" t="str">
        <f t="shared" si="5"/>
        <v>stainless steel</v>
      </c>
    </row>
    <row r="43" spans="1:14" x14ac:dyDescent="0.3">
      <c r="A43" t="s">
        <v>1738</v>
      </c>
      <c r="B43" t="s">
        <v>2205</v>
      </c>
      <c r="C43" t="s">
        <v>1279</v>
      </c>
      <c r="D43">
        <v>0.95953983068466187</v>
      </c>
      <c r="E43">
        <v>0.96525585651397705</v>
      </c>
      <c r="F43">
        <v>0.96238940954208374</v>
      </c>
      <c r="G43">
        <v>0.11349419124218051</v>
      </c>
      <c r="I43">
        <f t="shared" si="0"/>
        <v>949</v>
      </c>
      <c r="J43" s="18" t="str">
        <f t="shared" si="1"/>
        <v>stainless steel as the reactor material.</v>
      </c>
      <c r="K43" s="18" t="str">
        <f t="shared" si="2"/>
        <v>stainless steel</v>
      </c>
      <c r="L43">
        <f t="shared" si="3"/>
        <v>950</v>
      </c>
      <c r="M43" s="18" t="str">
        <f t="shared" si="4"/>
        <v xml:space="preserve">stainless steel as the reactor material.
</v>
      </c>
      <c r="N43" s="18" t="str">
        <f t="shared" si="5"/>
        <v>stainless steel</v>
      </c>
    </row>
    <row r="44" spans="1:14" x14ac:dyDescent="0.3">
      <c r="A44" t="s">
        <v>1737</v>
      </c>
      <c r="B44" t="s">
        <v>2204</v>
      </c>
      <c r="C44" t="s">
        <v>1277</v>
      </c>
      <c r="D44">
        <v>0.97110503911972046</v>
      </c>
      <c r="E44">
        <v>0.96755051612854004</v>
      </c>
      <c r="F44">
        <v>0.96932452917098999</v>
      </c>
      <c r="G44">
        <v>0.49856321839080459</v>
      </c>
      <c r="I44">
        <f t="shared" si="0"/>
        <v>949</v>
      </c>
      <c r="J44" s="18" t="str">
        <f t="shared" si="1"/>
        <v>stainless steel as the reactor material.</v>
      </c>
      <c r="K44" s="18" t="str">
        <f t="shared" si="2"/>
        <v>stainless steel</v>
      </c>
      <c r="L44">
        <f t="shared" si="3"/>
        <v>952</v>
      </c>
      <c r="M44" s="18" t="str">
        <f t="shared" si="4"/>
        <v xml:space="preserve">stainless steel as the reactor material.
</v>
      </c>
      <c r="N44" s="18" t="str">
        <f t="shared" si="5"/>
        <v>stainless steel</v>
      </c>
    </row>
    <row r="45" spans="1:14" x14ac:dyDescent="0.3">
      <c r="A45" t="s">
        <v>1736</v>
      </c>
      <c r="B45" t="s">
        <v>2203</v>
      </c>
      <c r="C45" t="s">
        <v>1275</v>
      </c>
      <c r="D45">
        <v>0.98710119724273682</v>
      </c>
      <c r="E45">
        <v>0.98698687553405762</v>
      </c>
      <c r="F45">
        <v>0.98704403638839722</v>
      </c>
      <c r="G45">
        <v>0.48455428067078549</v>
      </c>
      <c r="I45">
        <f t="shared" si="0"/>
        <v>950</v>
      </c>
      <c r="J45" s="18" t="str">
        <f t="shared" si="1"/>
        <v>stainless steel as the reactor material.</v>
      </c>
      <c r="K45" s="18" t="str">
        <f t="shared" si="2"/>
        <v>stainless steel</v>
      </c>
      <c r="L45">
        <f t="shared" si="3"/>
        <v>954</v>
      </c>
      <c r="M45" s="18" t="str">
        <f t="shared" si="4"/>
        <v xml:space="preserve">stainless steel as the reactor material.
</v>
      </c>
      <c r="N45" s="18" t="str">
        <f t="shared" si="5"/>
        <v>stainless steel</v>
      </c>
    </row>
    <row r="46" spans="1:14" x14ac:dyDescent="0.3">
      <c r="A46" t="s">
        <v>1735</v>
      </c>
      <c r="B46" t="s">
        <v>2202</v>
      </c>
      <c r="C46" t="s">
        <v>1273</v>
      </c>
      <c r="D46">
        <v>0.98669171333312988</v>
      </c>
      <c r="E46">
        <v>0.98673224449157715</v>
      </c>
      <c r="F46">
        <v>0.98671197891235352</v>
      </c>
      <c r="G46">
        <v>0.21206418383518219</v>
      </c>
      <c r="I46">
        <f t="shared" si="0"/>
        <v>933</v>
      </c>
      <c r="J46" s="18" t="str">
        <f t="shared" si="1"/>
        <v>stainless steel as the reactor material.</v>
      </c>
      <c r="K46" s="18" t="str">
        <f t="shared" si="2"/>
        <v>stainless steel</v>
      </c>
      <c r="L46">
        <f t="shared" si="3"/>
        <v>935</v>
      </c>
      <c r="M46" s="18" t="str">
        <f t="shared" si="4"/>
        <v xml:space="preserve">stainless steel as the reactor material.
</v>
      </c>
      <c r="N46" s="18" t="str">
        <f t="shared" si="5"/>
        <v>stainless steel</v>
      </c>
    </row>
    <row r="47" spans="1:14" x14ac:dyDescent="0.3">
      <c r="A47" t="s">
        <v>1734</v>
      </c>
      <c r="B47" t="s">
        <v>2201</v>
      </c>
      <c r="C47" t="s">
        <v>1271</v>
      </c>
      <c r="D47">
        <v>0.96277087926864624</v>
      </c>
      <c r="E47">
        <v>0.95473295450210571</v>
      </c>
      <c r="F47">
        <v>0.95873510837554932</v>
      </c>
      <c r="G47">
        <v>0.72985781990521326</v>
      </c>
      <c r="I47">
        <f t="shared" si="0"/>
        <v>933</v>
      </c>
      <c r="J47" s="18" t="str">
        <f t="shared" si="1"/>
        <v>stainless steel as the reactor material.</v>
      </c>
      <c r="K47" s="18" t="str">
        <f t="shared" si="2"/>
        <v>stainless steel</v>
      </c>
      <c r="L47">
        <f t="shared" si="3"/>
        <v>934</v>
      </c>
      <c r="M47" s="18" t="str">
        <f t="shared" si="4"/>
        <v xml:space="preserve">stainless steel as the reactor material.
</v>
      </c>
      <c r="N47" s="18" t="str">
        <f t="shared" si="5"/>
        <v>stainless steel</v>
      </c>
    </row>
    <row r="48" spans="1:14" x14ac:dyDescent="0.3">
      <c r="A48" t="s">
        <v>1733</v>
      </c>
      <c r="B48" t="s">
        <v>2200</v>
      </c>
      <c r="C48" t="s">
        <v>1269</v>
      </c>
      <c r="D48">
        <v>0.98789596557617188</v>
      </c>
      <c r="E48">
        <v>0.98799389600753784</v>
      </c>
      <c r="F48">
        <v>0.98794490098953247</v>
      </c>
      <c r="G48">
        <v>0.42592592592592587</v>
      </c>
      <c r="I48">
        <f t="shared" si="0"/>
        <v>950</v>
      </c>
      <c r="J48" s="18" t="str">
        <f t="shared" si="1"/>
        <v>stainless steel as the reactor material.</v>
      </c>
      <c r="K48" s="18" t="str">
        <f t="shared" si="2"/>
        <v>stainless steel</v>
      </c>
      <c r="L48">
        <f t="shared" si="3"/>
        <v>950</v>
      </c>
      <c r="M48" s="18" t="str">
        <f t="shared" si="4"/>
        <v xml:space="preserve">stainless steel as the reactor material.
</v>
      </c>
      <c r="N48" s="18" t="str">
        <f t="shared" si="5"/>
        <v>stainless steel</v>
      </c>
    </row>
    <row r="49" spans="1:14" x14ac:dyDescent="0.3">
      <c r="A49" t="s">
        <v>1732</v>
      </c>
      <c r="B49" t="s">
        <v>2199</v>
      </c>
      <c r="C49" t="s">
        <v>1267</v>
      </c>
      <c r="D49">
        <v>0.97075760364532471</v>
      </c>
      <c r="E49">
        <v>0.97133839130401611</v>
      </c>
      <c r="F49">
        <v>0.97104793787002563</v>
      </c>
      <c r="G49">
        <v>2.1516393442623041E-2</v>
      </c>
      <c r="I49">
        <f t="shared" si="0"/>
        <v>953</v>
      </c>
      <c r="J49" s="18" t="str">
        <f t="shared" si="1"/>
        <v>stainless steel as the reactor material.</v>
      </c>
      <c r="K49" s="18" t="str">
        <f t="shared" si="2"/>
        <v>stainless steel</v>
      </c>
      <c r="L49">
        <f t="shared" si="3"/>
        <v>944</v>
      </c>
      <c r="M49" s="18" t="str">
        <f t="shared" si="4"/>
        <v xml:space="preserve">stainless steel as the reactor material.
</v>
      </c>
      <c r="N49" s="18" t="str">
        <f t="shared" si="5"/>
        <v>stainless steel</v>
      </c>
    </row>
    <row r="50" spans="1:14" x14ac:dyDescent="0.3">
      <c r="A50" t="s">
        <v>1731</v>
      </c>
      <c r="B50" t="s">
        <v>2198</v>
      </c>
      <c r="C50" t="s">
        <v>1265</v>
      </c>
      <c r="D50">
        <v>0.95771479606628418</v>
      </c>
      <c r="E50">
        <v>0.96404218673706055</v>
      </c>
      <c r="F50">
        <v>0.96086806058883667</v>
      </c>
      <c r="G50">
        <v>3.9334811529933491</v>
      </c>
      <c r="I50">
        <f t="shared" si="0"/>
        <v>955</v>
      </c>
      <c r="J50" s="18" t="str">
        <f t="shared" si="1"/>
        <v>stainless steel as the reactor material.</v>
      </c>
      <c r="K50" s="18" t="str">
        <f t="shared" si="2"/>
        <v>stainless steel</v>
      </c>
      <c r="L50">
        <f t="shared" si="3"/>
        <v>950</v>
      </c>
      <c r="M50" s="18" t="str">
        <f t="shared" si="4"/>
        <v xml:space="preserve">stainless steel as the reactor material.
</v>
      </c>
      <c r="N50" s="18" t="str">
        <f t="shared" si="5"/>
        <v>stainless steel</v>
      </c>
    </row>
    <row r="51" spans="1:14" x14ac:dyDescent="0.3">
      <c r="A51" t="s">
        <v>1730</v>
      </c>
      <c r="B51" t="s">
        <v>2197</v>
      </c>
      <c r="C51" t="s">
        <v>1263</v>
      </c>
      <c r="D51">
        <v>0.95934146642684937</v>
      </c>
      <c r="E51">
        <v>0.96576821804046631</v>
      </c>
      <c r="F51">
        <v>0.96254414319992065</v>
      </c>
      <c r="G51">
        <v>1.3972413793103451</v>
      </c>
      <c r="I51">
        <f t="shared" si="0"/>
        <v>950</v>
      </c>
      <c r="J51" s="18" t="str">
        <f t="shared" si="1"/>
        <v>stainless steel as the reactor material.</v>
      </c>
      <c r="K51" s="18" t="str">
        <f t="shared" si="2"/>
        <v>stainless steel</v>
      </c>
      <c r="L51">
        <f t="shared" si="3"/>
        <v>949</v>
      </c>
      <c r="M51" s="18" t="str">
        <f t="shared" si="4"/>
        <v xml:space="preserve">stainless steel as the reactor material.
</v>
      </c>
      <c r="N51" s="18" t="str">
        <f t="shared" si="5"/>
        <v>stainless steel</v>
      </c>
    </row>
    <row r="52" spans="1:14" x14ac:dyDescent="0.3">
      <c r="A52" t="s">
        <v>1729</v>
      </c>
      <c r="B52" t="s">
        <v>2196</v>
      </c>
      <c r="C52" t="s">
        <v>1261</v>
      </c>
      <c r="D52">
        <v>0.9580456018447876</v>
      </c>
      <c r="E52">
        <v>0.96706306934356689</v>
      </c>
      <c r="F52">
        <v>0.96253323554992676</v>
      </c>
      <c r="G52">
        <v>3.8989667049368539</v>
      </c>
      <c r="I52">
        <f t="shared" si="0"/>
        <v>935</v>
      </c>
      <c r="J52" s="18" t="str">
        <f t="shared" si="1"/>
        <v>stainless steel as the reactor material.</v>
      </c>
      <c r="K52" s="18" t="str">
        <f t="shared" si="2"/>
        <v>stainless steel</v>
      </c>
      <c r="L52">
        <f t="shared" si="3"/>
        <v>933</v>
      </c>
      <c r="M52" s="18" t="str">
        <f t="shared" si="4"/>
        <v xml:space="preserve">stainless steel as the reactor material.
</v>
      </c>
      <c r="N52" s="18" t="str">
        <f t="shared" si="5"/>
        <v>stainless steel</v>
      </c>
    </row>
    <row r="53" spans="1:14" x14ac:dyDescent="0.3">
      <c r="A53" t="s">
        <v>1728</v>
      </c>
      <c r="B53" t="s">
        <v>2195</v>
      </c>
      <c r="C53" t="s">
        <v>1259</v>
      </c>
      <c r="D53">
        <v>0.97674870491027832</v>
      </c>
      <c r="E53">
        <v>0.97755813598632813</v>
      </c>
      <c r="F53">
        <v>0.9771532416343689</v>
      </c>
      <c r="G53">
        <v>0.80926847950976633</v>
      </c>
      <c r="I53">
        <f t="shared" si="0"/>
        <v>949</v>
      </c>
      <c r="J53" s="18" t="str">
        <f t="shared" si="1"/>
        <v>stainless steel as the reactor material.</v>
      </c>
      <c r="K53" s="18" t="str">
        <f t="shared" si="2"/>
        <v>stainless steel</v>
      </c>
      <c r="L53">
        <f t="shared" si="3"/>
        <v>954</v>
      </c>
      <c r="M53" s="18" t="str">
        <f t="shared" si="4"/>
        <v xml:space="preserve">stainless steel as the reactor material.
</v>
      </c>
      <c r="N53" s="18" t="str">
        <f t="shared" si="5"/>
        <v>stainless steel</v>
      </c>
    </row>
    <row r="54" spans="1:14" x14ac:dyDescent="0.3">
      <c r="A54" t="s">
        <v>1727</v>
      </c>
      <c r="B54" t="s">
        <v>2194</v>
      </c>
      <c r="C54" t="s">
        <v>1257</v>
      </c>
      <c r="D54">
        <v>0.98764210939407349</v>
      </c>
      <c r="E54">
        <v>0.98764210939407349</v>
      </c>
      <c r="F54">
        <v>0.98764210939407349</v>
      </c>
      <c r="G54">
        <v>0.48894842598794369</v>
      </c>
      <c r="I54">
        <f t="shared" si="0"/>
        <v>949</v>
      </c>
      <c r="J54" s="18" t="str">
        <f t="shared" si="1"/>
        <v>stainless steel as the reactor material.</v>
      </c>
      <c r="K54" s="18" t="str">
        <f t="shared" si="2"/>
        <v>stainless steel</v>
      </c>
      <c r="L54">
        <f t="shared" si="3"/>
        <v>950</v>
      </c>
      <c r="M54" s="18" t="str">
        <f t="shared" si="4"/>
        <v xml:space="preserve">stainless steel as the reactor material.
</v>
      </c>
      <c r="N54" s="18" t="str">
        <f t="shared" si="5"/>
        <v>stainless steel</v>
      </c>
    </row>
    <row r="55" spans="1:14" x14ac:dyDescent="0.3">
      <c r="A55" t="s">
        <v>1726</v>
      </c>
      <c r="B55" t="s">
        <v>2193</v>
      </c>
      <c r="C55" t="s">
        <v>1255</v>
      </c>
      <c r="D55">
        <v>0.97265136241912842</v>
      </c>
      <c r="E55">
        <v>0.97399121522903442</v>
      </c>
      <c r="F55">
        <v>0.97332084178924561</v>
      </c>
      <c r="G55">
        <v>0.98045267489711918</v>
      </c>
      <c r="I55">
        <f t="shared" si="0"/>
        <v>947</v>
      </c>
      <c r="J55" s="18" t="str">
        <f t="shared" si="1"/>
        <v>stainless steel as the reactor material.</v>
      </c>
      <c r="K55" s="18" t="str">
        <f t="shared" si="2"/>
        <v>stainless steel</v>
      </c>
      <c r="L55">
        <f t="shared" si="3"/>
        <v>948</v>
      </c>
      <c r="M55" s="18" t="str">
        <f t="shared" si="4"/>
        <v xml:space="preserve">stainless steel as the reactor material.
</v>
      </c>
      <c r="N55" s="18" t="str">
        <f t="shared" si="5"/>
        <v>stainless steel</v>
      </c>
    </row>
    <row r="56" spans="1:14" x14ac:dyDescent="0.3">
      <c r="A56" t="s">
        <v>1725</v>
      </c>
      <c r="B56" t="s">
        <v>2192</v>
      </c>
      <c r="C56" t="s">
        <v>1253</v>
      </c>
      <c r="D56">
        <v>0.95706444978713989</v>
      </c>
      <c r="E56">
        <v>0.96623241901397705</v>
      </c>
      <c r="F56">
        <v>0.96162652969360352</v>
      </c>
      <c r="H56">
        <v>6.2425952045133997</v>
      </c>
      <c r="I56">
        <f t="shared" si="0"/>
        <v>939</v>
      </c>
      <c r="J56" s="18" t="str">
        <f t="shared" si="1"/>
        <v>stainless steel as the reactor material.</v>
      </c>
      <c r="K56" s="18" t="str">
        <f t="shared" si="2"/>
        <v>stainless steel</v>
      </c>
      <c r="L56">
        <f t="shared" si="3"/>
        <v>934</v>
      </c>
      <c r="M56" s="18" t="str">
        <f t="shared" si="4"/>
        <v xml:space="preserve">stainless steel as the reactor material.
</v>
      </c>
      <c r="N56" s="18" t="str">
        <f t="shared" si="5"/>
        <v>stainless steel</v>
      </c>
    </row>
    <row r="57" spans="1:14" x14ac:dyDescent="0.3">
      <c r="A57" t="s">
        <v>1724</v>
      </c>
      <c r="B57" t="s">
        <v>2191</v>
      </c>
      <c r="C57" t="s">
        <v>1251</v>
      </c>
      <c r="D57">
        <v>0.96358054876327515</v>
      </c>
      <c r="E57">
        <v>0.95707070827484131</v>
      </c>
      <c r="F57">
        <v>0.96031463146209717</v>
      </c>
      <c r="G57">
        <v>0.67938931297709915</v>
      </c>
      <c r="I57">
        <f t="shared" si="0"/>
        <v>950</v>
      </c>
      <c r="J57" s="18" t="str">
        <f t="shared" si="1"/>
        <v>stainless steel as the reactor material.</v>
      </c>
      <c r="K57" s="18" t="str">
        <f t="shared" si="2"/>
        <v>stainless steel</v>
      </c>
      <c r="L57">
        <f t="shared" si="3"/>
        <v>951</v>
      </c>
      <c r="M57" s="18" t="str">
        <f t="shared" si="4"/>
        <v xml:space="preserve">stainless steel as the reactor material.
</v>
      </c>
      <c r="N57" s="18" t="str">
        <f t="shared" si="5"/>
        <v>stainless steel</v>
      </c>
    </row>
    <row r="58" spans="1:14" x14ac:dyDescent="0.3">
      <c r="A58" t="s">
        <v>1723</v>
      </c>
      <c r="B58" t="s">
        <v>2190</v>
      </c>
      <c r="C58" t="s">
        <v>1249</v>
      </c>
      <c r="D58">
        <v>0.97882652282714844</v>
      </c>
      <c r="E58">
        <v>0.97828710079193115</v>
      </c>
      <c r="F58">
        <v>0.97855675220489502</v>
      </c>
      <c r="G58">
        <v>1.287454725057622</v>
      </c>
      <c r="I58">
        <f t="shared" si="0"/>
        <v>939</v>
      </c>
      <c r="J58" s="18" t="str">
        <f t="shared" si="1"/>
        <v>stainless steel as the reactor material.</v>
      </c>
      <c r="K58" s="18" t="str">
        <f t="shared" si="2"/>
        <v>stainless steel</v>
      </c>
      <c r="L58">
        <f t="shared" si="3"/>
        <v>934</v>
      </c>
      <c r="M58" s="18" t="str">
        <f t="shared" si="4"/>
        <v xml:space="preserve">stainless steel as the reactor material.
</v>
      </c>
      <c r="N58" s="18" t="str">
        <f t="shared" si="5"/>
        <v>stainless steel</v>
      </c>
    </row>
    <row r="59" spans="1:14" x14ac:dyDescent="0.3">
      <c r="A59" t="s">
        <v>1722</v>
      </c>
      <c r="B59" t="s">
        <v>2189</v>
      </c>
      <c r="C59" t="s">
        <v>1247</v>
      </c>
      <c r="D59">
        <v>0.98489981889724731</v>
      </c>
      <c r="E59">
        <v>0.98446089029312134</v>
      </c>
      <c r="F59">
        <v>0.98468035459518433</v>
      </c>
      <c r="G59">
        <v>0.24321836935500279</v>
      </c>
      <c r="I59">
        <f t="shared" si="0"/>
        <v>1352</v>
      </c>
      <c r="J59" s="18" t="str">
        <f t="shared" si="1"/>
        <v>stainless steel as the reactor material.</v>
      </c>
      <c r="K59" s="18" t="str">
        <f t="shared" si="2"/>
        <v>stainless steel</v>
      </c>
      <c r="L59">
        <f t="shared" si="3"/>
        <v>1342</v>
      </c>
      <c r="M59" s="18" t="str">
        <f t="shared" si="4"/>
        <v xml:space="preserve">stainless steel as the reactor material.
</v>
      </c>
      <c r="N59" s="18" t="str">
        <f t="shared" si="5"/>
        <v>stainless steel</v>
      </c>
    </row>
    <row r="60" spans="1:14" x14ac:dyDescent="0.3">
      <c r="A60" t="s">
        <v>1721</v>
      </c>
      <c r="B60" t="s">
        <v>2188</v>
      </c>
      <c r="C60" t="s">
        <v>1245</v>
      </c>
      <c r="D60">
        <v>0.99023759365081787</v>
      </c>
      <c r="E60">
        <v>0.99009281396865845</v>
      </c>
      <c r="F60">
        <v>0.99016517400741577</v>
      </c>
      <c r="G60">
        <v>4.9484141149079293E-2</v>
      </c>
      <c r="I60">
        <f t="shared" si="0"/>
        <v>1438</v>
      </c>
      <c r="J60" s="18" t="str">
        <f t="shared" si="1"/>
        <v>stainless steel as the reactor material.</v>
      </c>
      <c r="K60" s="18" t="str">
        <f t="shared" si="2"/>
        <v>stainless steel</v>
      </c>
      <c r="L60">
        <f t="shared" si="3"/>
        <v>1432</v>
      </c>
      <c r="M60" s="18" t="str">
        <f t="shared" si="4"/>
        <v xml:space="preserve">stainless steel as the reactor material.
</v>
      </c>
      <c r="N60" s="18" t="str">
        <f t="shared" si="5"/>
        <v>stainless steel</v>
      </c>
    </row>
    <row r="61" spans="1:14" x14ac:dyDescent="0.3">
      <c r="A61" t="s">
        <v>1720</v>
      </c>
      <c r="B61" t="s">
        <v>2187</v>
      </c>
      <c r="C61" t="s">
        <v>1243</v>
      </c>
      <c r="D61">
        <v>0.97997784614562988</v>
      </c>
      <c r="E61">
        <v>0.97928959131240845</v>
      </c>
      <c r="F61">
        <v>0.979633629322052</v>
      </c>
      <c r="G61">
        <v>3.2818429457287378E-2</v>
      </c>
      <c r="I61">
        <f t="shared" si="0"/>
        <v>1438</v>
      </c>
      <c r="J61" s="18" t="str">
        <f t="shared" si="1"/>
        <v>stainless steel as the reactor material.</v>
      </c>
      <c r="K61" s="18" t="str">
        <f t="shared" si="2"/>
        <v>stainless steel</v>
      </c>
      <c r="L61">
        <f t="shared" si="3"/>
        <v>1441</v>
      </c>
      <c r="M61" s="18" t="str">
        <f t="shared" si="4"/>
        <v xml:space="preserve">stainless steel as the reactor material.
</v>
      </c>
      <c r="N61" s="18" t="str">
        <f t="shared" si="5"/>
        <v>stainless steel</v>
      </c>
    </row>
    <row r="62" spans="1:14" x14ac:dyDescent="0.3">
      <c r="A62" t="s">
        <v>1719</v>
      </c>
      <c r="B62" t="s">
        <v>2186</v>
      </c>
      <c r="C62" t="s">
        <v>1241</v>
      </c>
      <c r="D62">
        <v>0.98485827445983887</v>
      </c>
      <c r="E62">
        <v>0.985542893409729</v>
      </c>
      <c r="F62">
        <v>0.98520046472549438</v>
      </c>
      <c r="G62">
        <v>0.99319335444505652</v>
      </c>
      <c r="I62">
        <f t="shared" si="0"/>
        <v>1356</v>
      </c>
      <c r="J62" s="18" t="str">
        <f t="shared" si="1"/>
        <v>stainless steel as the reactor material.</v>
      </c>
      <c r="K62" s="18" t="str">
        <f t="shared" si="2"/>
        <v>stainless steel</v>
      </c>
      <c r="L62">
        <f t="shared" si="3"/>
        <v>1361</v>
      </c>
      <c r="M62" s="18" t="str">
        <f t="shared" si="4"/>
        <v xml:space="preserve">stainless steel as the reactor material.
</v>
      </c>
      <c r="N62" s="18" t="str">
        <f t="shared" si="5"/>
        <v>stainless steel</v>
      </c>
    </row>
    <row r="63" spans="1:14" x14ac:dyDescent="0.3">
      <c r="A63" t="s">
        <v>1718</v>
      </c>
      <c r="B63" t="s">
        <v>2185</v>
      </c>
      <c r="C63" t="s">
        <v>1239</v>
      </c>
      <c r="D63">
        <v>0.99345988035202026</v>
      </c>
      <c r="E63">
        <v>0.99342578649520874</v>
      </c>
      <c r="F63">
        <v>0.9934428334236145</v>
      </c>
      <c r="G63">
        <v>4.6469162232786743E-3</v>
      </c>
      <c r="I63">
        <f t="shared" si="0"/>
        <v>1448</v>
      </c>
      <c r="J63" s="18" t="str">
        <f t="shared" si="1"/>
        <v>stainless steel as the reactor material.</v>
      </c>
      <c r="K63" s="18" t="str">
        <f t="shared" si="2"/>
        <v>stainless steel</v>
      </c>
      <c r="L63">
        <f t="shared" si="3"/>
        <v>1447</v>
      </c>
      <c r="M63" s="18" t="str">
        <f t="shared" si="4"/>
        <v xml:space="preserve">stainless steel as the reactor material.
</v>
      </c>
      <c r="N63" s="18" t="str">
        <f t="shared" si="5"/>
        <v>stainless steel</v>
      </c>
    </row>
    <row r="64" spans="1:14" x14ac:dyDescent="0.3">
      <c r="A64" t="s">
        <v>1717</v>
      </c>
      <c r="B64" t="s">
        <v>2184</v>
      </c>
      <c r="C64" t="s">
        <v>1237</v>
      </c>
      <c r="D64">
        <v>0.97137570381164551</v>
      </c>
      <c r="E64">
        <v>0.97067868709564209</v>
      </c>
      <c r="F64">
        <v>0.97102707624435425</v>
      </c>
      <c r="G64">
        <v>0.63195341468479682</v>
      </c>
      <c r="I64">
        <f t="shared" si="0"/>
        <v>1359</v>
      </c>
      <c r="J64" s="18" t="str">
        <f t="shared" si="1"/>
        <v>stainless steel as the reactor material.</v>
      </c>
      <c r="K64" s="18" t="str">
        <f t="shared" si="2"/>
        <v>stainless steel</v>
      </c>
      <c r="L64">
        <f t="shared" si="3"/>
        <v>1361</v>
      </c>
      <c r="M64" s="18" t="str">
        <f t="shared" si="4"/>
        <v xml:space="preserve">stainless steel as the reactor material.
</v>
      </c>
      <c r="N64" s="18" t="str">
        <f t="shared" si="5"/>
        <v>stainless steel</v>
      </c>
    </row>
    <row r="65" spans="1:14" x14ac:dyDescent="0.3">
      <c r="A65" t="s">
        <v>1716</v>
      </c>
      <c r="B65" t="s">
        <v>2183</v>
      </c>
      <c r="C65" t="s">
        <v>1235</v>
      </c>
      <c r="D65">
        <v>0.97722166776657104</v>
      </c>
      <c r="E65">
        <v>0.97966194152832031</v>
      </c>
      <c r="F65">
        <v>0.97844022512435913</v>
      </c>
      <c r="G65">
        <v>4.0041111494460067E-2</v>
      </c>
      <c r="I65">
        <f t="shared" si="0"/>
        <v>1439</v>
      </c>
      <c r="J65" s="18" t="str">
        <f t="shared" si="1"/>
        <v>stainless steel as the reactor material.</v>
      </c>
      <c r="K65" s="18" t="str">
        <f t="shared" si="2"/>
        <v>stainless steel</v>
      </c>
      <c r="L65">
        <f t="shared" si="3"/>
        <v>1438</v>
      </c>
      <c r="M65" s="18" t="str">
        <f t="shared" si="4"/>
        <v xml:space="preserve">stainless steel as the reactor material.
</v>
      </c>
      <c r="N65" s="18" t="str">
        <f t="shared" si="5"/>
        <v>stainless steel</v>
      </c>
    </row>
    <row r="66" spans="1:14" x14ac:dyDescent="0.3">
      <c r="A66" t="s">
        <v>1714</v>
      </c>
      <c r="B66" t="s">
        <v>2182</v>
      </c>
      <c r="C66" t="s">
        <v>1231</v>
      </c>
      <c r="D66">
        <v>0.98981446027755737</v>
      </c>
      <c r="E66">
        <v>0.99005138874053955</v>
      </c>
      <c r="F66">
        <v>0.98993295431137085</v>
      </c>
      <c r="G66">
        <v>0.52128663663798125</v>
      </c>
      <c r="I66">
        <f t="shared" si="0"/>
        <v>1350</v>
      </c>
      <c r="J66" s="18" t="str">
        <f t="shared" si="1"/>
        <v>stainless steel as the reactor material.</v>
      </c>
      <c r="K66" s="18" t="str">
        <f t="shared" si="2"/>
        <v>stainless steel</v>
      </c>
      <c r="L66">
        <f t="shared" si="3"/>
        <v>1348</v>
      </c>
      <c r="M66" s="18" t="str">
        <f t="shared" si="4"/>
        <v xml:space="preserve">stainless steel as the reactor material.
</v>
      </c>
      <c r="N66" s="18" t="str">
        <f t="shared" si="5"/>
        <v>stainless steel</v>
      </c>
    </row>
    <row r="67" spans="1:14" x14ac:dyDescent="0.3">
      <c r="A67" t="s">
        <v>1713</v>
      </c>
      <c r="B67" t="s">
        <v>2181</v>
      </c>
      <c r="C67" t="s">
        <v>1229</v>
      </c>
      <c r="D67">
        <v>0.97198003530502319</v>
      </c>
      <c r="E67">
        <v>0.9732130765914917</v>
      </c>
      <c r="F67">
        <v>0.97259616851806641</v>
      </c>
      <c r="G67">
        <v>0.21589795855937441</v>
      </c>
      <c r="I67">
        <f t="shared" ref="I67:I89" si="6">FIND("using",B67)</f>
        <v>1353</v>
      </c>
      <c r="J67" s="18" t="str">
        <f t="shared" ref="J67:J89" si="7">MID(B67,I67+LEN("using "),LEN(B67))</f>
        <v>stainless steel as the reactor material.</v>
      </c>
      <c r="K67" s="18" t="str">
        <f t="shared" ref="K67:K89" si="8">LEFT(J67,FIND(" ",J67,FIND(" ",J67)+1)-1)</f>
        <v>stainless steel</v>
      </c>
      <c r="L67">
        <f t="shared" ref="L67:L89" si="9">FIND("using",C67)</f>
        <v>1359</v>
      </c>
      <c r="M67" s="18" t="str">
        <f t="shared" ref="M67:M89" si="10">MID(C67,L67+LEN("using "),LEN(C67))</f>
        <v xml:space="preserve">stainless steel as the reactor material.
</v>
      </c>
      <c r="N67" s="18" t="str">
        <f t="shared" ref="N67:N89" si="11">LEFT(M67,FIND(" ",M67,FIND(" ",M67)+1)-1)</f>
        <v>stainless steel</v>
      </c>
    </row>
    <row r="68" spans="1:14" x14ac:dyDescent="0.3">
      <c r="A68" t="s">
        <v>1712</v>
      </c>
      <c r="B68" t="s">
        <v>2180</v>
      </c>
      <c r="C68" t="s">
        <v>1227</v>
      </c>
      <c r="D68">
        <v>0.95928186178207397</v>
      </c>
      <c r="E68">
        <v>0.95977979898452759</v>
      </c>
      <c r="F68">
        <v>0.95953077077865601</v>
      </c>
      <c r="G68">
        <v>12.369247422093091</v>
      </c>
      <c r="I68">
        <f t="shared" si="6"/>
        <v>1358</v>
      </c>
      <c r="J68" s="18" t="str">
        <f t="shared" si="7"/>
        <v>stainless steel as the reactor material.</v>
      </c>
      <c r="K68" s="18" t="str">
        <f t="shared" si="8"/>
        <v>stainless steel</v>
      </c>
      <c r="L68">
        <f t="shared" si="9"/>
        <v>1355</v>
      </c>
      <c r="M68" s="18" t="str">
        <f t="shared" si="10"/>
        <v xml:space="preserve">stainless steel as the reactor material.
</v>
      </c>
      <c r="N68" s="18" t="str">
        <f t="shared" si="11"/>
        <v>stainless steel</v>
      </c>
    </row>
    <row r="69" spans="1:14" x14ac:dyDescent="0.3">
      <c r="A69" t="s">
        <v>1711</v>
      </c>
      <c r="B69" t="s">
        <v>2179</v>
      </c>
      <c r="C69" t="s">
        <v>1225</v>
      </c>
      <c r="D69">
        <v>0.98454201221466064</v>
      </c>
      <c r="E69">
        <v>0.98584520816802979</v>
      </c>
      <c r="F69">
        <v>0.98519319295883179</v>
      </c>
      <c r="G69">
        <v>9.735665621678545E-2</v>
      </c>
      <c r="I69">
        <f t="shared" si="6"/>
        <v>1432</v>
      </c>
      <c r="J69" s="18" t="str">
        <f t="shared" si="7"/>
        <v>stainless steel as the reactor material.</v>
      </c>
      <c r="K69" s="18" t="str">
        <f t="shared" si="8"/>
        <v>stainless steel</v>
      </c>
      <c r="L69">
        <f t="shared" si="9"/>
        <v>1434</v>
      </c>
      <c r="M69" s="18" t="str">
        <f t="shared" si="10"/>
        <v xml:space="preserve">stainless steel as the reactor material.
</v>
      </c>
      <c r="N69" s="18" t="str">
        <f t="shared" si="11"/>
        <v>stainless steel</v>
      </c>
    </row>
    <row r="70" spans="1:14" x14ac:dyDescent="0.3">
      <c r="A70" t="s">
        <v>1710</v>
      </c>
      <c r="B70" s="2" t="s">
        <v>2178</v>
      </c>
      <c r="C70" s="2" t="s">
        <v>2177</v>
      </c>
      <c r="D70">
        <v>0.99584901332855225</v>
      </c>
      <c r="E70">
        <v>0.99609649181365967</v>
      </c>
      <c r="F70">
        <v>0.99597275257110596</v>
      </c>
      <c r="G70">
        <v>1</v>
      </c>
      <c r="I70">
        <f t="shared" si="6"/>
        <v>1429</v>
      </c>
      <c r="J70" s="18" t="str">
        <f t="shared" si="7"/>
        <v>stainless steel as the reactor material.</v>
      </c>
      <c r="K70" s="18" t="str">
        <f t="shared" si="8"/>
        <v>stainless steel</v>
      </c>
      <c r="L70">
        <f t="shared" si="9"/>
        <v>1435</v>
      </c>
      <c r="M70" s="18" t="str">
        <f t="shared" si="10"/>
        <v xml:space="preserve">stainless steel as the reactor material.
</v>
      </c>
      <c r="N70" s="18" t="str">
        <f t="shared" si="11"/>
        <v>stainless steel</v>
      </c>
    </row>
    <row r="71" spans="1:14" x14ac:dyDescent="0.3">
      <c r="A71" t="s">
        <v>1709</v>
      </c>
      <c r="B71" t="s">
        <v>2176</v>
      </c>
      <c r="C71" t="s">
        <v>1221</v>
      </c>
      <c r="D71">
        <v>0.98885464668273926</v>
      </c>
      <c r="E71">
        <v>0.98886144161224365</v>
      </c>
      <c r="F71">
        <v>0.98885804414749146</v>
      </c>
      <c r="G71">
        <v>1.0208630960854699E-2</v>
      </c>
      <c r="I71">
        <f t="shared" si="6"/>
        <v>1361</v>
      </c>
      <c r="J71" s="18" t="str">
        <f t="shared" si="7"/>
        <v>stainless steel as the reactor material.</v>
      </c>
      <c r="K71" s="18" t="str">
        <f t="shared" si="8"/>
        <v>stainless steel</v>
      </c>
      <c r="L71">
        <f t="shared" si="9"/>
        <v>1355</v>
      </c>
      <c r="M71" s="18" t="str">
        <f t="shared" si="10"/>
        <v xml:space="preserve">stainless steel as the reactor material.
</v>
      </c>
      <c r="N71" s="18" t="str">
        <f t="shared" si="11"/>
        <v>stainless steel</v>
      </c>
    </row>
    <row r="72" spans="1:14" x14ac:dyDescent="0.3">
      <c r="A72" t="s">
        <v>1708</v>
      </c>
      <c r="B72" t="s">
        <v>2175</v>
      </c>
      <c r="C72" t="s">
        <v>1219</v>
      </c>
      <c r="D72">
        <v>0.99675965309143066</v>
      </c>
      <c r="E72">
        <v>0.99695038795471191</v>
      </c>
      <c r="F72">
        <v>0.99685502052307129</v>
      </c>
      <c r="G72">
        <v>8.4337810996966411E-2</v>
      </c>
      <c r="I72">
        <f t="shared" si="6"/>
        <v>1437</v>
      </c>
      <c r="J72" s="18" t="str">
        <f t="shared" si="7"/>
        <v>stainless steel as the reactor material.</v>
      </c>
      <c r="K72" s="18" t="str">
        <f t="shared" si="8"/>
        <v>stainless steel</v>
      </c>
      <c r="L72">
        <f t="shared" si="9"/>
        <v>1438</v>
      </c>
      <c r="M72" s="18" t="str">
        <f t="shared" si="10"/>
        <v xml:space="preserve">stainless steel as the reactor material.
</v>
      </c>
      <c r="N72" s="18" t="str">
        <f t="shared" si="11"/>
        <v>stainless steel</v>
      </c>
    </row>
    <row r="73" spans="1:14" x14ac:dyDescent="0.3">
      <c r="A73" t="s">
        <v>1707</v>
      </c>
      <c r="B73" t="s">
        <v>2174</v>
      </c>
      <c r="C73" t="s">
        <v>1217</v>
      </c>
      <c r="D73">
        <v>0.99836874008178711</v>
      </c>
      <c r="E73">
        <v>0.9983985424041748</v>
      </c>
      <c r="F73">
        <v>0.99838364124298096</v>
      </c>
      <c r="G73">
        <v>6.835226401233528E-3</v>
      </c>
      <c r="I73">
        <f t="shared" si="6"/>
        <v>1435</v>
      </c>
      <c r="J73" s="18" t="str">
        <f t="shared" si="7"/>
        <v>stainless steel as the reactor material.</v>
      </c>
      <c r="K73" s="18" t="str">
        <f t="shared" si="8"/>
        <v>stainless steel</v>
      </c>
      <c r="L73">
        <f t="shared" si="9"/>
        <v>1434</v>
      </c>
      <c r="M73" s="18" t="str">
        <f t="shared" si="10"/>
        <v xml:space="preserve">stainless steel as the reactor material.
</v>
      </c>
      <c r="N73" s="18" t="str">
        <f t="shared" si="11"/>
        <v>stainless steel</v>
      </c>
    </row>
    <row r="74" spans="1:14" x14ac:dyDescent="0.3">
      <c r="A74" t="s">
        <v>1706</v>
      </c>
      <c r="B74" t="s">
        <v>2173</v>
      </c>
      <c r="C74" s="2" t="s">
        <v>2172</v>
      </c>
      <c r="D74">
        <v>0.96188652515411377</v>
      </c>
      <c r="E74">
        <v>0.96307206153869629</v>
      </c>
      <c r="F74">
        <v>0.96247893571853638</v>
      </c>
      <c r="H74">
        <v>268.29729486023439</v>
      </c>
      <c r="I74">
        <f t="shared" si="6"/>
        <v>1361</v>
      </c>
      <c r="J74" s="18" t="str">
        <f t="shared" si="7"/>
        <v>stainless steel as the reactor material.</v>
      </c>
      <c r="K74" s="18" t="str">
        <f t="shared" si="8"/>
        <v>stainless steel</v>
      </c>
      <c r="L74">
        <f t="shared" si="9"/>
        <v>1356</v>
      </c>
      <c r="M74" s="18" t="str">
        <f t="shared" si="10"/>
        <v xml:space="preserve">stainless steel as the reactor material.
</v>
      </c>
      <c r="N74" s="18" t="str">
        <f t="shared" si="11"/>
        <v>stainless steel</v>
      </c>
    </row>
    <row r="75" spans="1:14" x14ac:dyDescent="0.3">
      <c r="A75" t="s">
        <v>1705</v>
      </c>
      <c r="B75" t="s">
        <v>2171</v>
      </c>
      <c r="C75" t="s">
        <v>1213</v>
      </c>
      <c r="D75">
        <v>0.97757023572921753</v>
      </c>
      <c r="E75">
        <v>0.98006266355514526</v>
      </c>
      <c r="F75">
        <v>0.97881489992141724</v>
      </c>
      <c r="G75">
        <v>0.11881809019562339</v>
      </c>
      <c r="I75">
        <f t="shared" si="6"/>
        <v>1449</v>
      </c>
      <c r="J75" s="18" t="str">
        <f t="shared" si="7"/>
        <v>stainless steel as the reactor material.</v>
      </c>
      <c r="K75" s="18" t="str">
        <f t="shared" si="8"/>
        <v>stainless steel</v>
      </c>
      <c r="L75">
        <f t="shared" si="9"/>
        <v>1438</v>
      </c>
      <c r="M75" s="18" t="str">
        <f t="shared" si="10"/>
        <v xml:space="preserve">stainless steel as the reactor material.
</v>
      </c>
      <c r="N75" s="18" t="str">
        <f t="shared" si="11"/>
        <v>stainless steel</v>
      </c>
    </row>
    <row r="76" spans="1:14" x14ac:dyDescent="0.3">
      <c r="A76" t="s">
        <v>1704</v>
      </c>
      <c r="B76" t="s">
        <v>2170</v>
      </c>
      <c r="C76" t="s">
        <v>1211</v>
      </c>
      <c r="D76">
        <v>0.95987451076507568</v>
      </c>
      <c r="E76">
        <v>0.96195089817047119</v>
      </c>
      <c r="F76">
        <v>0.96091157197952271</v>
      </c>
      <c r="H76">
        <v>326.77276825969341</v>
      </c>
      <c r="I76">
        <f t="shared" si="6"/>
        <v>1360</v>
      </c>
      <c r="J76" s="18" t="str">
        <f t="shared" si="7"/>
        <v>stainless steel as the reactor material.</v>
      </c>
      <c r="K76" s="18" t="str">
        <f t="shared" si="8"/>
        <v>stainless steel</v>
      </c>
      <c r="L76">
        <f t="shared" si="9"/>
        <v>1356</v>
      </c>
      <c r="M76" s="18" t="str">
        <f t="shared" si="10"/>
        <v xml:space="preserve">stainless steel as the reactor material.
</v>
      </c>
      <c r="N76" s="18" t="str">
        <f t="shared" si="11"/>
        <v>stainless steel</v>
      </c>
    </row>
    <row r="77" spans="1:14" x14ac:dyDescent="0.3">
      <c r="A77" t="s">
        <v>1703</v>
      </c>
      <c r="B77" t="s">
        <v>2169</v>
      </c>
      <c r="C77" t="s">
        <v>1209</v>
      </c>
      <c r="D77">
        <v>0.99165868759155273</v>
      </c>
      <c r="E77">
        <v>0.99154222011566162</v>
      </c>
      <c r="F77">
        <v>0.99160045385360718</v>
      </c>
      <c r="G77">
        <v>3.3362076131782888E-2</v>
      </c>
      <c r="I77">
        <f t="shared" si="6"/>
        <v>1438</v>
      </c>
      <c r="J77" s="18" t="str">
        <f t="shared" si="7"/>
        <v>stainless steel as the reactor material.</v>
      </c>
      <c r="K77" s="18" t="str">
        <f t="shared" si="8"/>
        <v>stainless steel</v>
      </c>
      <c r="L77">
        <f t="shared" si="9"/>
        <v>1436</v>
      </c>
      <c r="M77" s="18" t="str">
        <f t="shared" si="10"/>
        <v xml:space="preserve">stainless steel as the reactor material.
</v>
      </c>
      <c r="N77" s="18" t="str">
        <f t="shared" si="11"/>
        <v>stainless steel</v>
      </c>
    </row>
    <row r="78" spans="1:14" x14ac:dyDescent="0.3">
      <c r="A78" t="s">
        <v>1702</v>
      </c>
      <c r="B78" t="s">
        <v>2168</v>
      </c>
      <c r="C78" t="s">
        <v>1207</v>
      </c>
      <c r="D78">
        <v>0.98980295658111572</v>
      </c>
      <c r="E78">
        <v>0.99066686630249023</v>
      </c>
      <c r="F78">
        <v>0.99023473262786865</v>
      </c>
      <c r="G78">
        <v>7.8338608412550984E-3</v>
      </c>
      <c r="I78">
        <f t="shared" si="6"/>
        <v>1430</v>
      </c>
      <c r="J78" s="18" t="str">
        <f t="shared" si="7"/>
        <v>stainless steel as the reactor material.</v>
      </c>
      <c r="K78" s="18" t="str">
        <f t="shared" si="8"/>
        <v>stainless steel</v>
      </c>
      <c r="L78">
        <f t="shared" si="9"/>
        <v>1429</v>
      </c>
      <c r="M78" s="18" t="str">
        <f t="shared" si="10"/>
        <v xml:space="preserve">stainless steel as the reactor material.
</v>
      </c>
      <c r="N78" s="18" t="str">
        <f t="shared" si="11"/>
        <v>stainless steel</v>
      </c>
    </row>
    <row r="79" spans="1:14" x14ac:dyDescent="0.3">
      <c r="A79" t="s">
        <v>1701</v>
      </c>
      <c r="B79" t="s">
        <v>2167</v>
      </c>
      <c r="C79" t="s">
        <v>1205</v>
      </c>
      <c r="D79">
        <v>0.99167478084564209</v>
      </c>
      <c r="E79">
        <v>0.99162977933883667</v>
      </c>
      <c r="F79">
        <v>0.99165230989456177</v>
      </c>
      <c r="G79">
        <v>0.65830167611704749</v>
      </c>
      <c r="I79">
        <f t="shared" si="6"/>
        <v>1358</v>
      </c>
      <c r="J79" s="18" t="str">
        <f t="shared" si="7"/>
        <v>stainless steel as the reactor material.</v>
      </c>
      <c r="K79" s="18" t="str">
        <f t="shared" si="8"/>
        <v>stainless steel</v>
      </c>
      <c r="L79">
        <f t="shared" si="9"/>
        <v>1359</v>
      </c>
      <c r="M79" s="18" t="str">
        <f t="shared" si="10"/>
        <v xml:space="preserve">stainless steel as the reactor material.
</v>
      </c>
      <c r="N79" s="18" t="str">
        <f t="shared" si="11"/>
        <v>stainless steel</v>
      </c>
    </row>
    <row r="80" spans="1:14" x14ac:dyDescent="0.3">
      <c r="A80" t="s">
        <v>1699</v>
      </c>
      <c r="B80" t="s">
        <v>2166</v>
      </c>
      <c r="C80" t="s">
        <v>1201</v>
      </c>
      <c r="D80">
        <v>0.99338030815124512</v>
      </c>
      <c r="E80">
        <v>0.99318313598632813</v>
      </c>
      <c r="F80">
        <v>0.99328172206878662</v>
      </c>
      <c r="G80">
        <v>2.0629764268096661E-2</v>
      </c>
      <c r="I80">
        <f t="shared" si="6"/>
        <v>1432</v>
      </c>
      <c r="J80" s="18" t="str">
        <f t="shared" si="7"/>
        <v>stainless steel as the reactor material.</v>
      </c>
      <c r="K80" s="18" t="str">
        <f t="shared" si="8"/>
        <v>stainless steel</v>
      </c>
      <c r="L80">
        <f t="shared" si="9"/>
        <v>1432</v>
      </c>
      <c r="M80" s="18" t="str">
        <f t="shared" si="10"/>
        <v xml:space="preserve">stainless steel as the reactor material.
</v>
      </c>
      <c r="N80" s="18" t="str">
        <f t="shared" si="11"/>
        <v>stainless steel</v>
      </c>
    </row>
    <row r="81" spans="1:14" x14ac:dyDescent="0.3">
      <c r="A81" t="s">
        <v>1698</v>
      </c>
      <c r="B81" t="s">
        <v>2165</v>
      </c>
      <c r="C81" t="s">
        <v>1199</v>
      </c>
      <c r="D81">
        <v>0.98023051023483276</v>
      </c>
      <c r="E81">
        <v>0.98135232925415039</v>
      </c>
      <c r="F81">
        <v>0.98079109191894531</v>
      </c>
      <c r="G81">
        <v>8.2527491212169041E-2</v>
      </c>
      <c r="I81">
        <f t="shared" si="6"/>
        <v>1439</v>
      </c>
      <c r="J81" s="18" t="str">
        <f t="shared" si="7"/>
        <v>stainless steel as the reactor material.</v>
      </c>
      <c r="K81" s="18" t="str">
        <f t="shared" si="8"/>
        <v>stainless steel</v>
      </c>
      <c r="L81">
        <f t="shared" si="9"/>
        <v>1439</v>
      </c>
      <c r="M81" s="18" t="str">
        <f t="shared" si="10"/>
        <v xml:space="preserve">stainless steel as the reactor material.
</v>
      </c>
      <c r="N81" s="18" t="str">
        <f t="shared" si="11"/>
        <v>stainless steel</v>
      </c>
    </row>
    <row r="82" spans="1:14" x14ac:dyDescent="0.3">
      <c r="A82" t="s">
        <v>1697</v>
      </c>
      <c r="B82" t="s">
        <v>2164</v>
      </c>
      <c r="C82" t="s">
        <v>1197</v>
      </c>
      <c r="D82">
        <v>0.97217881679534912</v>
      </c>
      <c r="E82">
        <v>0.97417110204696655</v>
      </c>
      <c r="F82">
        <v>0.97317397594451904</v>
      </c>
      <c r="G82">
        <v>1.5023202292681691E-2</v>
      </c>
      <c r="I82">
        <f t="shared" si="6"/>
        <v>1450</v>
      </c>
      <c r="J82" s="18" t="str">
        <f t="shared" si="7"/>
        <v>stainless steel as the reactor material.</v>
      </c>
      <c r="K82" s="18" t="str">
        <f t="shared" si="8"/>
        <v>stainless steel</v>
      </c>
      <c r="L82">
        <f t="shared" si="9"/>
        <v>1442</v>
      </c>
      <c r="M82" s="18" t="str">
        <f t="shared" si="10"/>
        <v xml:space="preserve">stainless steel as the reactor material.
</v>
      </c>
      <c r="N82" s="18" t="str">
        <f t="shared" si="11"/>
        <v>stainless steel</v>
      </c>
    </row>
    <row r="83" spans="1:14" x14ac:dyDescent="0.3">
      <c r="A83" t="s">
        <v>1696</v>
      </c>
      <c r="B83" t="s">
        <v>2163</v>
      </c>
      <c r="C83" t="s">
        <v>1195</v>
      </c>
      <c r="D83">
        <v>0.96636778116226196</v>
      </c>
      <c r="E83">
        <v>0.96950185298919678</v>
      </c>
      <c r="F83">
        <v>0.96793228387832642</v>
      </c>
      <c r="G83">
        <v>6.9344190729943092E-2</v>
      </c>
      <c r="I83">
        <f t="shared" si="6"/>
        <v>1441</v>
      </c>
      <c r="J83" s="18" t="str">
        <f t="shared" si="7"/>
        <v>stainless steel as the reactor material.</v>
      </c>
      <c r="K83" s="18" t="str">
        <f t="shared" si="8"/>
        <v>stainless steel</v>
      </c>
      <c r="L83">
        <f t="shared" si="9"/>
        <v>1430</v>
      </c>
      <c r="M83" s="18" t="str">
        <f t="shared" si="10"/>
        <v xml:space="preserve">stainless steel as the reactor material.
</v>
      </c>
      <c r="N83" s="18" t="str">
        <f t="shared" si="11"/>
        <v>stainless steel</v>
      </c>
    </row>
    <row r="84" spans="1:14" x14ac:dyDescent="0.3">
      <c r="A84" t="s">
        <v>1695</v>
      </c>
      <c r="B84" t="s">
        <v>2162</v>
      </c>
      <c r="C84" t="s">
        <v>1193</v>
      </c>
      <c r="D84">
        <v>0.99004667997360229</v>
      </c>
      <c r="E84">
        <v>0.99012607336044312</v>
      </c>
      <c r="F84">
        <v>0.99008637666702271</v>
      </c>
      <c r="G84">
        <v>0.38471099063618719</v>
      </c>
      <c r="I84">
        <f t="shared" si="6"/>
        <v>1366</v>
      </c>
      <c r="J84" s="18" t="str">
        <f t="shared" si="7"/>
        <v>stainless steel as the reactor material.</v>
      </c>
      <c r="K84" s="18" t="str">
        <f t="shared" si="8"/>
        <v>stainless steel</v>
      </c>
      <c r="L84">
        <f t="shared" si="9"/>
        <v>1367</v>
      </c>
      <c r="M84" s="18" t="str">
        <f t="shared" si="10"/>
        <v xml:space="preserve">stainless steel as the reactor material.
</v>
      </c>
      <c r="N84" s="18" t="str">
        <f t="shared" si="11"/>
        <v>stainless steel</v>
      </c>
    </row>
    <row r="85" spans="1:14" x14ac:dyDescent="0.3">
      <c r="A85" t="s">
        <v>1750</v>
      </c>
      <c r="B85" t="s">
        <v>2161</v>
      </c>
      <c r="C85" t="s">
        <v>1303</v>
      </c>
      <c r="D85">
        <v>0.97020995616912842</v>
      </c>
      <c r="E85">
        <v>0.973907470703125</v>
      </c>
      <c r="F85">
        <v>0.97205519676208496</v>
      </c>
      <c r="G85">
        <v>0.46221725080785497</v>
      </c>
      <c r="I85">
        <f t="shared" si="6"/>
        <v>939</v>
      </c>
      <c r="J85" s="18" t="str">
        <f t="shared" si="7"/>
        <v>stainless steel as the reactor material.</v>
      </c>
      <c r="K85" s="18" t="str">
        <f t="shared" si="8"/>
        <v>stainless steel</v>
      </c>
      <c r="L85">
        <f t="shared" si="9"/>
        <v>934</v>
      </c>
      <c r="M85" s="18" t="str">
        <f t="shared" si="10"/>
        <v xml:space="preserve">stainless steel as the reactor material.
</v>
      </c>
      <c r="N85" s="18" t="str">
        <f t="shared" si="11"/>
        <v>stainless steel</v>
      </c>
    </row>
    <row r="86" spans="1:14" x14ac:dyDescent="0.3">
      <c r="A86" t="s">
        <v>1749</v>
      </c>
      <c r="B86" t="s">
        <v>2160</v>
      </c>
      <c r="C86" t="s">
        <v>1301</v>
      </c>
      <c r="D86">
        <v>0.9530637264251709</v>
      </c>
      <c r="E86">
        <v>0.96254026889801025</v>
      </c>
      <c r="F86">
        <v>0.95777857303619385</v>
      </c>
      <c r="G86">
        <v>3.7953623188405801</v>
      </c>
      <c r="I86">
        <f t="shared" si="6"/>
        <v>934</v>
      </c>
      <c r="J86" s="18" t="str">
        <f t="shared" si="7"/>
        <v>stainless steel as the reactor material.</v>
      </c>
      <c r="K86" s="18" t="str">
        <f t="shared" si="8"/>
        <v>stainless steel</v>
      </c>
      <c r="L86">
        <f t="shared" si="9"/>
        <v>933</v>
      </c>
      <c r="M86" s="18" t="str">
        <f t="shared" si="10"/>
        <v xml:space="preserve">stainless steel as the reactor material.
</v>
      </c>
      <c r="N86" s="18" t="str">
        <f t="shared" si="11"/>
        <v>stainless steel</v>
      </c>
    </row>
    <row r="87" spans="1:14" x14ac:dyDescent="0.3">
      <c r="A87" t="s">
        <v>1748</v>
      </c>
      <c r="B87" t="s">
        <v>2159</v>
      </c>
      <c r="C87" t="s">
        <v>1299</v>
      </c>
      <c r="D87">
        <v>0.98994779586791992</v>
      </c>
      <c r="E87">
        <v>0.98994779586791992</v>
      </c>
      <c r="F87">
        <v>0.98994779586791992</v>
      </c>
      <c r="G87">
        <v>0.41284403669724778</v>
      </c>
      <c r="I87">
        <f t="shared" si="6"/>
        <v>954</v>
      </c>
      <c r="J87" s="18" t="str">
        <f t="shared" si="7"/>
        <v>stainless steel as the reactor material.</v>
      </c>
      <c r="K87" s="18" t="str">
        <f t="shared" si="8"/>
        <v>stainless steel</v>
      </c>
      <c r="L87">
        <f t="shared" si="9"/>
        <v>953</v>
      </c>
      <c r="M87" s="18" t="str">
        <f t="shared" si="10"/>
        <v xml:space="preserve">stainless steel as the reactor material.
</v>
      </c>
      <c r="N87" s="18" t="str">
        <f t="shared" si="11"/>
        <v>stainless steel</v>
      </c>
    </row>
    <row r="88" spans="1:14" x14ac:dyDescent="0.3">
      <c r="A88" t="s">
        <v>1700</v>
      </c>
      <c r="B88" t="s">
        <v>2158</v>
      </c>
      <c r="C88" t="s">
        <v>1203</v>
      </c>
      <c r="D88">
        <v>0.97925740480422974</v>
      </c>
      <c r="E88">
        <v>0.98077863454818726</v>
      </c>
      <c r="F88">
        <v>0.98001742362976074</v>
      </c>
      <c r="G88">
        <v>4.6027471547386269E-2</v>
      </c>
      <c r="I88">
        <f t="shared" si="6"/>
        <v>1438</v>
      </c>
      <c r="J88" s="18" t="str">
        <f t="shared" si="7"/>
        <v>stainless steel as the reactor material.</v>
      </c>
      <c r="K88" s="18" t="str">
        <f t="shared" si="8"/>
        <v>stainless steel</v>
      </c>
      <c r="L88">
        <f t="shared" si="9"/>
        <v>1432</v>
      </c>
      <c r="M88" s="18" t="str">
        <f t="shared" si="10"/>
        <v xml:space="preserve">stainless steel as the reactor material.
</v>
      </c>
      <c r="N88" s="18" t="str">
        <f t="shared" si="11"/>
        <v>stainless steel</v>
      </c>
    </row>
    <row r="89" spans="1:14" x14ac:dyDescent="0.3">
      <c r="A89" t="s">
        <v>1715</v>
      </c>
      <c r="B89" t="s">
        <v>2157</v>
      </c>
      <c r="C89" t="s">
        <v>1233</v>
      </c>
      <c r="D89">
        <v>0.9863012433052063</v>
      </c>
      <c r="E89">
        <v>0.98704814910888672</v>
      </c>
      <c r="F89">
        <v>0.98667460680007935</v>
      </c>
      <c r="G89">
        <v>0.2141509471121843</v>
      </c>
      <c r="I89">
        <f t="shared" si="6"/>
        <v>1354</v>
      </c>
      <c r="J89" s="18" t="str">
        <f t="shared" si="7"/>
        <v>stainless steel as the reactor material.</v>
      </c>
      <c r="K89" s="18" t="str">
        <f t="shared" si="8"/>
        <v>stainless steel</v>
      </c>
      <c r="L89">
        <f t="shared" si="9"/>
        <v>1352</v>
      </c>
      <c r="M89" s="18" t="str">
        <f t="shared" si="10"/>
        <v xml:space="preserve">stainless steel as the reactor material.
</v>
      </c>
      <c r="N89" s="18" t="str">
        <f t="shared" si="11"/>
        <v>stainless steel</v>
      </c>
    </row>
    <row r="90" spans="1:14" x14ac:dyDescent="0.3">
      <c r="D90">
        <f>AVERAGE(D2:D89)</f>
        <v>0.97632084719159384</v>
      </c>
      <c r="E90">
        <f>AVERAGE(E2:E89)</f>
        <v>0.97711000252853741</v>
      </c>
      <c r="F90">
        <f>AVERAGE(F2:F89)</f>
        <v>0.9767130728472363</v>
      </c>
      <c r="G90">
        <f>AVERAGE(G2:G89)</f>
        <v>0.82706910048941629</v>
      </c>
    </row>
  </sheetData>
  <autoFilter ref="A1:H90" xr:uid="{60A7DD69-8B31-491D-BB4A-1C9AA73D219F}"/>
  <phoneticPr fontId="1"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AF26-FA49-4622-8508-EEF1F88A7E7C}">
  <dimension ref="A1:P90"/>
  <sheetViews>
    <sheetView topLeftCell="A67" workbookViewId="0">
      <selection activeCell="B2" sqref="B2"/>
    </sheetView>
  </sheetViews>
  <sheetFormatPr defaultRowHeight="14" x14ac:dyDescent="0.3"/>
  <cols>
    <col min="11" max="11" width="16.5" customWidth="1"/>
  </cols>
  <sheetData>
    <row r="1" spans="1:16" x14ac:dyDescent="0.3">
      <c r="A1" s="1" t="s">
        <v>273</v>
      </c>
      <c r="B1" s="1" t="s">
        <v>272</v>
      </c>
      <c r="C1" s="1" t="s">
        <v>271</v>
      </c>
      <c r="D1" s="1" t="s">
        <v>270</v>
      </c>
      <c r="E1" s="1" t="s">
        <v>269</v>
      </c>
      <c r="F1" s="1" t="s">
        <v>268</v>
      </c>
      <c r="G1" s="1" t="s">
        <v>267</v>
      </c>
    </row>
    <row r="2" spans="1:16" x14ac:dyDescent="0.3">
      <c r="A2" t="s">
        <v>1890</v>
      </c>
      <c r="B2" t="s">
        <v>2301</v>
      </c>
      <c r="C2" t="s">
        <v>1889</v>
      </c>
      <c r="D2">
        <v>0.99320435523986816</v>
      </c>
      <c r="E2">
        <v>0.99320435523986816</v>
      </c>
      <c r="F2">
        <v>0.99320435523986816</v>
      </c>
      <c r="G2">
        <v>5.7971014492762686E-4</v>
      </c>
      <c r="I2">
        <f>FIND("using",B2)</f>
        <v>948</v>
      </c>
      <c r="J2" s="18" t="str">
        <f>MID(B2,I2+LEN("using "),LEN(B2))</f>
        <v>stainless steel as the reactor material.</v>
      </c>
      <c r="K2" s="18" t="str">
        <f>LEFT(J2,FIND(" ",J2,FIND(" ",J2)+1)-1)</f>
        <v>stainless steel</v>
      </c>
      <c r="L2">
        <f>FIND("using",C2)</f>
        <v>952</v>
      </c>
      <c r="M2" s="18" t="str">
        <f>MID(C2,L2+LEN("using "),LEN(C2))</f>
        <v>stainless steel as the reactor material.</v>
      </c>
      <c r="N2" s="18" t="str">
        <f>LEFT(M2,FIND(" ",M2,FIND(" ",M2)+1)-1)</f>
        <v>stainless steel</v>
      </c>
      <c r="O2" s="18"/>
      <c r="P2" s="18"/>
    </row>
    <row r="3" spans="1:16" x14ac:dyDescent="0.3">
      <c r="A3" t="s">
        <v>1828</v>
      </c>
      <c r="B3" t="s">
        <v>2270</v>
      </c>
      <c r="C3" t="s">
        <v>1827</v>
      </c>
      <c r="D3">
        <v>0.99339640140533447</v>
      </c>
      <c r="E3">
        <v>0.99355161190032959</v>
      </c>
      <c r="F3">
        <v>0.99347394704818726</v>
      </c>
      <c r="G3">
        <v>2.4508934065650911E-3</v>
      </c>
      <c r="I3">
        <f t="shared" ref="I3:I66" si="0">FIND("using",B3)</f>
        <v>1467</v>
      </c>
      <c r="J3" s="18" t="str">
        <f t="shared" ref="J3:J66" si="1">MID(B3,I3+LEN("using "),LEN(B3))</f>
        <v>stainless steel as the reactor material.</v>
      </c>
      <c r="K3" s="18" t="str">
        <f t="shared" ref="K3:K66" si="2">LEFT(J3,FIND(" ",J3,FIND(" ",J3)+1)-1)</f>
        <v>stainless steel</v>
      </c>
      <c r="L3">
        <f t="shared" ref="L3:L66" si="3">FIND("using",C3)</f>
        <v>1466</v>
      </c>
      <c r="M3" s="18" t="str">
        <f t="shared" ref="M3:M66" si="4">MID(C3,L3+LEN("using "),LEN(C3))</f>
        <v>stainless steel as the reactor material.</v>
      </c>
      <c r="N3" s="18" t="str">
        <f t="shared" ref="N3:N66" si="5">LEFT(M3,FIND(" ",M3,FIND(" ",M3)+1)-1)</f>
        <v>stainless steel</v>
      </c>
    </row>
    <row r="4" spans="1:16" x14ac:dyDescent="0.3">
      <c r="A4" t="s">
        <v>1784</v>
      </c>
      <c r="B4" t="s">
        <v>2247</v>
      </c>
      <c r="C4" t="s">
        <v>1783</v>
      </c>
      <c r="D4">
        <v>0.98958563804626465</v>
      </c>
      <c r="E4">
        <v>0.99014735221862793</v>
      </c>
      <c r="F4">
        <v>0.98986637592315674</v>
      </c>
      <c r="G4">
        <v>3.402775775202671E-3</v>
      </c>
      <c r="I4">
        <f t="shared" si="0"/>
        <v>1386</v>
      </c>
      <c r="J4" s="18" t="str">
        <f t="shared" si="1"/>
        <v>stainless steel as the reactor material.</v>
      </c>
      <c r="K4" s="18" t="str">
        <f t="shared" si="2"/>
        <v>stainless steel</v>
      </c>
      <c r="L4">
        <f t="shared" si="3"/>
        <v>1386</v>
      </c>
      <c r="M4" s="18" t="str">
        <f t="shared" si="4"/>
        <v>stainless steel as the reactor material.</v>
      </c>
      <c r="N4" s="18" t="str">
        <f t="shared" si="5"/>
        <v>stainless steel</v>
      </c>
    </row>
    <row r="5" spans="1:16" x14ac:dyDescent="0.3">
      <c r="A5" t="s">
        <v>1793</v>
      </c>
      <c r="B5" t="s">
        <v>2252</v>
      </c>
      <c r="C5" t="s">
        <v>1792</v>
      </c>
      <c r="D5">
        <v>0.9808962345123291</v>
      </c>
      <c r="E5">
        <v>0.98285704851150513</v>
      </c>
      <c r="F5">
        <v>0.98187565803527832</v>
      </c>
      <c r="G5">
        <v>5.8385366612703346E-3</v>
      </c>
      <c r="I5">
        <f t="shared" si="0"/>
        <v>1457</v>
      </c>
      <c r="J5" s="18" t="str">
        <f t="shared" si="1"/>
        <v>stainless steel as the reactor material.</v>
      </c>
      <c r="K5" s="18" t="str">
        <f t="shared" si="2"/>
        <v>stainless steel</v>
      </c>
      <c r="L5">
        <f t="shared" si="3"/>
        <v>1451</v>
      </c>
      <c r="M5" s="18" t="str">
        <f t="shared" si="4"/>
        <v>stainless steel as the reactor material.</v>
      </c>
      <c r="N5" s="18" t="str">
        <f t="shared" si="5"/>
        <v>stainless steel</v>
      </c>
    </row>
    <row r="6" spans="1:16" x14ac:dyDescent="0.3">
      <c r="A6" t="s">
        <v>1787</v>
      </c>
      <c r="B6" t="s">
        <v>2249</v>
      </c>
      <c r="C6" t="s">
        <v>1786</v>
      </c>
      <c r="D6">
        <v>0.99354612827301025</v>
      </c>
      <c r="E6">
        <v>0.99337530136108398</v>
      </c>
      <c r="F6">
        <v>0.99346071481704712</v>
      </c>
      <c r="G6">
        <v>7.6276927114393104E-3</v>
      </c>
      <c r="I6">
        <f t="shared" si="0"/>
        <v>1465</v>
      </c>
      <c r="J6" s="18" t="str">
        <f t="shared" si="1"/>
        <v>stainless steel as the reactor material.</v>
      </c>
      <c r="K6" s="18" t="str">
        <f t="shared" si="2"/>
        <v>stainless steel</v>
      </c>
      <c r="L6">
        <f t="shared" si="3"/>
        <v>1461</v>
      </c>
      <c r="M6" s="18" t="str">
        <f t="shared" si="4"/>
        <v>stainless steel as the reactor material.</v>
      </c>
      <c r="N6" s="18" t="str">
        <f t="shared" si="5"/>
        <v>stainless steel</v>
      </c>
    </row>
    <row r="7" spans="1:16" x14ac:dyDescent="0.3">
      <c r="A7" t="s">
        <v>1789</v>
      </c>
      <c r="B7" t="s">
        <v>2250</v>
      </c>
      <c r="C7" t="s">
        <v>1788</v>
      </c>
      <c r="D7">
        <v>0.98618590831756592</v>
      </c>
      <c r="E7">
        <v>0.98633658885955811</v>
      </c>
      <c r="F7">
        <v>0.98626124858856201</v>
      </c>
      <c r="G7">
        <v>9.4658590846691138E-3</v>
      </c>
      <c r="I7">
        <f t="shared" si="0"/>
        <v>1458</v>
      </c>
      <c r="J7" s="18" t="str">
        <f t="shared" si="1"/>
        <v>stainless steel as the reactor material.</v>
      </c>
      <c r="K7" s="18" t="str">
        <f t="shared" si="2"/>
        <v>stainless steel</v>
      </c>
      <c r="L7">
        <f t="shared" si="3"/>
        <v>1458</v>
      </c>
      <c r="M7" s="18" t="str">
        <f t="shared" si="4"/>
        <v>stainless steel as the reactor material.</v>
      </c>
      <c r="N7" s="18" t="str">
        <f t="shared" si="5"/>
        <v>stainless steel</v>
      </c>
    </row>
    <row r="8" spans="1:16" x14ac:dyDescent="0.3">
      <c r="A8" t="s">
        <v>1834</v>
      </c>
      <c r="B8" t="s">
        <v>2273</v>
      </c>
      <c r="C8" t="s">
        <v>1833</v>
      </c>
      <c r="D8">
        <v>0.99034333229064941</v>
      </c>
      <c r="E8">
        <v>0.98988020420074463</v>
      </c>
      <c r="F8">
        <v>0.99011176824569702</v>
      </c>
      <c r="G8">
        <v>1.083150835150283E-2</v>
      </c>
      <c r="I8">
        <f t="shared" si="0"/>
        <v>1457</v>
      </c>
      <c r="J8" s="18" t="str">
        <f t="shared" si="1"/>
        <v>stainless steel as the reactor material.</v>
      </c>
      <c r="K8" s="18" t="str">
        <f t="shared" si="2"/>
        <v>stainless steel</v>
      </c>
      <c r="L8">
        <f t="shared" si="3"/>
        <v>1451</v>
      </c>
      <c r="M8" s="18" t="str">
        <f t="shared" si="4"/>
        <v>stainless steel as the reactor material.</v>
      </c>
      <c r="N8" s="18" t="str">
        <f t="shared" si="5"/>
        <v>stainless steel</v>
      </c>
    </row>
    <row r="9" spans="1:16" x14ac:dyDescent="0.3">
      <c r="A9" t="s">
        <v>1936</v>
      </c>
      <c r="B9" t="s">
        <v>2324</v>
      </c>
      <c r="C9" t="s">
        <v>1935</v>
      </c>
      <c r="D9">
        <v>0.98894202709197998</v>
      </c>
      <c r="E9">
        <v>0.98886120319366455</v>
      </c>
      <c r="F9">
        <v>0.98890155553817749</v>
      </c>
      <c r="G9">
        <v>1.253020553338223E-2</v>
      </c>
      <c r="I9">
        <f t="shared" si="0"/>
        <v>1198</v>
      </c>
      <c r="J9" s="18" t="str">
        <f t="shared" si="1"/>
        <v>carbon steel as the reactor material.</v>
      </c>
      <c r="K9" s="18" t="str">
        <f t="shared" si="2"/>
        <v>carbon steel</v>
      </c>
      <c r="L9">
        <f t="shared" si="3"/>
        <v>1199</v>
      </c>
      <c r="M9" s="18" t="str">
        <f t="shared" si="4"/>
        <v>carbon steel as the reactor material.</v>
      </c>
      <c r="N9" s="18" t="str">
        <f t="shared" si="5"/>
        <v>carbon steel</v>
      </c>
    </row>
    <row r="10" spans="1:16" x14ac:dyDescent="0.3">
      <c r="A10" t="s">
        <v>1824</v>
      </c>
      <c r="B10" t="s">
        <v>2268</v>
      </c>
      <c r="C10" t="s">
        <v>1823</v>
      </c>
      <c r="D10">
        <v>0.97145229578018188</v>
      </c>
      <c r="E10">
        <v>0.97421568632125854</v>
      </c>
      <c r="F10">
        <v>0.97283202409744263</v>
      </c>
      <c r="G10">
        <v>1.3783875294166231E-2</v>
      </c>
      <c r="I10">
        <f t="shared" si="0"/>
        <v>1457</v>
      </c>
      <c r="J10" s="18" t="str">
        <f t="shared" si="1"/>
        <v>stainless steel as the reactor material.</v>
      </c>
      <c r="K10" s="18" t="str">
        <f t="shared" si="2"/>
        <v>stainless steel</v>
      </c>
      <c r="L10">
        <f t="shared" si="3"/>
        <v>1457</v>
      </c>
      <c r="M10" s="18" t="str">
        <f t="shared" si="4"/>
        <v>stainless steel as the reactor material.</v>
      </c>
      <c r="N10" s="18" t="str">
        <f t="shared" si="5"/>
        <v>stainless steel</v>
      </c>
    </row>
    <row r="11" spans="1:16" x14ac:dyDescent="0.3">
      <c r="A11" t="s">
        <v>1814</v>
      </c>
      <c r="B11" t="s">
        <v>2263</v>
      </c>
      <c r="C11" t="s">
        <v>1813</v>
      </c>
      <c r="D11">
        <v>0.99114000797271729</v>
      </c>
      <c r="E11">
        <v>0.99104291200637817</v>
      </c>
      <c r="F11">
        <v>0.99109143018722534</v>
      </c>
      <c r="G11">
        <v>1.723121638577137E-2</v>
      </c>
      <c r="I11">
        <f t="shared" si="0"/>
        <v>1447</v>
      </c>
      <c r="J11" s="18" t="str">
        <f t="shared" si="1"/>
        <v>stainless steel as the reactor material.</v>
      </c>
      <c r="K11" s="18" t="str">
        <f t="shared" si="2"/>
        <v>stainless steel</v>
      </c>
      <c r="L11">
        <f t="shared" si="3"/>
        <v>1453</v>
      </c>
      <c r="M11" s="18" t="str">
        <f t="shared" si="4"/>
        <v>stainless steel as the reactor material.</v>
      </c>
      <c r="N11" s="18" t="str">
        <f t="shared" si="5"/>
        <v>stainless steel</v>
      </c>
    </row>
    <row r="12" spans="1:16" x14ac:dyDescent="0.3">
      <c r="A12" t="s">
        <v>1808</v>
      </c>
      <c r="B12" t="s">
        <v>2260</v>
      </c>
      <c r="C12" t="s">
        <v>2259</v>
      </c>
      <c r="D12">
        <v>0.99554562568664551</v>
      </c>
      <c r="E12">
        <v>0.99643874168395996</v>
      </c>
      <c r="F12">
        <v>0.99599200487136841</v>
      </c>
      <c r="G12">
        <v>2.1057436015107771E-2</v>
      </c>
      <c r="I12">
        <f t="shared" si="0"/>
        <v>1457</v>
      </c>
      <c r="J12" s="18" t="str">
        <f t="shared" si="1"/>
        <v>stainless steel as the reactor material.</v>
      </c>
      <c r="K12" s="18" t="str">
        <f t="shared" si="2"/>
        <v>stainless steel</v>
      </c>
      <c r="L12">
        <f t="shared" si="3"/>
        <v>1457</v>
      </c>
      <c r="M12" s="18" t="str">
        <f t="shared" si="4"/>
        <v>stainless steel as the reactor material.</v>
      </c>
      <c r="N12" s="18" t="str">
        <f t="shared" si="5"/>
        <v>stainless steel</v>
      </c>
    </row>
    <row r="13" spans="1:16" x14ac:dyDescent="0.3">
      <c r="A13" t="s">
        <v>1807</v>
      </c>
      <c r="B13" t="s">
        <v>2258</v>
      </c>
      <c r="C13" t="s">
        <v>1806</v>
      </c>
      <c r="D13">
        <v>0.99704992771148682</v>
      </c>
      <c r="E13">
        <v>0.99705874919891357</v>
      </c>
      <c r="F13">
        <v>0.9970543384552002</v>
      </c>
      <c r="G13">
        <v>2.359069369434828E-2</v>
      </c>
      <c r="I13">
        <f t="shared" si="0"/>
        <v>1454</v>
      </c>
      <c r="J13" s="18" t="str">
        <f t="shared" si="1"/>
        <v>stainless steel as the reactor material.</v>
      </c>
      <c r="K13" s="18" t="str">
        <f t="shared" si="2"/>
        <v>stainless steel</v>
      </c>
      <c r="L13">
        <f t="shared" si="3"/>
        <v>1453</v>
      </c>
      <c r="M13" s="18" t="str">
        <f t="shared" si="4"/>
        <v>stainless steel as the reactor material.</v>
      </c>
      <c r="N13" s="18" t="str">
        <f t="shared" si="5"/>
        <v>stainless steel</v>
      </c>
    </row>
    <row r="14" spans="1:16" x14ac:dyDescent="0.3">
      <c r="A14" t="s">
        <v>1803</v>
      </c>
      <c r="B14" t="s">
        <v>2257</v>
      </c>
      <c r="C14" t="s">
        <v>1802</v>
      </c>
      <c r="D14">
        <v>0.9938279390335083</v>
      </c>
      <c r="E14">
        <v>0.99406659603118896</v>
      </c>
      <c r="F14">
        <v>0.99394720792770386</v>
      </c>
      <c r="G14">
        <v>2.836367167124848E-2</v>
      </c>
      <c r="I14">
        <f t="shared" si="0"/>
        <v>1455</v>
      </c>
      <c r="J14" s="18" t="str">
        <f t="shared" si="1"/>
        <v>stainless steel as the reactor material.</v>
      </c>
      <c r="K14" s="18" t="str">
        <f t="shared" si="2"/>
        <v>stainless steel</v>
      </c>
      <c r="L14">
        <f t="shared" si="3"/>
        <v>1457</v>
      </c>
      <c r="M14" s="18" t="str">
        <f t="shared" si="4"/>
        <v>stainless steel as the reactor material.</v>
      </c>
      <c r="N14" s="18" t="str">
        <f t="shared" si="5"/>
        <v>stainless steel</v>
      </c>
    </row>
    <row r="15" spans="1:16" x14ac:dyDescent="0.3">
      <c r="A15" t="s">
        <v>1908</v>
      </c>
      <c r="B15" t="s">
        <v>2310</v>
      </c>
      <c r="C15" t="s">
        <v>1907</v>
      </c>
      <c r="D15">
        <v>0.98482012748718262</v>
      </c>
      <c r="E15">
        <v>0.98482924699783325</v>
      </c>
      <c r="F15">
        <v>0.98482471704483032</v>
      </c>
      <c r="G15">
        <v>3.1366655354632268E-2</v>
      </c>
      <c r="I15">
        <f t="shared" si="0"/>
        <v>1207</v>
      </c>
      <c r="J15" s="18" t="str">
        <f t="shared" si="1"/>
        <v>carbon steel as the reactor material.</v>
      </c>
      <c r="K15" s="18" t="str">
        <f t="shared" si="2"/>
        <v>carbon steel</v>
      </c>
      <c r="L15">
        <f t="shared" si="3"/>
        <v>1210</v>
      </c>
      <c r="M15" s="18" t="str">
        <f t="shared" si="4"/>
        <v>carbon steel as the reactor material.</v>
      </c>
      <c r="N15" s="18" t="str">
        <f t="shared" si="5"/>
        <v>carbon steel</v>
      </c>
    </row>
    <row r="16" spans="1:16" x14ac:dyDescent="0.3">
      <c r="A16" t="s">
        <v>1860</v>
      </c>
      <c r="B16" t="s">
        <v>2286</v>
      </c>
      <c r="C16" t="s">
        <v>1859</v>
      </c>
      <c r="D16">
        <v>0.98076450824737549</v>
      </c>
      <c r="E16">
        <v>0.97802907228469849</v>
      </c>
      <c r="F16">
        <v>0.97939485311508179</v>
      </c>
      <c r="G16">
        <v>3.4245528206696373E-2</v>
      </c>
      <c r="I16">
        <f t="shared" si="0"/>
        <v>954</v>
      </c>
      <c r="J16" s="18" t="str">
        <f t="shared" si="1"/>
        <v>stainless steel as the reactor material.</v>
      </c>
      <c r="K16" s="18" t="str">
        <f t="shared" si="2"/>
        <v>stainless steel</v>
      </c>
      <c r="L16">
        <f t="shared" si="3"/>
        <v>953</v>
      </c>
      <c r="M16" s="18" t="str">
        <f t="shared" si="4"/>
        <v>stainless steel as the reactor material.</v>
      </c>
      <c r="N16" s="18" t="str">
        <f t="shared" si="5"/>
        <v>stainless steel</v>
      </c>
    </row>
    <row r="17" spans="1:14" x14ac:dyDescent="0.3">
      <c r="A17" t="s">
        <v>1797</v>
      </c>
      <c r="B17" t="s">
        <v>2254</v>
      </c>
      <c r="C17" t="s">
        <v>1796</v>
      </c>
      <c r="D17">
        <v>0.99475324153900146</v>
      </c>
      <c r="E17">
        <v>0.99673354625701904</v>
      </c>
      <c r="F17">
        <v>0.99574244022369385</v>
      </c>
      <c r="G17">
        <v>4.0346055847524487E-2</v>
      </c>
      <c r="I17">
        <f t="shared" si="0"/>
        <v>1451</v>
      </c>
      <c r="J17" s="18" t="str">
        <f t="shared" si="1"/>
        <v>stainless steel as the reactor material.</v>
      </c>
      <c r="K17" s="18" t="str">
        <f t="shared" si="2"/>
        <v>stainless steel</v>
      </c>
      <c r="L17">
        <f t="shared" si="3"/>
        <v>1448</v>
      </c>
      <c r="M17" s="18" t="str">
        <f t="shared" si="4"/>
        <v>stainless steel as the reactor material.</v>
      </c>
      <c r="N17" s="18" t="str">
        <f t="shared" si="5"/>
        <v>stainless steel</v>
      </c>
    </row>
    <row r="18" spans="1:14" x14ac:dyDescent="0.3">
      <c r="A18" t="s">
        <v>1906</v>
      </c>
      <c r="B18" t="s">
        <v>2309</v>
      </c>
      <c r="C18" t="s">
        <v>1905</v>
      </c>
      <c r="D18">
        <v>0.99009978771209717</v>
      </c>
      <c r="E18">
        <v>0.99009978771209717</v>
      </c>
      <c r="F18">
        <v>0.99009978771209717</v>
      </c>
      <c r="G18">
        <v>4.0814487284197377E-2</v>
      </c>
      <c r="I18">
        <f t="shared" si="0"/>
        <v>1208</v>
      </c>
      <c r="J18" s="18" t="str">
        <f t="shared" si="1"/>
        <v>carbon steel as the reactor material.</v>
      </c>
      <c r="K18" s="18" t="str">
        <f t="shared" si="2"/>
        <v>carbon steel</v>
      </c>
      <c r="L18">
        <f t="shared" si="3"/>
        <v>1206</v>
      </c>
      <c r="M18" s="18" t="str">
        <f t="shared" si="4"/>
        <v>carbon steel as the reactor material.</v>
      </c>
      <c r="N18" s="18" t="str">
        <f t="shared" si="5"/>
        <v>carbon steel</v>
      </c>
    </row>
    <row r="19" spans="1:14" x14ac:dyDescent="0.3">
      <c r="A19" t="s">
        <v>1795</v>
      </c>
      <c r="B19" t="s">
        <v>2253</v>
      </c>
      <c r="C19" t="s">
        <v>1794</v>
      </c>
      <c r="D19">
        <v>0.97657465934753418</v>
      </c>
      <c r="E19">
        <v>0.9770514965057373</v>
      </c>
      <c r="F19">
        <v>0.97681301832199097</v>
      </c>
      <c r="G19">
        <v>4.3038665023432232E-2</v>
      </c>
      <c r="I19">
        <f t="shared" si="0"/>
        <v>1377</v>
      </c>
      <c r="J19" s="18" t="str">
        <f t="shared" si="1"/>
        <v>stainless steel as the reactor material.</v>
      </c>
      <c r="K19" s="18" t="str">
        <f t="shared" si="2"/>
        <v>stainless steel</v>
      </c>
      <c r="L19">
        <f t="shared" si="3"/>
        <v>1378</v>
      </c>
      <c r="M19" s="18" t="str">
        <f t="shared" si="4"/>
        <v>stainless steel as the reactor material.</v>
      </c>
      <c r="N19" s="18" t="str">
        <f t="shared" si="5"/>
        <v>stainless steel</v>
      </c>
    </row>
    <row r="20" spans="1:14" x14ac:dyDescent="0.3">
      <c r="A20" t="s">
        <v>1922</v>
      </c>
      <c r="B20" t="s">
        <v>2317</v>
      </c>
      <c r="C20" t="s">
        <v>1921</v>
      </c>
      <c r="D20">
        <v>0.97969615459442139</v>
      </c>
      <c r="E20">
        <v>0.98006558418273926</v>
      </c>
      <c r="F20">
        <v>0.97988080978393555</v>
      </c>
      <c r="G20">
        <v>4.957105507099404E-2</v>
      </c>
      <c r="I20">
        <f t="shared" si="0"/>
        <v>1142</v>
      </c>
      <c r="J20" s="18" t="str">
        <f t="shared" si="1"/>
        <v>carbon steel as the reactor material.</v>
      </c>
      <c r="K20" s="18" t="str">
        <f t="shared" si="2"/>
        <v>carbon steel</v>
      </c>
      <c r="L20">
        <f t="shared" si="3"/>
        <v>1137</v>
      </c>
      <c r="M20" s="18" t="str">
        <f t="shared" si="4"/>
        <v>carbon steel as the reactor material.</v>
      </c>
      <c r="N20" s="18" t="str">
        <f t="shared" si="5"/>
        <v>carbon steel</v>
      </c>
    </row>
    <row r="21" spans="1:14" x14ac:dyDescent="0.3">
      <c r="A21" t="s">
        <v>1791</v>
      </c>
      <c r="B21" t="s">
        <v>2251</v>
      </c>
      <c r="C21" t="s">
        <v>1790</v>
      </c>
      <c r="D21">
        <v>0.99562132358551025</v>
      </c>
      <c r="E21">
        <v>0.99558699131011963</v>
      </c>
      <c r="F21">
        <v>0.99560415744781494</v>
      </c>
      <c r="G21">
        <v>4.9592074091262053E-2</v>
      </c>
      <c r="I21">
        <f t="shared" si="0"/>
        <v>1453</v>
      </c>
      <c r="J21" s="18" t="str">
        <f t="shared" si="1"/>
        <v>stainless steel as the reactor material.</v>
      </c>
      <c r="K21" s="18" t="str">
        <f t="shared" si="2"/>
        <v>stainless steel</v>
      </c>
      <c r="L21">
        <f t="shared" si="3"/>
        <v>1451</v>
      </c>
      <c r="M21" s="18" t="str">
        <f t="shared" si="4"/>
        <v>stainless steel as the reactor material.</v>
      </c>
      <c r="N21" s="18" t="str">
        <f t="shared" si="5"/>
        <v>stainless steel</v>
      </c>
    </row>
    <row r="22" spans="1:14" x14ac:dyDescent="0.3">
      <c r="A22" t="s">
        <v>1830</v>
      </c>
      <c r="B22" t="s">
        <v>2271</v>
      </c>
      <c r="C22" t="s">
        <v>1829</v>
      </c>
      <c r="D22">
        <v>0.99072051048278809</v>
      </c>
      <c r="E22">
        <v>0.99015837907791138</v>
      </c>
      <c r="F22">
        <v>0.99043935537338257</v>
      </c>
      <c r="G22">
        <v>5.028509501443236E-2</v>
      </c>
      <c r="I22">
        <f t="shared" si="0"/>
        <v>1378</v>
      </c>
      <c r="J22" s="18" t="str">
        <f t="shared" si="1"/>
        <v>stainless steel as the reactor material.</v>
      </c>
      <c r="K22" s="18" t="str">
        <f t="shared" si="2"/>
        <v>stainless steel</v>
      </c>
      <c r="L22">
        <f t="shared" si="3"/>
        <v>1380</v>
      </c>
      <c r="M22" s="18" t="str">
        <f t="shared" si="4"/>
        <v>stainless steel as the reactor material.</v>
      </c>
      <c r="N22" s="18" t="str">
        <f t="shared" si="5"/>
        <v>stainless steel</v>
      </c>
    </row>
    <row r="23" spans="1:14" x14ac:dyDescent="0.3">
      <c r="A23" t="s">
        <v>1822</v>
      </c>
      <c r="B23" t="s">
        <v>2267</v>
      </c>
      <c r="C23" t="s">
        <v>1821</v>
      </c>
      <c r="D23">
        <v>0.98682349920272827</v>
      </c>
      <c r="E23">
        <v>0.98758363723754883</v>
      </c>
      <c r="F23">
        <v>0.98720341920852661</v>
      </c>
      <c r="G23">
        <v>5.2369848391150019E-2</v>
      </c>
      <c r="I23">
        <f t="shared" si="0"/>
        <v>1373</v>
      </c>
      <c r="J23" s="18" t="str">
        <f t="shared" si="1"/>
        <v>stainless steel as the reactor material.</v>
      </c>
      <c r="K23" s="18" t="str">
        <f t="shared" si="2"/>
        <v>stainless steel</v>
      </c>
      <c r="L23">
        <f t="shared" si="3"/>
        <v>1371</v>
      </c>
      <c r="M23" s="18" t="str">
        <f t="shared" si="4"/>
        <v>stainless steel as the reactor material.</v>
      </c>
      <c r="N23" s="18" t="str">
        <f t="shared" si="5"/>
        <v>stainless steel</v>
      </c>
    </row>
    <row r="24" spans="1:14" x14ac:dyDescent="0.3">
      <c r="A24" t="s">
        <v>1812</v>
      </c>
      <c r="B24" t="s">
        <v>2262</v>
      </c>
      <c r="C24" t="s">
        <v>1811</v>
      </c>
      <c r="D24">
        <v>0.99498778581619263</v>
      </c>
      <c r="E24">
        <v>0.99498832225799561</v>
      </c>
      <c r="F24">
        <v>0.99498802423477173</v>
      </c>
      <c r="G24">
        <v>5.3898058657006753E-2</v>
      </c>
      <c r="I24">
        <f t="shared" si="0"/>
        <v>1454</v>
      </c>
      <c r="J24" s="18" t="str">
        <f t="shared" si="1"/>
        <v>stainless steel as the reactor material.</v>
      </c>
      <c r="K24" s="18" t="str">
        <f t="shared" si="2"/>
        <v>stainless steel</v>
      </c>
      <c r="L24">
        <f t="shared" si="3"/>
        <v>1454</v>
      </c>
      <c r="M24" s="18" t="str">
        <f t="shared" si="4"/>
        <v>stainless steel as the reactor material.</v>
      </c>
      <c r="N24" s="18" t="str">
        <f t="shared" si="5"/>
        <v>stainless steel</v>
      </c>
    </row>
    <row r="25" spans="1:14" x14ac:dyDescent="0.3">
      <c r="A25" t="s">
        <v>1820</v>
      </c>
      <c r="B25" t="s">
        <v>2266</v>
      </c>
      <c r="C25" t="s">
        <v>1819</v>
      </c>
      <c r="D25">
        <v>0.98847997188568115</v>
      </c>
      <c r="E25">
        <v>0.98912179470062256</v>
      </c>
      <c r="F25">
        <v>0.9888007640838623</v>
      </c>
      <c r="G25">
        <v>5.8124311593878437E-2</v>
      </c>
      <c r="I25">
        <f t="shared" si="0"/>
        <v>1371</v>
      </c>
      <c r="J25" s="18" t="str">
        <f t="shared" si="1"/>
        <v>stainless steel as the reactor material.</v>
      </c>
      <c r="K25" s="18" t="str">
        <f t="shared" si="2"/>
        <v>stainless steel</v>
      </c>
      <c r="L25">
        <f t="shared" si="3"/>
        <v>1367</v>
      </c>
      <c r="M25" s="18" t="str">
        <f t="shared" si="4"/>
        <v>stainless steel as the reactor material.</v>
      </c>
      <c r="N25" s="18" t="str">
        <f t="shared" si="5"/>
        <v>stainless steel</v>
      </c>
    </row>
    <row r="26" spans="1:14" x14ac:dyDescent="0.3">
      <c r="A26" t="s">
        <v>1832</v>
      </c>
      <c r="B26" t="s">
        <v>2272</v>
      </c>
      <c r="C26" t="s">
        <v>1831</v>
      </c>
      <c r="D26">
        <v>0.98009037971496582</v>
      </c>
      <c r="E26">
        <v>0.97940778732299805</v>
      </c>
      <c r="F26">
        <v>0.97974896430969238</v>
      </c>
      <c r="G26">
        <v>5.86813468466146E-2</v>
      </c>
      <c r="I26">
        <f t="shared" si="0"/>
        <v>1458</v>
      </c>
      <c r="J26" s="18" t="str">
        <f t="shared" si="1"/>
        <v>stainless steel as the reactor material.</v>
      </c>
      <c r="K26" s="18" t="str">
        <f t="shared" si="2"/>
        <v>stainless steel</v>
      </c>
      <c r="L26">
        <f t="shared" si="3"/>
        <v>1460</v>
      </c>
      <c r="M26" s="18" t="str">
        <f t="shared" si="4"/>
        <v>stainless steel as the reactor material.</v>
      </c>
      <c r="N26" s="18" t="str">
        <f t="shared" si="5"/>
        <v>stainless steel</v>
      </c>
    </row>
    <row r="27" spans="1:14" x14ac:dyDescent="0.3">
      <c r="A27" t="s">
        <v>1799</v>
      </c>
      <c r="B27" t="s">
        <v>2255</v>
      </c>
      <c r="C27" t="s">
        <v>1798</v>
      </c>
      <c r="D27">
        <v>0.9957888126373291</v>
      </c>
      <c r="E27">
        <v>0.99580788612365723</v>
      </c>
      <c r="F27">
        <v>0.99579834938049316</v>
      </c>
      <c r="G27">
        <v>7.6602375789546262E-2</v>
      </c>
      <c r="I27">
        <f t="shared" si="0"/>
        <v>1455</v>
      </c>
      <c r="J27" s="18" t="str">
        <f t="shared" si="1"/>
        <v>stainless steel as the reactor material.</v>
      </c>
      <c r="K27" s="18" t="str">
        <f t="shared" si="2"/>
        <v>stainless steel</v>
      </c>
      <c r="L27">
        <f t="shared" si="3"/>
        <v>1455</v>
      </c>
      <c r="M27" s="18" t="str">
        <f t="shared" si="4"/>
        <v>stainless steel as the reactor material.</v>
      </c>
      <c r="N27" s="18" t="str">
        <f t="shared" si="5"/>
        <v>stainless steel</v>
      </c>
    </row>
    <row r="28" spans="1:14" x14ac:dyDescent="0.3">
      <c r="A28" t="s">
        <v>1953</v>
      </c>
      <c r="B28" t="s">
        <v>2334</v>
      </c>
      <c r="C28" t="s">
        <v>1952</v>
      </c>
      <c r="D28">
        <v>0.97755849361419678</v>
      </c>
      <c r="E28">
        <v>0.97807717323303223</v>
      </c>
      <c r="F28">
        <v>0.97781777381896973</v>
      </c>
      <c r="G28">
        <v>9.0289568176399673E-2</v>
      </c>
      <c r="I28">
        <f t="shared" si="0"/>
        <v>1208</v>
      </c>
      <c r="J28" s="18" t="str">
        <f t="shared" si="1"/>
        <v>carbon steel as the reactor material.</v>
      </c>
      <c r="K28" s="18" t="str">
        <f t="shared" si="2"/>
        <v>carbon steel</v>
      </c>
      <c r="L28">
        <f t="shared" si="3"/>
        <v>1208</v>
      </c>
      <c r="M28" s="18" t="str">
        <f t="shared" si="4"/>
        <v>carbon steel as the reactor material.</v>
      </c>
      <c r="N28" s="18" t="str">
        <f t="shared" si="5"/>
        <v>carbon steel</v>
      </c>
    </row>
    <row r="29" spans="1:14" x14ac:dyDescent="0.3">
      <c r="A29" t="s">
        <v>1918</v>
      </c>
      <c r="B29" t="s">
        <v>2315</v>
      </c>
      <c r="C29" t="s">
        <v>1917</v>
      </c>
      <c r="D29">
        <v>0.9880523681640625</v>
      </c>
      <c r="E29">
        <v>0.98792898654937744</v>
      </c>
      <c r="F29">
        <v>0.98799067735671997</v>
      </c>
      <c r="G29">
        <v>9.8434362994520005E-2</v>
      </c>
      <c r="I29">
        <f t="shared" si="0"/>
        <v>1198</v>
      </c>
      <c r="J29" s="18" t="str">
        <f t="shared" si="1"/>
        <v>carbon steel as the reactor material.</v>
      </c>
      <c r="K29" s="18" t="str">
        <f t="shared" si="2"/>
        <v>carbon steel</v>
      </c>
      <c r="L29">
        <f t="shared" si="3"/>
        <v>1202</v>
      </c>
      <c r="M29" s="18" t="str">
        <f t="shared" si="4"/>
        <v>carbon steel as the reactor material.</v>
      </c>
      <c r="N29" s="18" t="str">
        <f t="shared" si="5"/>
        <v>carbon steel</v>
      </c>
    </row>
    <row r="30" spans="1:14" x14ac:dyDescent="0.3">
      <c r="A30" t="s">
        <v>1858</v>
      </c>
      <c r="B30" t="s">
        <v>2285</v>
      </c>
      <c r="C30" t="s">
        <v>1857</v>
      </c>
      <c r="D30">
        <v>0.9888043999671936</v>
      </c>
      <c r="E30">
        <v>0.9883391261100769</v>
      </c>
      <c r="F30">
        <v>0.98857170343399048</v>
      </c>
      <c r="G30">
        <v>0.10052910052910061</v>
      </c>
      <c r="I30">
        <f t="shared" si="0"/>
        <v>969</v>
      </c>
      <c r="J30" s="18" t="str">
        <f t="shared" si="1"/>
        <v>stainless steel as the reactor material.</v>
      </c>
      <c r="K30" s="18" t="str">
        <f t="shared" si="2"/>
        <v>stainless steel</v>
      </c>
      <c r="L30">
        <f t="shared" si="3"/>
        <v>969</v>
      </c>
      <c r="M30" s="18" t="str">
        <f t="shared" si="4"/>
        <v>stainless steel as the reactor material.</v>
      </c>
      <c r="N30" s="18" t="str">
        <f t="shared" si="5"/>
        <v>stainless steel</v>
      </c>
    </row>
    <row r="31" spans="1:14" x14ac:dyDescent="0.3">
      <c r="A31" t="s">
        <v>1951</v>
      </c>
      <c r="B31" t="s">
        <v>2333</v>
      </c>
      <c r="C31" t="s">
        <v>1950</v>
      </c>
      <c r="D31">
        <v>0.98746585845947266</v>
      </c>
      <c r="E31">
        <v>0.98743736743927002</v>
      </c>
      <c r="F31">
        <v>0.98745161294937134</v>
      </c>
      <c r="G31">
        <v>0.12380594737953859</v>
      </c>
      <c r="I31">
        <f t="shared" si="0"/>
        <v>1209</v>
      </c>
      <c r="J31" s="18" t="str">
        <f t="shared" si="1"/>
        <v>carbon steel as the reactor material.</v>
      </c>
      <c r="K31" s="18" t="str">
        <f t="shared" si="2"/>
        <v>carbon steel</v>
      </c>
      <c r="L31">
        <f t="shared" si="3"/>
        <v>1210</v>
      </c>
      <c r="M31" s="18" t="str">
        <f t="shared" si="4"/>
        <v>carbon steel as the reactor material.</v>
      </c>
      <c r="N31" s="18" t="str">
        <f t="shared" si="5"/>
        <v>carbon steel</v>
      </c>
    </row>
    <row r="32" spans="1:14" x14ac:dyDescent="0.3">
      <c r="A32" t="s">
        <v>1944</v>
      </c>
      <c r="B32" t="s">
        <v>2328</v>
      </c>
      <c r="C32" t="s">
        <v>1943</v>
      </c>
      <c r="D32">
        <v>0.98857474327087402</v>
      </c>
      <c r="E32">
        <v>0.98864966630935669</v>
      </c>
      <c r="F32">
        <v>0.98861223459243774</v>
      </c>
      <c r="G32">
        <v>0.1264551157190841</v>
      </c>
      <c r="I32">
        <f t="shared" si="0"/>
        <v>1197</v>
      </c>
      <c r="J32" s="18" t="str">
        <f t="shared" si="1"/>
        <v>carbon steel as the reactor material.</v>
      </c>
      <c r="K32" s="18" t="str">
        <f t="shared" si="2"/>
        <v>carbon steel</v>
      </c>
      <c r="L32">
        <f t="shared" si="3"/>
        <v>1199</v>
      </c>
      <c r="M32" s="18" t="str">
        <f t="shared" si="4"/>
        <v>carbon steel as the reactor material.</v>
      </c>
      <c r="N32" s="18" t="str">
        <f t="shared" si="5"/>
        <v>carbon steel</v>
      </c>
    </row>
    <row r="33" spans="1:14" x14ac:dyDescent="0.3">
      <c r="A33" t="s">
        <v>1926</v>
      </c>
      <c r="B33" t="s">
        <v>2319</v>
      </c>
      <c r="C33" t="s">
        <v>1925</v>
      </c>
      <c r="D33">
        <v>0.9821394681930542</v>
      </c>
      <c r="E33">
        <v>0.98209357261657715</v>
      </c>
      <c r="F33">
        <v>0.98211652040481567</v>
      </c>
      <c r="G33">
        <v>0.13143632900133589</v>
      </c>
      <c r="I33">
        <f t="shared" si="0"/>
        <v>1210</v>
      </c>
      <c r="J33" s="18" t="str">
        <f t="shared" si="1"/>
        <v>carbon steel as the reactor material.</v>
      </c>
      <c r="K33" s="18" t="str">
        <f t="shared" si="2"/>
        <v>carbon steel</v>
      </c>
      <c r="L33">
        <f t="shared" si="3"/>
        <v>1210</v>
      </c>
      <c r="M33" s="18" t="str">
        <f t="shared" si="4"/>
        <v>carbon steel as the reactor material.</v>
      </c>
      <c r="N33" s="18" t="str">
        <f t="shared" si="5"/>
        <v>carbon steel</v>
      </c>
    </row>
    <row r="34" spans="1:14" x14ac:dyDescent="0.3">
      <c r="A34" t="s">
        <v>1942</v>
      </c>
      <c r="B34" t="s">
        <v>2327</v>
      </c>
      <c r="C34" t="s">
        <v>1941</v>
      </c>
      <c r="D34">
        <v>0.98866963386535645</v>
      </c>
      <c r="E34">
        <v>0.98875868320465088</v>
      </c>
      <c r="F34">
        <v>0.98871415853500366</v>
      </c>
      <c r="G34">
        <v>0.13178243341484369</v>
      </c>
      <c r="I34">
        <f t="shared" si="0"/>
        <v>1202</v>
      </c>
      <c r="J34" s="18" t="str">
        <f t="shared" si="1"/>
        <v>carbon steel as the reactor material.</v>
      </c>
      <c r="K34" s="18" t="str">
        <f t="shared" si="2"/>
        <v>carbon steel</v>
      </c>
      <c r="L34">
        <f t="shared" si="3"/>
        <v>1203</v>
      </c>
      <c r="M34" s="18" t="str">
        <f t="shared" si="4"/>
        <v>carbon steel as the reactor material.</v>
      </c>
      <c r="N34" s="18" t="str">
        <f t="shared" si="5"/>
        <v>carbon steel</v>
      </c>
    </row>
    <row r="35" spans="1:14" x14ac:dyDescent="0.3">
      <c r="A35" t="s">
        <v>1934</v>
      </c>
      <c r="B35" t="s">
        <v>2323</v>
      </c>
      <c r="C35" t="s">
        <v>1933</v>
      </c>
      <c r="D35">
        <v>0.9667629599571228</v>
      </c>
      <c r="E35">
        <v>0.96695524454116821</v>
      </c>
      <c r="F35">
        <v>0.96685910224914551</v>
      </c>
      <c r="G35">
        <v>0.1372332597498159</v>
      </c>
      <c r="I35">
        <f t="shared" si="0"/>
        <v>1195</v>
      </c>
      <c r="J35" s="18" t="str">
        <f t="shared" si="1"/>
        <v>carbon steel as the reactor material.</v>
      </c>
      <c r="K35" s="18" t="str">
        <f t="shared" si="2"/>
        <v>carbon steel</v>
      </c>
      <c r="L35">
        <f t="shared" si="3"/>
        <v>1195</v>
      </c>
      <c r="M35" s="18" t="str">
        <f t="shared" si="4"/>
        <v>carbon steel as the reactor material.</v>
      </c>
      <c r="N35" s="18" t="str">
        <f t="shared" si="5"/>
        <v>carbon steel</v>
      </c>
    </row>
    <row r="36" spans="1:14" x14ac:dyDescent="0.3">
      <c r="A36" t="s">
        <v>1801</v>
      </c>
      <c r="B36" t="s">
        <v>2256</v>
      </c>
      <c r="C36" t="s">
        <v>1800</v>
      </c>
      <c r="D36">
        <v>0.98821818828582764</v>
      </c>
      <c r="E36">
        <v>0.98826467990875244</v>
      </c>
      <c r="F36">
        <v>0.98824143409729004</v>
      </c>
      <c r="G36">
        <v>0.1599639314697924</v>
      </c>
      <c r="I36">
        <f t="shared" si="0"/>
        <v>1378</v>
      </c>
      <c r="J36" s="18" t="str">
        <f t="shared" si="1"/>
        <v>stainless steel as the reactor material.</v>
      </c>
      <c r="K36" s="18" t="str">
        <f t="shared" si="2"/>
        <v>stainless steel</v>
      </c>
      <c r="L36">
        <f t="shared" si="3"/>
        <v>1375</v>
      </c>
      <c r="M36" s="18" t="str">
        <f t="shared" si="4"/>
        <v>stainless steel as the reactor material.</v>
      </c>
      <c r="N36" s="18" t="str">
        <f t="shared" si="5"/>
        <v>stainless steel</v>
      </c>
    </row>
    <row r="37" spans="1:14" x14ac:dyDescent="0.3">
      <c r="A37" t="s">
        <v>1916</v>
      </c>
      <c r="B37" t="s">
        <v>2314</v>
      </c>
      <c r="C37" t="s">
        <v>1915</v>
      </c>
      <c r="D37">
        <v>0.98647701740264893</v>
      </c>
      <c r="E37">
        <v>0.98665726184844971</v>
      </c>
      <c r="F37">
        <v>0.98656713962554932</v>
      </c>
      <c r="G37">
        <v>0.16145457667868809</v>
      </c>
      <c r="I37">
        <f t="shared" si="0"/>
        <v>1207</v>
      </c>
      <c r="J37" s="18" t="str">
        <f t="shared" si="1"/>
        <v>carbon steel as the reactor material.</v>
      </c>
      <c r="K37" s="18" t="str">
        <f t="shared" si="2"/>
        <v>carbon steel</v>
      </c>
      <c r="L37">
        <f t="shared" si="3"/>
        <v>1205</v>
      </c>
      <c r="M37" s="18" t="str">
        <f t="shared" si="4"/>
        <v>carbon steel as the reactor material.</v>
      </c>
      <c r="N37" s="18" t="str">
        <f t="shared" si="5"/>
        <v>carbon steel</v>
      </c>
    </row>
    <row r="38" spans="1:14" x14ac:dyDescent="0.3">
      <c r="A38" t="s">
        <v>1894</v>
      </c>
      <c r="B38" t="s">
        <v>2303</v>
      </c>
      <c r="C38" t="s">
        <v>1893</v>
      </c>
      <c r="D38">
        <v>0.97077500820159912</v>
      </c>
      <c r="E38">
        <v>0.97604846954345703</v>
      </c>
      <c r="F38">
        <v>0.97340458631515503</v>
      </c>
      <c r="G38">
        <v>0.17858267716535439</v>
      </c>
      <c r="I38">
        <f t="shared" si="0"/>
        <v>973</v>
      </c>
      <c r="J38" s="18" t="str">
        <f t="shared" si="1"/>
        <v>stainless steel as the reactor material.</v>
      </c>
      <c r="K38" s="18" t="str">
        <f t="shared" si="2"/>
        <v>stainless steel</v>
      </c>
      <c r="L38">
        <f t="shared" si="3"/>
        <v>973</v>
      </c>
      <c r="M38" s="18" t="str">
        <f t="shared" si="4"/>
        <v>stainless steel as the reactor material.</v>
      </c>
      <c r="N38" s="18" t="str">
        <f t="shared" si="5"/>
        <v>stainless steel</v>
      </c>
    </row>
    <row r="39" spans="1:14" x14ac:dyDescent="0.3">
      <c r="A39" t="s">
        <v>1946</v>
      </c>
      <c r="B39" t="s">
        <v>2329</v>
      </c>
      <c r="C39" t="s">
        <v>1945</v>
      </c>
      <c r="D39">
        <v>0.97297704219818115</v>
      </c>
      <c r="E39">
        <v>0.9728473424911499</v>
      </c>
      <c r="F39">
        <v>0.97291219234466553</v>
      </c>
      <c r="G39">
        <v>0.19406766030452521</v>
      </c>
      <c r="I39">
        <f t="shared" si="0"/>
        <v>1211</v>
      </c>
      <c r="J39" s="18" t="str">
        <f t="shared" si="1"/>
        <v>carbon steel as the reactor material.</v>
      </c>
      <c r="K39" s="18" t="str">
        <f t="shared" si="2"/>
        <v>carbon steel</v>
      </c>
      <c r="L39">
        <f t="shared" si="3"/>
        <v>1207</v>
      </c>
      <c r="M39" s="18" t="str">
        <f t="shared" si="4"/>
        <v>carbon steel as the reactor material.</v>
      </c>
      <c r="N39" s="18" t="str">
        <f t="shared" si="5"/>
        <v>carbon steel</v>
      </c>
    </row>
    <row r="40" spans="1:14" x14ac:dyDescent="0.3">
      <c r="A40" t="s">
        <v>1826</v>
      </c>
      <c r="B40" t="s">
        <v>2269</v>
      </c>
      <c r="C40" t="s">
        <v>1825</v>
      </c>
      <c r="D40">
        <v>0.96556490659713745</v>
      </c>
      <c r="E40">
        <v>0.96266305446624756</v>
      </c>
      <c r="F40">
        <v>0.9641118049621582</v>
      </c>
      <c r="G40">
        <v>0.1941385674114379</v>
      </c>
      <c r="I40">
        <f t="shared" si="0"/>
        <v>1380</v>
      </c>
      <c r="J40" s="18" t="str">
        <f t="shared" si="1"/>
        <v>stainless steel as the reactor material.</v>
      </c>
      <c r="K40" s="18" t="str">
        <f t="shared" si="2"/>
        <v>stainless steel</v>
      </c>
      <c r="L40">
        <f t="shared" si="3"/>
        <v>1380</v>
      </c>
      <c r="M40" s="18" t="str">
        <f t="shared" si="4"/>
        <v>stainless steel as the reactor material.</v>
      </c>
      <c r="N40" s="18" t="str">
        <f t="shared" si="5"/>
        <v>stainless steel</v>
      </c>
    </row>
    <row r="41" spans="1:14" x14ac:dyDescent="0.3">
      <c r="A41" t="s">
        <v>1940</v>
      </c>
      <c r="B41" t="s">
        <v>2326</v>
      </c>
      <c r="C41" t="s">
        <v>1939</v>
      </c>
      <c r="D41">
        <v>0.98807603120803833</v>
      </c>
      <c r="E41">
        <v>0.98802512884140015</v>
      </c>
      <c r="F41">
        <v>0.98805058002471924</v>
      </c>
      <c r="G41">
        <v>0.1955940377027619</v>
      </c>
      <c r="I41">
        <f t="shared" si="0"/>
        <v>1198</v>
      </c>
      <c r="J41" s="18" t="str">
        <f t="shared" si="1"/>
        <v>carbon steel as the reactor material.</v>
      </c>
      <c r="K41" s="18" t="str">
        <f t="shared" si="2"/>
        <v>carbon steel</v>
      </c>
      <c r="L41">
        <f t="shared" si="3"/>
        <v>1198</v>
      </c>
      <c r="M41" s="18" t="str">
        <f t="shared" si="4"/>
        <v>carbon steel as the reactor material.</v>
      </c>
      <c r="N41" s="18" t="str">
        <f t="shared" si="5"/>
        <v>carbon steel</v>
      </c>
    </row>
    <row r="42" spans="1:14" x14ac:dyDescent="0.3">
      <c r="A42" t="s">
        <v>1848</v>
      </c>
      <c r="B42" t="s">
        <v>2280</v>
      </c>
      <c r="C42" t="s">
        <v>1847</v>
      </c>
      <c r="D42">
        <v>0.972281813621521</v>
      </c>
      <c r="E42">
        <v>0.97560930252075195</v>
      </c>
      <c r="F42">
        <v>0.97394275665283203</v>
      </c>
      <c r="G42">
        <v>0.19685944082726931</v>
      </c>
      <c r="I42">
        <f t="shared" si="0"/>
        <v>972</v>
      </c>
      <c r="J42" s="18" t="str">
        <f t="shared" si="1"/>
        <v>stainless steel as the reactor material.</v>
      </c>
      <c r="K42" s="18" t="str">
        <f t="shared" si="2"/>
        <v>stainless steel</v>
      </c>
      <c r="L42">
        <f t="shared" si="3"/>
        <v>973</v>
      </c>
      <c r="M42" s="18" t="str">
        <f t="shared" si="4"/>
        <v>stainless steel as the reactor material.</v>
      </c>
      <c r="N42" s="18" t="str">
        <f t="shared" si="5"/>
        <v>stainless steel</v>
      </c>
    </row>
    <row r="43" spans="1:14" x14ac:dyDescent="0.3">
      <c r="A43" t="s">
        <v>1864</v>
      </c>
      <c r="B43" t="s">
        <v>2288</v>
      </c>
      <c r="C43" t="s">
        <v>1863</v>
      </c>
      <c r="D43">
        <v>0.97690188884735107</v>
      </c>
      <c r="E43">
        <v>0.97466975450515747</v>
      </c>
      <c r="F43">
        <v>0.9757845401763916</v>
      </c>
      <c r="G43">
        <v>0.2000588408355399</v>
      </c>
      <c r="I43">
        <f t="shared" si="0"/>
        <v>968</v>
      </c>
      <c r="J43" s="18" t="str">
        <f t="shared" si="1"/>
        <v>stainless steel as the reactor material.</v>
      </c>
      <c r="K43" s="18" t="str">
        <f t="shared" si="2"/>
        <v>stainless steel</v>
      </c>
      <c r="L43">
        <f t="shared" si="3"/>
        <v>973</v>
      </c>
      <c r="M43" s="18" t="str">
        <f t="shared" si="4"/>
        <v>stainless steel as the reactor material.</v>
      </c>
      <c r="N43" s="18" t="str">
        <f t="shared" si="5"/>
        <v>stainless steel</v>
      </c>
    </row>
    <row r="44" spans="1:14" x14ac:dyDescent="0.3">
      <c r="A44" t="s">
        <v>1900</v>
      </c>
      <c r="B44" t="s">
        <v>2306</v>
      </c>
      <c r="C44" t="s">
        <v>1899</v>
      </c>
      <c r="D44">
        <v>0.98527514934539795</v>
      </c>
      <c r="E44">
        <v>0.98535650968551636</v>
      </c>
      <c r="F44">
        <v>0.98531585931777954</v>
      </c>
      <c r="G44">
        <v>0.2015378591600922</v>
      </c>
      <c r="I44">
        <f t="shared" si="0"/>
        <v>1199</v>
      </c>
      <c r="J44" s="18" t="str">
        <f t="shared" si="1"/>
        <v>carbon steel as the reactor material.</v>
      </c>
      <c r="K44" s="18" t="str">
        <f t="shared" si="2"/>
        <v>carbon steel</v>
      </c>
      <c r="L44">
        <f t="shared" si="3"/>
        <v>1206</v>
      </c>
      <c r="M44" s="18" t="str">
        <f t="shared" si="4"/>
        <v>carbon steel as the reactor material.</v>
      </c>
      <c r="N44" s="18" t="str">
        <f t="shared" si="5"/>
        <v>carbon steel</v>
      </c>
    </row>
    <row r="45" spans="1:14" x14ac:dyDescent="0.3">
      <c r="A45" t="s">
        <v>1842</v>
      </c>
      <c r="B45" t="s">
        <v>2277</v>
      </c>
      <c r="C45" t="s">
        <v>1841</v>
      </c>
      <c r="D45">
        <v>0.98678195476531982</v>
      </c>
      <c r="E45">
        <v>0.98678070306777954</v>
      </c>
      <c r="F45">
        <v>0.98678129911422729</v>
      </c>
      <c r="G45">
        <v>0.20169252468265161</v>
      </c>
      <c r="I45">
        <f t="shared" si="0"/>
        <v>953</v>
      </c>
      <c r="J45" s="18" t="str">
        <f t="shared" si="1"/>
        <v>stainless steel as the reactor material.</v>
      </c>
      <c r="K45" s="18" t="str">
        <f t="shared" si="2"/>
        <v>stainless steel</v>
      </c>
      <c r="L45">
        <f t="shared" si="3"/>
        <v>953</v>
      </c>
      <c r="M45" s="18" t="str">
        <f t="shared" si="4"/>
        <v>stainless steel as the reactor material.</v>
      </c>
      <c r="N45" s="18" t="str">
        <f t="shared" si="5"/>
        <v>stainless steel</v>
      </c>
    </row>
    <row r="46" spans="1:14" x14ac:dyDescent="0.3">
      <c r="A46" t="s">
        <v>1818</v>
      </c>
      <c r="B46" t="s">
        <v>2265</v>
      </c>
      <c r="C46" t="s">
        <v>1817</v>
      </c>
      <c r="D46">
        <v>0.97784781455993652</v>
      </c>
      <c r="E46">
        <v>0.97886073589324951</v>
      </c>
      <c r="F46">
        <v>0.97835397720336914</v>
      </c>
      <c r="G46">
        <v>0.22320128868690781</v>
      </c>
      <c r="I46">
        <f t="shared" si="0"/>
        <v>1378</v>
      </c>
      <c r="J46" s="18" t="str">
        <f t="shared" si="1"/>
        <v>stainless steel as the reactor material.</v>
      </c>
      <c r="K46" s="18" t="str">
        <f t="shared" si="2"/>
        <v>stainless steel</v>
      </c>
      <c r="L46">
        <f t="shared" si="3"/>
        <v>1378</v>
      </c>
      <c r="M46" s="18" t="str">
        <f t="shared" si="4"/>
        <v>stainless steel as the reactor material.</v>
      </c>
      <c r="N46" s="18" t="str">
        <f t="shared" si="5"/>
        <v>stainless steel</v>
      </c>
    </row>
    <row r="47" spans="1:14" x14ac:dyDescent="0.3">
      <c r="A47" t="s">
        <v>1836</v>
      </c>
      <c r="B47" t="s">
        <v>2274</v>
      </c>
      <c r="C47" t="s">
        <v>1835</v>
      </c>
      <c r="D47">
        <v>0.9821469783782959</v>
      </c>
      <c r="E47">
        <v>0.98187124729156494</v>
      </c>
      <c r="F47">
        <v>0.98200911283493042</v>
      </c>
      <c r="G47">
        <v>0.22373019373664041</v>
      </c>
      <c r="I47">
        <f t="shared" si="0"/>
        <v>1370</v>
      </c>
      <c r="J47" s="18" t="str">
        <f t="shared" si="1"/>
        <v>stainless steel as the reactor material.</v>
      </c>
      <c r="K47" s="18" t="str">
        <f t="shared" si="2"/>
        <v>stainless steel</v>
      </c>
      <c r="L47">
        <f t="shared" si="3"/>
        <v>1361</v>
      </c>
      <c r="M47" s="18" t="str">
        <f t="shared" si="4"/>
        <v>stainless steel as the reactor material.</v>
      </c>
      <c r="N47" s="18" t="str">
        <f t="shared" si="5"/>
        <v>stainless steel</v>
      </c>
    </row>
    <row r="48" spans="1:14" x14ac:dyDescent="0.3">
      <c r="A48" t="s">
        <v>1898</v>
      </c>
      <c r="B48" t="s">
        <v>2305</v>
      </c>
      <c r="C48" t="s">
        <v>1897</v>
      </c>
      <c r="D48">
        <v>0.98145580291748047</v>
      </c>
      <c r="E48">
        <v>0.98145580291748047</v>
      </c>
      <c r="F48">
        <v>0.98145580291748047</v>
      </c>
      <c r="G48">
        <v>0.2283634897065023</v>
      </c>
      <c r="I48">
        <f t="shared" si="0"/>
        <v>1199</v>
      </c>
      <c r="J48" s="18" t="str">
        <f t="shared" si="1"/>
        <v>carbon steel as the reactor material.</v>
      </c>
      <c r="K48" s="18" t="str">
        <f t="shared" si="2"/>
        <v>carbon steel</v>
      </c>
      <c r="L48">
        <f t="shared" si="3"/>
        <v>1193</v>
      </c>
      <c r="M48" s="18" t="str">
        <f t="shared" si="4"/>
        <v>carbon steel as the reactor material.</v>
      </c>
      <c r="N48" s="18" t="str">
        <f t="shared" si="5"/>
        <v>carbon steel</v>
      </c>
    </row>
    <row r="49" spans="1:14" x14ac:dyDescent="0.3">
      <c r="A49" t="s">
        <v>1838</v>
      </c>
      <c r="B49" t="s">
        <v>2275</v>
      </c>
      <c r="C49" t="s">
        <v>1837</v>
      </c>
      <c r="D49">
        <v>0.97204244136810303</v>
      </c>
      <c r="E49">
        <v>0.9756506085395813</v>
      </c>
      <c r="F49">
        <v>0.97384315729141235</v>
      </c>
      <c r="G49">
        <v>0.23016134343101749</v>
      </c>
      <c r="I49">
        <f t="shared" si="0"/>
        <v>952</v>
      </c>
      <c r="J49" s="18" t="str">
        <f t="shared" si="1"/>
        <v>stainless steel as the reactor material.</v>
      </c>
      <c r="K49" s="18" t="str">
        <f t="shared" si="2"/>
        <v>stainless steel</v>
      </c>
      <c r="L49">
        <f t="shared" si="3"/>
        <v>953</v>
      </c>
      <c r="M49" s="18" t="str">
        <f t="shared" si="4"/>
        <v>stainless steel as the reactor material.</v>
      </c>
      <c r="N49" s="18" t="str">
        <f t="shared" si="5"/>
        <v>stainless steel</v>
      </c>
    </row>
    <row r="50" spans="1:14" x14ac:dyDescent="0.3">
      <c r="A50" t="s">
        <v>1810</v>
      </c>
      <c r="B50" t="s">
        <v>2261</v>
      </c>
      <c r="C50" t="s">
        <v>1809</v>
      </c>
      <c r="D50">
        <v>0.96709716320037842</v>
      </c>
      <c r="E50">
        <v>0.9663316011428833</v>
      </c>
      <c r="F50">
        <v>0.96671426296234131</v>
      </c>
      <c r="G50">
        <v>0.2307471490563289</v>
      </c>
      <c r="I50">
        <f t="shared" si="0"/>
        <v>1373</v>
      </c>
      <c r="J50" s="18" t="str">
        <f t="shared" si="1"/>
        <v>stainless steel as the reactor material.</v>
      </c>
      <c r="K50" s="18" t="str">
        <f t="shared" si="2"/>
        <v>stainless steel</v>
      </c>
      <c r="L50">
        <f t="shared" si="3"/>
        <v>1374</v>
      </c>
      <c r="M50" s="18" t="str">
        <f t="shared" si="4"/>
        <v>stainless steel as the reactor material.</v>
      </c>
      <c r="N50" s="18" t="str">
        <f t="shared" si="5"/>
        <v>stainless steel</v>
      </c>
    </row>
    <row r="51" spans="1:14" x14ac:dyDescent="0.3">
      <c r="A51" t="s">
        <v>1912</v>
      </c>
      <c r="B51" t="s">
        <v>2312</v>
      </c>
      <c r="C51" t="s">
        <v>1911</v>
      </c>
      <c r="D51">
        <v>0.98715454339981079</v>
      </c>
      <c r="E51">
        <v>0.98714256286621094</v>
      </c>
      <c r="F51">
        <v>0.98714858293533325</v>
      </c>
      <c r="G51">
        <v>0.23799480856586641</v>
      </c>
      <c r="I51">
        <f t="shared" si="0"/>
        <v>1192</v>
      </c>
      <c r="J51" s="18" t="str">
        <f t="shared" si="1"/>
        <v>carbon steel as the reactor material.</v>
      </c>
      <c r="K51" s="18" t="str">
        <f t="shared" si="2"/>
        <v>carbon steel</v>
      </c>
      <c r="L51">
        <f t="shared" si="3"/>
        <v>1192</v>
      </c>
      <c r="M51" s="18" t="str">
        <f t="shared" si="4"/>
        <v>carbon steel as the reactor material.</v>
      </c>
      <c r="N51" s="18" t="str">
        <f t="shared" si="5"/>
        <v>carbon steel</v>
      </c>
    </row>
    <row r="52" spans="1:14" x14ac:dyDescent="0.3">
      <c r="A52" t="s">
        <v>1932</v>
      </c>
      <c r="B52" t="s">
        <v>2322</v>
      </c>
      <c r="C52" t="s">
        <v>1931</v>
      </c>
      <c r="D52">
        <v>0.97485744953155518</v>
      </c>
      <c r="E52">
        <v>0.97486037015914917</v>
      </c>
      <c r="F52">
        <v>0.97485893964767456</v>
      </c>
      <c r="G52">
        <v>0.24303681817453229</v>
      </c>
      <c r="I52">
        <f t="shared" si="0"/>
        <v>1211</v>
      </c>
      <c r="J52" s="18" t="str">
        <f t="shared" si="1"/>
        <v>carbon steel as the reactor material.</v>
      </c>
      <c r="K52" s="18" t="str">
        <f t="shared" si="2"/>
        <v>carbon steel</v>
      </c>
      <c r="L52">
        <f t="shared" si="3"/>
        <v>1205</v>
      </c>
      <c r="M52" s="18" t="str">
        <f t="shared" si="4"/>
        <v>carbon steel as the reactor material.</v>
      </c>
      <c r="N52" s="18" t="str">
        <f t="shared" si="5"/>
        <v>carbon steel</v>
      </c>
    </row>
    <row r="53" spans="1:14" x14ac:dyDescent="0.3">
      <c r="A53" t="s">
        <v>1846</v>
      </c>
      <c r="B53" t="s">
        <v>2279</v>
      </c>
      <c r="C53" t="s">
        <v>1845</v>
      </c>
      <c r="D53">
        <v>0.98821830749511719</v>
      </c>
      <c r="E53">
        <v>0.98766964673995972</v>
      </c>
      <c r="F53">
        <v>0.98794382810592651</v>
      </c>
      <c r="G53">
        <v>0.25920964501004701</v>
      </c>
      <c r="I53">
        <f t="shared" si="0"/>
        <v>968</v>
      </c>
      <c r="J53" s="18" t="str">
        <f t="shared" si="1"/>
        <v>stainless steel as the reactor material.</v>
      </c>
      <c r="K53" s="18" t="str">
        <f t="shared" si="2"/>
        <v>stainless steel</v>
      </c>
      <c r="L53">
        <f t="shared" si="3"/>
        <v>969</v>
      </c>
      <c r="M53" s="18" t="str">
        <f t="shared" si="4"/>
        <v>stainless steel as the reactor material.</v>
      </c>
      <c r="N53" s="18" t="str">
        <f t="shared" si="5"/>
        <v>stainless steel</v>
      </c>
    </row>
    <row r="54" spans="1:14" x14ac:dyDescent="0.3">
      <c r="A54" t="s">
        <v>1904</v>
      </c>
      <c r="B54" t="s">
        <v>2308</v>
      </c>
      <c r="C54" t="s">
        <v>1903</v>
      </c>
      <c r="D54">
        <v>0.99068349599838257</v>
      </c>
      <c r="E54">
        <v>0.99068349599838257</v>
      </c>
      <c r="F54">
        <v>0.99068349599838257</v>
      </c>
      <c r="G54">
        <v>0.26385050439365798</v>
      </c>
      <c r="I54">
        <f t="shared" si="0"/>
        <v>1203</v>
      </c>
      <c r="J54" s="18" t="str">
        <f t="shared" si="1"/>
        <v>carbon steel as the reactor material.</v>
      </c>
      <c r="K54" s="18" t="str">
        <f t="shared" si="2"/>
        <v>carbon steel</v>
      </c>
      <c r="L54">
        <f t="shared" si="3"/>
        <v>1204</v>
      </c>
      <c r="M54" s="18" t="str">
        <f t="shared" si="4"/>
        <v>carbon steel as the reactor material.</v>
      </c>
      <c r="N54" s="18" t="str">
        <f t="shared" si="5"/>
        <v>carbon steel</v>
      </c>
    </row>
    <row r="55" spans="1:14" x14ac:dyDescent="0.3">
      <c r="A55" t="s">
        <v>1920</v>
      </c>
      <c r="B55" t="s">
        <v>2316</v>
      </c>
      <c r="C55" t="s">
        <v>1919</v>
      </c>
      <c r="D55">
        <v>0.99055951833724976</v>
      </c>
      <c r="E55">
        <v>0.99055951833724976</v>
      </c>
      <c r="F55">
        <v>0.99055951833724976</v>
      </c>
      <c r="G55">
        <v>0.26639661774796908</v>
      </c>
      <c r="I55">
        <f t="shared" si="0"/>
        <v>1200</v>
      </c>
      <c r="J55" s="18" t="str">
        <f t="shared" si="1"/>
        <v>carbon steel as the reactor material.</v>
      </c>
      <c r="K55" s="18" t="str">
        <f t="shared" si="2"/>
        <v>carbon steel</v>
      </c>
      <c r="L55">
        <f t="shared" si="3"/>
        <v>1200</v>
      </c>
      <c r="M55" s="18" t="str">
        <f t="shared" si="4"/>
        <v>carbon steel as the reactor material.</v>
      </c>
      <c r="N55" s="18" t="str">
        <f t="shared" si="5"/>
        <v>carbon steel</v>
      </c>
    </row>
    <row r="56" spans="1:14" x14ac:dyDescent="0.3">
      <c r="A56" t="s">
        <v>1924</v>
      </c>
      <c r="B56" t="s">
        <v>2318</v>
      </c>
      <c r="C56" t="s">
        <v>1923</v>
      </c>
      <c r="D56">
        <v>0.97372233867645264</v>
      </c>
      <c r="E56">
        <v>0.97379732131958008</v>
      </c>
      <c r="F56">
        <v>0.97375982999801636</v>
      </c>
      <c r="G56">
        <v>0.28373452869022991</v>
      </c>
      <c r="I56">
        <f t="shared" si="0"/>
        <v>1197</v>
      </c>
      <c r="J56" s="18" t="str">
        <f t="shared" si="1"/>
        <v>carbon steel as the reactor material.</v>
      </c>
      <c r="K56" s="18" t="str">
        <f t="shared" si="2"/>
        <v>carbon steel</v>
      </c>
      <c r="L56">
        <f t="shared" si="3"/>
        <v>1201</v>
      </c>
      <c r="M56" s="18" t="str">
        <f t="shared" si="4"/>
        <v>carbon steel as the reactor material.</v>
      </c>
      <c r="N56" s="18" t="str">
        <f t="shared" si="5"/>
        <v>carbon steel</v>
      </c>
    </row>
    <row r="57" spans="1:14" x14ac:dyDescent="0.3">
      <c r="A57" t="s">
        <v>1882</v>
      </c>
      <c r="B57" t="s">
        <v>2297</v>
      </c>
      <c r="C57" t="s">
        <v>1881</v>
      </c>
      <c r="D57">
        <v>0.96061521768569946</v>
      </c>
      <c r="E57">
        <v>0.96725982427597046</v>
      </c>
      <c r="F57">
        <v>0.96392607688903809</v>
      </c>
      <c r="G57">
        <v>0.28644175684277529</v>
      </c>
      <c r="I57">
        <f t="shared" si="0"/>
        <v>969</v>
      </c>
      <c r="J57" s="18" t="str">
        <f t="shared" si="1"/>
        <v>stainless steel as the reactor material.</v>
      </c>
      <c r="K57" s="18" t="str">
        <f t="shared" si="2"/>
        <v>stainless steel</v>
      </c>
      <c r="L57">
        <f t="shared" si="3"/>
        <v>969</v>
      </c>
      <c r="M57" s="18" t="str">
        <f t="shared" si="4"/>
        <v>stainless steel as the reactor material.</v>
      </c>
      <c r="N57" s="18" t="str">
        <f t="shared" si="5"/>
        <v>stainless steel</v>
      </c>
    </row>
    <row r="58" spans="1:14" x14ac:dyDescent="0.3">
      <c r="A58" t="s">
        <v>1938</v>
      </c>
      <c r="B58" t="s">
        <v>2325</v>
      </c>
      <c r="C58" t="s">
        <v>1937</v>
      </c>
      <c r="D58">
        <v>0.98861640691757202</v>
      </c>
      <c r="E58">
        <v>0.98882937431335449</v>
      </c>
      <c r="F58">
        <v>0.98872280120849609</v>
      </c>
      <c r="G58">
        <v>0.29112247269346969</v>
      </c>
      <c r="I58">
        <f t="shared" si="0"/>
        <v>1189</v>
      </c>
      <c r="J58" s="18" t="str">
        <f t="shared" si="1"/>
        <v>carbon steel as the reactor material.</v>
      </c>
      <c r="K58" s="18" t="str">
        <f t="shared" si="2"/>
        <v>carbon steel</v>
      </c>
      <c r="L58">
        <f t="shared" si="3"/>
        <v>1189</v>
      </c>
      <c r="M58" s="18" t="str">
        <f t="shared" si="4"/>
        <v>carbon steel as the reactor material.</v>
      </c>
      <c r="N58" s="18" t="str">
        <f t="shared" si="5"/>
        <v>carbon steel</v>
      </c>
    </row>
    <row r="59" spans="1:14" x14ac:dyDescent="0.3">
      <c r="A59" t="s">
        <v>1872</v>
      </c>
      <c r="B59" t="s">
        <v>2292</v>
      </c>
      <c r="C59" t="s">
        <v>1871</v>
      </c>
      <c r="D59">
        <v>0.991507887840271</v>
      </c>
      <c r="E59">
        <v>0.9913145899772644</v>
      </c>
      <c r="F59">
        <v>0.99141120910644531</v>
      </c>
      <c r="G59">
        <v>0.35230506545247581</v>
      </c>
      <c r="I59">
        <f t="shared" si="0"/>
        <v>969</v>
      </c>
      <c r="J59" s="18" t="str">
        <f t="shared" si="1"/>
        <v>stainless steel as the reactor material.</v>
      </c>
      <c r="K59" s="18" t="str">
        <f t="shared" si="2"/>
        <v>stainless steel</v>
      </c>
      <c r="L59">
        <f t="shared" si="3"/>
        <v>968</v>
      </c>
      <c r="M59" s="18" t="str">
        <f t="shared" si="4"/>
        <v>stainless steel as the reactor material.</v>
      </c>
      <c r="N59" s="18" t="str">
        <f t="shared" si="5"/>
        <v>stainless steel</v>
      </c>
    </row>
    <row r="60" spans="1:14" x14ac:dyDescent="0.3">
      <c r="A60" t="s">
        <v>1902</v>
      </c>
      <c r="B60" t="s">
        <v>2307</v>
      </c>
      <c r="C60" t="s">
        <v>1901</v>
      </c>
      <c r="D60">
        <v>0.98921710252761841</v>
      </c>
      <c r="E60">
        <v>0.9890981912612915</v>
      </c>
      <c r="F60">
        <v>0.98915761709213257</v>
      </c>
      <c r="G60">
        <v>0.36188824203802678</v>
      </c>
      <c r="I60">
        <f t="shared" si="0"/>
        <v>1198</v>
      </c>
      <c r="J60" s="18" t="str">
        <f t="shared" si="1"/>
        <v>carbon steel as the reactor material.</v>
      </c>
      <c r="K60" s="18" t="str">
        <f t="shared" si="2"/>
        <v>carbon steel</v>
      </c>
      <c r="L60">
        <f t="shared" si="3"/>
        <v>1200</v>
      </c>
      <c r="M60" s="18" t="str">
        <f t="shared" si="4"/>
        <v>carbon steel as the reactor material.</v>
      </c>
      <c r="N60" s="18" t="str">
        <f t="shared" si="5"/>
        <v>carbon steel</v>
      </c>
    </row>
    <row r="61" spans="1:14" x14ac:dyDescent="0.3">
      <c r="A61" t="s">
        <v>1866</v>
      </c>
      <c r="B61" t="s">
        <v>2289</v>
      </c>
      <c r="C61" t="s">
        <v>1865</v>
      </c>
      <c r="D61">
        <v>0.98927521705627441</v>
      </c>
      <c r="E61">
        <v>0.98924577236175537</v>
      </c>
      <c r="F61">
        <v>0.98926049470901489</v>
      </c>
      <c r="G61">
        <v>0.38132183908045969</v>
      </c>
      <c r="I61">
        <f t="shared" si="0"/>
        <v>972</v>
      </c>
      <c r="J61" s="18" t="str">
        <f t="shared" si="1"/>
        <v>stainless steel as the reactor material.</v>
      </c>
      <c r="K61" s="18" t="str">
        <f t="shared" si="2"/>
        <v>stainless steel</v>
      </c>
      <c r="L61">
        <f t="shared" si="3"/>
        <v>971</v>
      </c>
      <c r="M61" s="18" t="str">
        <f t="shared" si="4"/>
        <v>stainless steel as the reactor material.</v>
      </c>
      <c r="N61" s="18" t="str">
        <f t="shared" si="5"/>
        <v>stainless steel</v>
      </c>
    </row>
    <row r="62" spans="1:14" x14ac:dyDescent="0.3">
      <c r="A62" t="s">
        <v>1888</v>
      </c>
      <c r="B62" t="s">
        <v>2300</v>
      </c>
      <c r="C62" t="s">
        <v>1887</v>
      </c>
      <c r="D62">
        <v>0.98729449510574341</v>
      </c>
      <c r="E62">
        <v>0.98706430196762085</v>
      </c>
      <c r="F62">
        <v>0.98717933893203735</v>
      </c>
      <c r="G62">
        <v>0.41364180295173519</v>
      </c>
      <c r="I62">
        <f t="shared" si="0"/>
        <v>966</v>
      </c>
      <c r="J62" s="18" t="str">
        <f t="shared" si="1"/>
        <v>stainless steel as the reactor material.</v>
      </c>
      <c r="K62" s="18" t="str">
        <f t="shared" si="2"/>
        <v>stainless steel</v>
      </c>
      <c r="L62">
        <f t="shared" si="3"/>
        <v>972</v>
      </c>
      <c r="M62" s="18" t="str">
        <f t="shared" si="4"/>
        <v>stainless steel as the reactor material.</v>
      </c>
      <c r="N62" s="18" t="str">
        <f t="shared" si="5"/>
        <v>stainless steel</v>
      </c>
    </row>
    <row r="63" spans="1:14" x14ac:dyDescent="0.3">
      <c r="A63" t="s">
        <v>1949</v>
      </c>
      <c r="B63" t="s">
        <v>2332</v>
      </c>
      <c r="C63" t="s">
        <v>2331</v>
      </c>
      <c r="D63">
        <v>0.96555376052856445</v>
      </c>
      <c r="E63">
        <v>0.96779513359069824</v>
      </c>
      <c r="F63">
        <v>0.96667319536209106</v>
      </c>
      <c r="G63">
        <v>0.45716602425495911</v>
      </c>
      <c r="I63">
        <f t="shared" si="0"/>
        <v>1140</v>
      </c>
      <c r="J63" s="18" t="str">
        <f t="shared" si="1"/>
        <v>carbon steel as the reactor material.</v>
      </c>
      <c r="K63" s="18" t="str">
        <f t="shared" si="2"/>
        <v>carbon steel</v>
      </c>
      <c r="L63">
        <f t="shared" si="3"/>
        <v>1140</v>
      </c>
      <c r="M63" s="18" t="str">
        <f t="shared" si="4"/>
        <v>carbon steel as the reactor material.</v>
      </c>
      <c r="N63" s="18" t="str">
        <f t="shared" si="5"/>
        <v>carbon steel</v>
      </c>
    </row>
    <row r="64" spans="1:14" x14ac:dyDescent="0.3">
      <c r="A64" t="s">
        <v>1840</v>
      </c>
      <c r="B64" t="s">
        <v>2276</v>
      </c>
      <c r="C64" t="s">
        <v>1839</v>
      </c>
      <c r="D64">
        <v>0.96559929847717285</v>
      </c>
      <c r="E64">
        <v>0.95833265781402588</v>
      </c>
      <c r="F64">
        <v>0.96195226907730103</v>
      </c>
      <c r="G64">
        <v>0.4781401804302568</v>
      </c>
      <c r="I64">
        <f t="shared" si="0"/>
        <v>970</v>
      </c>
      <c r="J64" s="18" t="str">
        <f t="shared" si="1"/>
        <v>stainless steel as the reactor material.</v>
      </c>
      <c r="K64" s="18" t="str">
        <f t="shared" si="2"/>
        <v>stainless steel</v>
      </c>
      <c r="L64">
        <f t="shared" si="3"/>
        <v>970</v>
      </c>
      <c r="M64" s="18" t="str">
        <f t="shared" si="4"/>
        <v>stainless steel as the reactor material.</v>
      </c>
      <c r="N64" s="18" t="str">
        <f t="shared" si="5"/>
        <v>stainless steel</v>
      </c>
    </row>
    <row r="65" spans="1:14" x14ac:dyDescent="0.3">
      <c r="A65" t="s">
        <v>1878</v>
      </c>
      <c r="B65" t="s">
        <v>2295</v>
      </c>
      <c r="C65" t="s">
        <v>1877</v>
      </c>
      <c r="D65">
        <v>0.98881596326828003</v>
      </c>
      <c r="E65">
        <v>0.98884105682373047</v>
      </c>
      <c r="F65">
        <v>0.98882848024368286</v>
      </c>
      <c r="G65">
        <v>0.58958517210944406</v>
      </c>
      <c r="I65">
        <f t="shared" si="0"/>
        <v>968</v>
      </c>
      <c r="J65" s="18" t="str">
        <f t="shared" si="1"/>
        <v>stainless steel as the reactor material.</v>
      </c>
      <c r="K65" s="18" t="str">
        <f t="shared" si="2"/>
        <v>stainless steel</v>
      </c>
      <c r="L65">
        <f t="shared" si="3"/>
        <v>968</v>
      </c>
      <c r="M65" s="18" t="str">
        <f t="shared" si="4"/>
        <v>stainless steel as the reactor material.</v>
      </c>
      <c r="N65" s="18" t="str">
        <f t="shared" si="5"/>
        <v>stainless steel</v>
      </c>
    </row>
    <row r="66" spans="1:14" x14ac:dyDescent="0.3">
      <c r="A66" t="s">
        <v>1948</v>
      </c>
      <c r="B66" t="s">
        <v>2330</v>
      </c>
      <c r="C66" t="s">
        <v>1947</v>
      </c>
      <c r="D66">
        <v>0.98526144027709961</v>
      </c>
      <c r="E66">
        <v>0.98507976531982422</v>
      </c>
      <c r="F66">
        <v>0.98517054319381714</v>
      </c>
      <c r="G66">
        <v>0.61111372290912502</v>
      </c>
      <c r="I66">
        <f t="shared" si="0"/>
        <v>1138</v>
      </c>
      <c r="J66" s="18" t="str">
        <f t="shared" si="1"/>
        <v>carbon steel as the reactor material.</v>
      </c>
      <c r="K66" s="18" t="str">
        <f t="shared" si="2"/>
        <v>carbon steel</v>
      </c>
      <c r="L66">
        <f t="shared" si="3"/>
        <v>1136</v>
      </c>
      <c r="M66" s="18" t="str">
        <f t="shared" si="4"/>
        <v>carbon steel as the reactor material.</v>
      </c>
      <c r="N66" s="18" t="str">
        <f t="shared" si="5"/>
        <v>carbon steel</v>
      </c>
    </row>
    <row r="67" spans="1:14" x14ac:dyDescent="0.3">
      <c r="A67" t="s">
        <v>1876</v>
      </c>
      <c r="B67" t="s">
        <v>2294</v>
      </c>
      <c r="C67" t="s">
        <v>1875</v>
      </c>
      <c r="D67">
        <v>0.9734346866607666</v>
      </c>
      <c r="E67">
        <v>0.97658991813659668</v>
      </c>
      <c r="F67">
        <v>0.9750097393989563</v>
      </c>
      <c r="G67">
        <v>0.65962534874451972</v>
      </c>
      <c r="I67">
        <f t="shared" ref="I67:I89" si="6">FIND("using",B67)</f>
        <v>973</v>
      </c>
      <c r="J67" s="18" t="str">
        <f t="shared" ref="J67:J89" si="7">MID(B67,I67+LEN("using "),LEN(B67))</f>
        <v>stainless steel as the reactor material.</v>
      </c>
      <c r="K67" s="18" t="str">
        <f t="shared" ref="K67:K89" si="8">LEFT(J67,FIND(" ",J67,FIND(" ",J67)+1)-1)</f>
        <v>stainless steel</v>
      </c>
      <c r="L67">
        <f t="shared" ref="L67:L89" si="9">FIND("using",C67)</f>
        <v>969</v>
      </c>
      <c r="M67" s="18" t="str">
        <f t="shared" ref="M67:M89" si="10">MID(C67,L67+LEN("using "),LEN(C67))</f>
        <v>stainless steel as the reactor material.</v>
      </c>
      <c r="N67" s="18" t="str">
        <f t="shared" ref="N67:N89" si="11">LEFT(M67,FIND(" ",M67,FIND(" ",M67)+1)-1)</f>
        <v>stainless steel</v>
      </c>
    </row>
    <row r="68" spans="1:14" x14ac:dyDescent="0.3">
      <c r="A68" t="s">
        <v>1892</v>
      </c>
      <c r="B68" t="s">
        <v>2302</v>
      </c>
      <c r="C68" t="s">
        <v>1891</v>
      </c>
      <c r="D68">
        <v>0.97231918573379517</v>
      </c>
      <c r="E68">
        <v>0.97632193565368652</v>
      </c>
      <c r="F68">
        <v>0.97431647777557373</v>
      </c>
      <c r="G68">
        <v>0.69052945563012702</v>
      </c>
      <c r="I68">
        <f t="shared" si="6"/>
        <v>959</v>
      </c>
      <c r="J68" s="18" t="str">
        <f t="shared" si="7"/>
        <v>stainless steel as the reactor material.</v>
      </c>
      <c r="K68" s="18" t="str">
        <f t="shared" si="8"/>
        <v>stainless steel</v>
      </c>
      <c r="L68">
        <f t="shared" si="9"/>
        <v>953</v>
      </c>
      <c r="M68" s="18" t="str">
        <f t="shared" si="10"/>
        <v>stainless steel as the reactor material.</v>
      </c>
      <c r="N68" s="18" t="str">
        <f t="shared" si="11"/>
        <v>stainless steel</v>
      </c>
    </row>
    <row r="69" spans="1:14" x14ac:dyDescent="0.3">
      <c r="A69" t="s">
        <v>1880</v>
      </c>
      <c r="B69" t="s">
        <v>2296</v>
      </c>
      <c r="C69" t="s">
        <v>1879</v>
      </c>
      <c r="D69">
        <v>0.96522039175033569</v>
      </c>
      <c r="E69">
        <v>0.95874106884002686</v>
      </c>
      <c r="F69">
        <v>0.96196985244750977</v>
      </c>
      <c r="G69">
        <v>0.71019653495857016</v>
      </c>
      <c r="I69">
        <f t="shared" si="6"/>
        <v>954</v>
      </c>
      <c r="J69" s="18" t="str">
        <f t="shared" si="7"/>
        <v>stainless steel as the reactor material.</v>
      </c>
      <c r="K69" s="18" t="str">
        <f t="shared" si="8"/>
        <v>stainless steel</v>
      </c>
      <c r="L69">
        <f t="shared" si="9"/>
        <v>954</v>
      </c>
      <c r="M69" s="18" t="str">
        <f t="shared" si="10"/>
        <v>stainless steel as the reactor material.</v>
      </c>
      <c r="N69" s="18" t="str">
        <f t="shared" si="11"/>
        <v>stainless steel</v>
      </c>
    </row>
    <row r="70" spans="1:14" x14ac:dyDescent="0.3">
      <c r="A70" t="s">
        <v>1862</v>
      </c>
      <c r="B70" t="s">
        <v>2287</v>
      </c>
      <c r="C70" t="s">
        <v>1861</v>
      </c>
      <c r="D70">
        <v>0.97543632984161377</v>
      </c>
      <c r="E70">
        <v>0.97122204303741455</v>
      </c>
      <c r="F70">
        <v>0.97332465648651123</v>
      </c>
      <c r="G70">
        <v>0.77119651347068152</v>
      </c>
      <c r="I70">
        <f t="shared" si="6"/>
        <v>954</v>
      </c>
      <c r="J70" s="18" t="str">
        <f t="shared" si="7"/>
        <v>stainless steel as the reactor material.</v>
      </c>
      <c r="K70" s="18" t="str">
        <f t="shared" si="8"/>
        <v>stainless steel</v>
      </c>
      <c r="L70">
        <f t="shared" si="9"/>
        <v>954</v>
      </c>
      <c r="M70" s="18" t="str">
        <f t="shared" si="10"/>
        <v>stainless steel as the reactor material.</v>
      </c>
      <c r="N70" s="18" t="str">
        <f t="shared" si="11"/>
        <v>stainless steel</v>
      </c>
    </row>
    <row r="71" spans="1:14" x14ac:dyDescent="0.3">
      <c r="A71" t="s">
        <v>1805</v>
      </c>
      <c r="B71" s="2" t="s">
        <v>2348</v>
      </c>
      <c r="C71" t="s">
        <v>1804</v>
      </c>
      <c r="D71">
        <v>0.97244429588317871</v>
      </c>
      <c r="E71">
        <v>0.97260570526123047</v>
      </c>
      <c r="F71">
        <v>0.97252500057220459</v>
      </c>
      <c r="G71">
        <v>0.43029756537421104</v>
      </c>
      <c r="I71">
        <f t="shared" si="6"/>
        <v>1230</v>
      </c>
      <c r="J71" s="18" t="str">
        <f t="shared" si="7"/>
        <v>stainless steel as the reactor material.</v>
      </c>
      <c r="K71" s="18" t="str">
        <f t="shared" si="8"/>
        <v>stainless steel</v>
      </c>
      <c r="L71">
        <f t="shared" si="9"/>
        <v>1375</v>
      </c>
      <c r="M71" s="18" t="str">
        <f t="shared" si="10"/>
        <v>stainless steel as the reactor material.</v>
      </c>
      <c r="N71" s="18" t="str">
        <f t="shared" si="11"/>
        <v>stainless steel</v>
      </c>
    </row>
    <row r="72" spans="1:14" x14ac:dyDescent="0.3">
      <c r="A72" t="s">
        <v>1816</v>
      </c>
      <c r="B72" t="s">
        <v>2264</v>
      </c>
      <c r="C72" t="s">
        <v>1815</v>
      </c>
      <c r="D72">
        <v>0.97220534086227417</v>
      </c>
      <c r="E72">
        <v>0.97251570224761963</v>
      </c>
      <c r="F72">
        <v>0.97236049175262451</v>
      </c>
      <c r="G72">
        <v>0.95841926356368334</v>
      </c>
      <c r="I72">
        <f t="shared" si="6"/>
        <v>1373</v>
      </c>
      <c r="J72" s="18" t="str">
        <f t="shared" si="7"/>
        <v>stainless steel as the reactor material.</v>
      </c>
      <c r="K72" s="18" t="str">
        <f t="shared" si="8"/>
        <v>stainless steel</v>
      </c>
      <c r="L72">
        <f t="shared" si="9"/>
        <v>1374</v>
      </c>
      <c r="M72" s="18" t="str">
        <f t="shared" si="10"/>
        <v>stainless steel as the reactor material.</v>
      </c>
      <c r="N72" s="18" t="str">
        <f t="shared" si="11"/>
        <v>stainless steel</v>
      </c>
    </row>
    <row r="73" spans="1:14" x14ac:dyDescent="0.3">
      <c r="A73" t="s">
        <v>1928</v>
      </c>
      <c r="B73" t="s">
        <v>2320</v>
      </c>
      <c r="C73" t="s">
        <v>1927</v>
      </c>
      <c r="D73">
        <v>0.96422970294952393</v>
      </c>
      <c r="E73">
        <v>0.96677368879318237</v>
      </c>
      <c r="F73">
        <v>0.96550005674362183</v>
      </c>
      <c r="G73">
        <v>923.01300000000003</v>
      </c>
      <c r="I73" t="e">
        <f t="shared" si="6"/>
        <v>#VALUE!</v>
      </c>
      <c r="J73" s="18" t="e">
        <f t="shared" si="7"/>
        <v>#VALUE!</v>
      </c>
      <c r="K73" s="18" t="s">
        <v>2360</v>
      </c>
      <c r="L73">
        <f t="shared" si="9"/>
        <v>1203</v>
      </c>
      <c r="M73" s="18" t="str">
        <f t="shared" si="10"/>
        <v>carbon steel as the reactor material.</v>
      </c>
      <c r="N73" s="18" t="str">
        <f t="shared" si="11"/>
        <v>carbon steel</v>
      </c>
    </row>
    <row r="74" spans="1:14" x14ac:dyDescent="0.3">
      <c r="A74" t="s">
        <v>1785</v>
      </c>
      <c r="B74" s="2" t="s">
        <v>2347</v>
      </c>
      <c r="C74" t="s">
        <v>2248</v>
      </c>
      <c r="D74">
        <v>0.97504246234893799</v>
      </c>
      <c r="E74">
        <v>0.97680330276489258</v>
      </c>
      <c r="F74">
        <v>0.9759221076965332</v>
      </c>
      <c r="G74">
        <v>8.4199999999999997E-2</v>
      </c>
      <c r="I74" t="e">
        <f t="shared" si="6"/>
        <v>#VALUE!</v>
      </c>
      <c r="J74" s="18" t="e">
        <f t="shared" si="7"/>
        <v>#VALUE!</v>
      </c>
      <c r="K74" s="18" t="s">
        <v>2360</v>
      </c>
      <c r="L74">
        <f t="shared" si="9"/>
        <v>1449</v>
      </c>
      <c r="M74" s="18" t="str">
        <f t="shared" si="10"/>
        <v>stainless steel as the reactor material.</v>
      </c>
      <c r="N74" s="18" t="str">
        <f t="shared" si="11"/>
        <v>stainless steel</v>
      </c>
    </row>
    <row r="75" spans="1:14" x14ac:dyDescent="0.3">
      <c r="A75" t="s">
        <v>1844</v>
      </c>
      <c r="B75" t="s">
        <v>2278</v>
      </c>
      <c r="C75" t="s">
        <v>1843</v>
      </c>
      <c r="D75">
        <v>0.97344779968261719</v>
      </c>
      <c r="E75">
        <v>0.97846019268035889</v>
      </c>
      <c r="F75">
        <v>0.97594755887985229</v>
      </c>
      <c r="G75">
        <v>1.033950617283951</v>
      </c>
      <c r="I75">
        <f t="shared" si="6"/>
        <v>973</v>
      </c>
      <c r="J75" s="18" t="str">
        <f t="shared" si="7"/>
        <v>stainless steel as the reactor material.</v>
      </c>
      <c r="K75" s="18" t="str">
        <f t="shared" si="8"/>
        <v>stainless steel</v>
      </c>
      <c r="L75">
        <f t="shared" si="9"/>
        <v>967</v>
      </c>
      <c r="M75" s="18" t="str">
        <f t="shared" si="10"/>
        <v>stainless steel as the reactor material.</v>
      </c>
      <c r="N75" s="18" t="str">
        <f t="shared" si="11"/>
        <v>stainless steel</v>
      </c>
    </row>
    <row r="76" spans="1:14" x14ac:dyDescent="0.3">
      <c r="A76" t="s">
        <v>1868</v>
      </c>
      <c r="B76" t="s">
        <v>2290</v>
      </c>
      <c r="C76" t="s">
        <v>1867</v>
      </c>
      <c r="D76">
        <v>0.95867669582366943</v>
      </c>
      <c r="E76">
        <v>0.9664570689201355</v>
      </c>
      <c r="F76">
        <v>0.96255117654800415</v>
      </c>
      <c r="G76">
        <v>1.075960679177838</v>
      </c>
      <c r="I76">
        <f t="shared" si="6"/>
        <v>973</v>
      </c>
      <c r="J76" s="18" t="str">
        <f t="shared" si="7"/>
        <v>stainless steel as the reactor material.</v>
      </c>
      <c r="K76" s="18" t="str">
        <f t="shared" si="8"/>
        <v>stainless steel</v>
      </c>
      <c r="L76">
        <f t="shared" si="9"/>
        <v>969</v>
      </c>
      <c r="M76" s="18" t="str">
        <f t="shared" si="10"/>
        <v>stainless steel as the reactor material.</v>
      </c>
      <c r="N76" s="18" t="str">
        <f t="shared" si="11"/>
        <v>stainless steel</v>
      </c>
    </row>
    <row r="77" spans="1:14" x14ac:dyDescent="0.3">
      <c r="A77" t="s">
        <v>1910</v>
      </c>
      <c r="B77" t="s">
        <v>2311</v>
      </c>
      <c r="C77" t="s">
        <v>1909</v>
      </c>
      <c r="D77">
        <v>0.97330933809280396</v>
      </c>
      <c r="E77">
        <v>0.97350215911865234</v>
      </c>
      <c r="F77">
        <v>0.97340577840805054</v>
      </c>
      <c r="G77">
        <v>1.1444724648593849</v>
      </c>
      <c r="I77">
        <f t="shared" si="6"/>
        <v>1198</v>
      </c>
      <c r="J77" s="18" t="str">
        <f t="shared" si="7"/>
        <v>carbon steel as the reactor material.</v>
      </c>
      <c r="K77" s="18" t="str">
        <f t="shared" si="8"/>
        <v>carbon steel</v>
      </c>
      <c r="L77">
        <f t="shared" si="9"/>
        <v>1199</v>
      </c>
      <c r="M77" s="18" t="str">
        <f t="shared" si="10"/>
        <v>carbon steel as the reactor material.</v>
      </c>
      <c r="N77" s="18" t="str">
        <f t="shared" si="11"/>
        <v>carbon steel</v>
      </c>
    </row>
    <row r="78" spans="1:14" x14ac:dyDescent="0.3">
      <c r="A78" t="s">
        <v>1884</v>
      </c>
      <c r="B78" t="s">
        <v>2298</v>
      </c>
      <c r="C78" t="s">
        <v>1883</v>
      </c>
      <c r="D78">
        <v>0.98544418811798096</v>
      </c>
      <c r="E78">
        <v>0.98544818162918091</v>
      </c>
      <c r="F78">
        <v>0.98544615507125854</v>
      </c>
      <c r="G78">
        <v>1.2221432379598369</v>
      </c>
      <c r="I78">
        <f t="shared" si="6"/>
        <v>974</v>
      </c>
      <c r="J78" s="18" t="str">
        <f t="shared" si="7"/>
        <v>stainless steel as the reactor material.</v>
      </c>
      <c r="K78" s="18" t="str">
        <f t="shared" si="8"/>
        <v>stainless steel</v>
      </c>
      <c r="L78">
        <f t="shared" si="9"/>
        <v>968</v>
      </c>
      <c r="M78" s="18" t="str">
        <f t="shared" si="10"/>
        <v>stainless steel as the reactor material.</v>
      </c>
      <c r="N78" s="18" t="str">
        <f t="shared" si="11"/>
        <v>stainless steel</v>
      </c>
    </row>
    <row r="79" spans="1:14" x14ac:dyDescent="0.3">
      <c r="A79" t="s">
        <v>1874</v>
      </c>
      <c r="B79" t="s">
        <v>2293</v>
      </c>
      <c r="C79" t="s">
        <v>1873</v>
      </c>
      <c r="D79">
        <v>0.95985275506973267</v>
      </c>
      <c r="E79">
        <v>0.96698212623596191</v>
      </c>
      <c r="F79">
        <v>0.96340423822402954</v>
      </c>
      <c r="G79">
        <v>1.3242208857299069</v>
      </c>
      <c r="I79">
        <f t="shared" si="6"/>
        <v>970</v>
      </c>
      <c r="J79" s="18" t="str">
        <f t="shared" si="7"/>
        <v>stainless steel as the reactor material.</v>
      </c>
      <c r="K79" s="18" t="str">
        <f t="shared" si="8"/>
        <v>stainless steel</v>
      </c>
      <c r="L79">
        <f t="shared" si="9"/>
        <v>970</v>
      </c>
      <c r="M79" s="18" t="str">
        <f t="shared" si="10"/>
        <v>stainless steel as the reactor material.</v>
      </c>
      <c r="N79" s="18" t="str">
        <f t="shared" si="11"/>
        <v>stainless steel</v>
      </c>
    </row>
    <row r="80" spans="1:14" x14ac:dyDescent="0.3">
      <c r="A80" t="s">
        <v>1914</v>
      </c>
      <c r="B80" t="s">
        <v>2313</v>
      </c>
      <c r="C80" t="s">
        <v>1913</v>
      </c>
      <c r="D80">
        <v>0.96479183435440063</v>
      </c>
      <c r="E80">
        <v>0.96467053890228271</v>
      </c>
      <c r="F80">
        <v>0.96473115682601929</v>
      </c>
      <c r="G80">
        <v>1.3356880201277339</v>
      </c>
      <c r="I80">
        <f t="shared" si="6"/>
        <v>1194</v>
      </c>
      <c r="J80" s="18" t="str">
        <f t="shared" si="7"/>
        <v>carbon steel as the reactor material.</v>
      </c>
      <c r="K80" s="18" t="str">
        <f t="shared" si="8"/>
        <v>carbon steel</v>
      </c>
      <c r="L80">
        <f t="shared" si="9"/>
        <v>1194</v>
      </c>
      <c r="M80" s="18" t="str">
        <f t="shared" si="10"/>
        <v>carbon steel as the reactor material.</v>
      </c>
      <c r="N80" s="18" t="str">
        <f t="shared" si="11"/>
        <v>carbon steel</v>
      </c>
    </row>
    <row r="81" spans="1:14" x14ac:dyDescent="0.3">
      <c r="A81" t="s">
        <v>1954</v>
      </c>
      <c r="B81" t="s">
        <v>2336</v>
      </c>
      <c r="C81" t="s">
        <v>2335</v>
      </c>
      <c r="D81">
        <v>0.98469150066375732</v>
      </c>
      <c r="E81">
        <v>0.98467534780502319</v>
      </c>
      <c r="F81">
        <v>0.98468345403671265</v>
      </c>
      <c r="G81">
        <v>1.396004215735692</v>
      </c>
      <c r="I81">
        <f t="shared" si="6"/>
        <v>1193</v>
      </c>
      <c r="J81" s="18" t="str">
        <f t="shared" si="7"/>
        <v>carbon steel as the reactor material.</v>
      </c>
      <c r="K81" s="18" t="str">
        <f t="shared" si="8"/>
        <v>carbon steel</v>
      </c>
      <c r="L81">
        <f t="shared" si="9"/>
        <v>1195</v>
      </c>
      <c r="M81" s="18" t="str">
        <f t="shared" si="10"/>
        <v>carbon steel as the reactor material.</v>
      </c>
      <c r="N81" s="18" t="str">
        <f t="shared" si="11"/>
        <v>carbon steel</v>
      </c>
    </row>
    <row r="82" spans="1:14" x14ac:dyDescent="0.3">
      <c r="A82" t="s">
        <v>1854</v>
      </c>
      <c r="B82" t="s">
        <v>2283</v>
      </c>
      <c r="C82" t="s">
        <v>1853</v>
      </c>
      <c r="D82">
        <v>0.97075372934341431</v>
      </c>
      <c r="E82">
        <v>0.97607797384262085</v>
      </c>
      <c r="F82">
        <v>0.97340857982635498</v>
      </c>
      <c r="G82">
        <v>1.760532150776053</v>
      </c>
      <c r="I82">
        <f t="shared" si="6"/>
        <v>969</v>
      </c>
      <c r="J82" s="18" t="str">
        <f t="shared" si="7"/>
        <v>stainless steel as the reactor material.</v>
      </c>
      <c r="K82" s="18" t="str">
        <f t="shared" si="8"/>
        <v>stainless steel</v>
      </c>
      <c r="L82">
        <f t="shared" si="9"/>
        <v>969</v>
      </c>
      <c r="M82" s="18" t="str">
        <f t="shared" si="10"/>
        <v>stainless steel as the reactor material.</v>
      </c>
      <c r="N82" s="18" t="str">
        <f t="shared" si="11"/>
        <v>stainless steel</v>
      </c>
    </row>
    <row r="83" spans="1:14" x14ac:dyDescent="0.3">
      <c r="A83" t="s">
        <v>1886</v>
      </c>
      <c r="B83" t="s">
        <v>2299</v>
      </c>
      <c r="C83" t="s">
        <v>1885</v>
      </c>
      <c r="D83">
        <v>0.98912191390991211</v>
      </c>
      <c r="E83">
        <v>0.98947501182556152</v>
      </c>
      <c r="F83">
        <v>0.98929846286773682</v>
      </c>
      <c r="G83">
        <v>1.8772026431718061</v>
      </c>
      <c r="I83">
        <f t="shared" si="6"/>
        <v>953</v>
      </c>
      <c r="J83" s="18" t="str">
        <f t="shared" si="7"/>
        <v>stainless steel as the reactor material.</v>
      </c>
      <c r="K83" s="18" t="str">
        <f t="shared" si="8"/>
        <v>stainless steel</v>
      </c>
      <c r="L83">
        <f t="shared" si="9"/>
        <v>953</v>
      </c>
      <c r="M83" s="18" t="str">
        <f t="shared" si="10"/>
        <v>stainless steel as the reactor material.</v>
      </c>
      <c r="N83" s="18" t="str">
        <f t="shared" si="11"/>
        <v>stainless steel</v>
      </c>
    </row>
    <row r="84" spans="1:14" x14ac:dyDescent="0.3">
      <c r="A84" t="s">
        <v>1896</v>
      </c>
      <c r="B84" t="s">
        <v>2304</v>
      </c>
      <c r="C84" t="s">
        <v>1895</v>
      </c>
      <c r="D84">
        <v>0.9577782154083252</v>
      </c>
      <c r="E84">
        <v>0.96455156803131104</v>
      </c>
      <c r="F84">
        <v>0.96115291118621826</v>
      </c>
      <c r="G84">
        <v>3.1215710723192021</v>
      </c>
      <c r="I84">
        <f t="shared" si="6"/>
        <v>954</v>
      </c>
      <c r="J84" s="18" t="str">
        <f t="shared" si="7"/>
        <v>stainless steel as the reactor material.</v>
      </c>
      <c r="K84" s="18" t="str">
        <f t="shared" si="8"/>
        <v>stainless steel</v>
      </c>
      <c r="L84">
        <f t="shared" si="9"/>
        <v>954</v>
      </c>
      <c r="M84" s="18" t="str">
        <f t="shared" si="10"/>
        <v>stainless steel as the reactor material.</v>
      </c>
      <c r="N84" s="18" t="str">
        <f t="shared" si="11"/>
        <v>stainless steel</v>
      </c>
    </row>
    <row r="85" spans="1:14" x14ac:dyDescent="0.3">
      <c r="A85" t="s">
        <v>1856</v>
      </c>
      <c r="B85" t="s">
        <v>2284</v>
      </c>
      <c r="C85" t="s">
        <v>1855</v>
      </c>
      <c r="D85">
        <v>0.95504385232925415</v>
      </c>
      <c r="E85">
        <v>0.96256870031356812</v>
      </c>
      <c r="F85">
        <v>0.95879149436950684</v>
      </c>
      <c r="G85">
        <v>3.2325819672131151</v>
      </c>
      <c r="I85">
        <f t="shared" si="6"/>
        <v>972</v>
      </c>
      <c r="J85" s="18" t="str">
        <f t="shared" si="7"/>
        <v>stainless steel as the reactor material.</v>
      </c>
      <c r="K85" s="18" t="str">
        <f t="shared" si="8"/>
        <v>stainless steel</v>
      </c>
      <c r="L85">
        <f t="shared" si="9"/>
        <v>963</v>
      </c>
      <c r="M85" s="18" t="str">
        <f t="shared" si="10"/>
        <v>stainless steel as the reactor material.</v>
      </c>
      <c r="N85" s="18" t="str">
        <f t="shared" si="11"/>
        <v>stainless steel</v>
      </c>
    </row>
    <row r="86" spans="1:14" x14ac:dyDescent="0.3">
      <c r="A86" t="s">
        <v>1850</v>
      </c>
      <c r="B86" t="s">
        <v>2281</v>
      </c>
      <c r="C86" t="s">
        <v>1849</v>
      </c>
      <c r="D86">
        <v>0.95900273323059082</v>
      </c>
      <c r="E86">
        <v>0.96596753597259521</v>
      </c>
      <c r="F86">
        <v>0.96247249841690063</v>
      </c>
      <c r="G86">
        <v>3.4225028702640641</v>
      </c>
      <c r="I86">
        <f t="shared" si="6"/>
        <v>954</v>
      </c>
      <c r="J86" s="18" t="str">
        <f t="shared" si="7"/>
        <v>stainless steel as the reactor material.</v>
      </c>
      <c r="K86" s="18" t="str">
        <f t="shared" si="8"/>
        <v>stainless steel</v>
      </c>
      <c r="L86">
        <f t="shared" si="9"/>
        <v>952</v>
      </c>
      <c r="M86" s="18" t="str">
        <f t="shared" si="10"/>
        <v>stainless steel as the reactor material.</v>
      </c>
      <c r="N86" s="18" t="str">
        <f t="shared" si="11"/>
        <v>stainless steel</v>
      </c>
    </row>
    <row r="87" spans="1:14" x14ac:dyDescent="0.3">
      <c r="A87" t="s">
        <v>1852</v>
      </c>
      <c r="B87" t="s">
        <v>2282</v>
      </c>
      <c r="C87" t="s">
        <v>1851</v>
      </c>
      <c r="D87">
        <v>0.97157162427902222</v>
      </c>
      <c r="E87">
        <v>0.97623050212860107</v>
      </c>
      <c r="F87">
        <v>0.97389554977416992</v>
      </c>
      <c r="G87">
        <v>3.757241379310345</v>
      </c>
      <c r="I87">
        <f t="shared" si="6"/>
        <v>972</v>
      </c>
      <c r="J87" s="18" t="str">
        <f t="shared" si="7"/>
        <v>stainless steel as the reactor material.</v>
      </c>
      <c r="K87" s="18" t="str">
        <f t="shared" si="8"/>
        <v>stainless steel</v>
      </c>
      <c r="L87">
        <f t="shared" si="9"/>
        <v>968</v>
      </c>
      <c r="M87" s="18" t="str">
        <f t="shared" si="10"/>
        <v>stainless steel as the reactor material.</v>
      </c>
      <c r="N87" s="18" t="str">
        <f t="shared" si="11"/>
        <v>stainless steel</v>
      </c>
    </row>
    <row r="88" spans="1:14" x14ac:dyDescent="0.3">
      <c r="A88" t="s">
        <v>1870</v>
      </c>
      <c r="B88" t="s">
        <v>2291</v>
      </c>
      <c r="C88" t="s">
        <v>1869</v>
      </c>
      <c r="D88">
        <v>0.95684695243835449</v>
      </c>
      <c r="E88">
        <v>0.96475768089294434</v>
      </c>
      <c r="F88">
        <v>0.96078604459762573</v>
      </c>
      <c r="G88">
        <v>5.3076923076923066</v>
      </c>
      <c r="I88">
        <f t="shared" si="6"/>
        <v>974</v>
      </c>
      <c r="J88" s="18" t="str">
        <f t="shared" si="7"/>
        <v>stainless steel as the reactor material.</v>
      </c>
      <c r="K88" s="18" t="str">
        <f t="shared" si="8"/>
        <v>stainless steel</v>
      </c>
      <c r="L88">
        <f t="shared" si="9"/>
        <v>968</v>
      </c>
      <c r="M88" s="18" t="str">
        <f t="shared" si="10"/>
        <v>stainless steel as the reactor material.</v>
      </c>
      <c r="N88" s="18" t="str">
        <f t="shared" si="11"/>
        <v>stainless steel</v>
      </c>
    </row>
    <row r="89" spans="1:14" x14ac:dyDescent="0.3">
      <c r="A89" t="s">
        <v>1930</v>
      </c>
      <c r="B89" t="s">
        <v>2321</v>
      </c>
      <c r="C89" t="s">
        <v>1929</v>
      </c>
      <c r="D89">
        <v>0.97614765167236328</v>
      </c>
      <c r="E89">
        <v>0.97578370571136475</v>
      </c>
      <c r="F89">
        <v>0.97596567869186401</v>
      </c>
      <c r="G89">
        <v>7.4249489547495617</v>
      </c>
      <c r="I89">
        <f t="shared" si="6"/>
        <v>1155</v>
      </c>
      <c r="J89" s="18" t="str">
        <f t="shared" si="7"/>
        <v>carbon steel as the reactor material.</v>
      </c>
      <c r="K89" s="18" t="str">
        <f t="shared" si="8"/>
        <v>carbon steel</v>
      </c>
      <c r="L89">
        <f t="shared" si="9"/>
        <v>1155</v>
      </c>
      <c r="M89" s="18" t="str">
        <f t="shared" si="10"/>
        <v>carbon steel as the reactor material.</v>
      </c>
      <c r="N89" s="18" t="str">
        <f t="shared" si="11"/>
        <v>carbon steel</v>
      </c>
    </row>
    <row r="90" spans="1:14" x14ac:dyDescent="0.3">
      <c r="D90">
        <f>AVERAGE(D24:D89)</f>
        <v>0.97765241969715466</v>
      </c>
      <c r="E90">
        <f>AVERAGE(E24:E89)</f>
        <v>0.97868807659004675</v>
      </c>
      <c r="F90">
        <f>AVERAGE(F24:F89)</f>
        <v>0.97816763231248571</v>
      </c>
    </row>
  </sheetData>
  <autoFilter ref="A1:G90" xr:uid="{3D34AF26-FA49-4622-8508-EEF1F88A7E7C}">
    <sortState xmlns:xlrd2="http://schemas.microsoft.com/office/spreadsheetml/2017/richdata2" ref="A2:G90">
      <sortCondition ref="G67:G90"/>
    </sortState>
  </autoFilter>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1216-E6C5-4440-9BBB-DEB96D8E7C08}">
  <sheetPr filterMode="1"/>
  <dimension ref="A1:G93"/>
  <sheetViews>
    <sheetView workbookViewId="0">
      <selection activeCell="B8" sqref="B8"/>
    </sheetView>
  </sheetViews>
  <sheetFormatPr defaultRowHeight="14" x14ac:dyDescent="0.3"/>
  <cols>
    <col min="7" max="7" width="12.75" bestFit="1" customWidth="1"/>
  </cols>
  <sheetData>
    <row r="1" spans="1:7" x14ac:dyDescent="0.3">
      <c r="A1" s="1" t="s">
        <v>273</v>
      </c>
      <c r="B1" s="1" t="s">
        <v>272</v>
      </c>
      <c r="C1" s="1" t="s">
        <v>271</v>
      </c>
      <c r="D1" s="1" t="s">
        <v>270</v>
      </c>
      <c r="E1" s="1" t="s">
        <v>269</v>
      </c>
      <c r="F1" s="1" t="s">
        <v>268</v>
      </c>
      <c r="G1" s="1" t="s">
        <v>267</v>
      </c>
    </row>
    <row r="2" spans="1:7" x14ac:dyDescent="0.3">
      <c r="A2" t="s">
        <v>266</v>
      </c>
      <c r="B2" t="s">
        <v>265</v>
      </c>
      <c r="C2" t="s">
        <v>264</v>
      </c>
      <c r="D2">
        <v>0.99897295236587524</v>
      </c>
      <c r="E2">
        <v>0.99897295236587524</v>
      </c>
      <c r="F2">
        <v>0.99897295236587524</v>
      </c>
      <c r="G2">
        <v>0.8571428571428571</v>
      </c>
    </row>
    <row r="3" spans="1:7" x14ac:dyDescent="0.3">
      <c r="A3" t="s">
        <v>263</v>
      </c>
      <c r="B3" t="s">
        <v>262</v>
      </c>
      <c r="C3" t="s">
        <v>261</v>
      </c>
      <c r="D3">
        <v>0.99891573190689087</v>
      </c>
      <c r="E3">
        <v>0.99891573190689087</v>
      </c>
      <c r="F3">
        <v>0.99891573190689087</v>
      </c>
      <c r="G3">
        <v>0.30601092896174859</v>
      </c>
    </row>
    <row r="4" spans="1:7" x14ac:dyDescent="0.3">
      <c r="A4" t="s">
        <v>260</v>
      </c>
      <c r="B4" t="s">
        <v>259</v>
      </c>
      <c r="C4" t="s">
        <v>258</v>
      </c>
      <c r="D4">
        <v>0.99533390998840332</v>
      </c>
      <c r="E4">
        <v>0.99533390998840332</v>
      </c>
      <c r="F4">
        <v>0.99533390998840332</v>
      </c>
      <c r="G4">
        <v>0.47887323943661991</v>
      </c>
    </row>
    <row r="5" spans="1:7" hidden="1" x14ac:dyDescent="0.3">
      <c r="A5" t="s">
        <v>257</v>
      </c>
      <c r="B5" t="s">
        <v>256</v>
      </c>
      <c r="C5" t="s">
        <v>255</v>
      </c>
      <c r="D5">
        <v>0.99125409126281738</v>
      </c>
      <c r="E5">
        <v>0.99280685186386108</v>
      </c>
      <c r="F5">
        <v>0.99202978610992432</v>
      </c>
      <c r="G5">
        <v>1663.323529411764</v>
      </c>
    </row>
    <row r="6" spans="1:7" hidden="1" x14ac:dyDescent="0.3">
      <c r="A6" t="s">
        <v>254</v>
      </c>
      <c r="B6" t="s">
        <v>253</v>
      </c>
      <c r="C6" t="s">
        <v>252</v>
      </c>
      <c r="D6">
        <v>0.99767619371414185</v>
      </c>
      <c r="E6">
        <v>0.99767619371414185</v>
      </c>
      <c r="F6">
        <v>0.99767619371414185</v>
      </c>
      <c r="G6">
        <v>1.7410071942446039</v>
      </c>
    </row>
    <row r="7" spans="1:7" x14ac:dyDescent="0.3">
      <c r="A7" t="s">
        <v>251</v>
      </c>
      <c r="B7" t="s">
        <v>250</v>
      </c>
      <c r="C7" t="s">
        <v>249</v>
      </c>
      <c r="D7">
        <v>0.99760317802429199</v>
      </c>
      <c r="E7">
        <v>0.99760317802429199</v>
      </c>
      <c r="F7">
        <v>0.99760317802429199</v>
      </c>
      <c r="G7">
        <v>0.81582264402758209</v>
      </c>
    </row>
    <row r="8" spans="1:7" x14ac:dyDescent="0.3">
      <c r="A8" t="s">
        <v>248</v>
      </c>
      <c r="B8" t="s">
        <v>247</v>
      </c>
      <c r="C8" t="s">
        <v>246</v>
      </c>
      <c r="D8">
        <v>0.9951857328414917</v>
      </c>
      <c r="E8">
        <v>0.9951857328414917</v>
      </c>
      <c r="F8">
        <v>0.9951857328414917</v>
      </c>
      <c r="G8">
        <v>0.98589065255731922</v>
      </c>
    </row>
    <row r="9" spans="1:7" hidden="1" x14ac:dyDescent="0.3">
      <c r="A9" t="s">
        <v>245</v>
      </c>
      <c r="B9" s="2" t="s">
        <v>244</v>
      </c>
      <c r="C9" s="2" t="s">
        <v>243</v>
      </c>
      <c r="D9">
        <v>0.99497228860855103</v>
      </c>
      <c r="E9">
        <v>0.99497228860855103</v>
      </c>
      <c r="F9">
        <v>0.99497228860855103</v>
      </c>
      <c r="G9">
        <v>1.613636363636364</v>
      </c>
    </row>
    <row r="10" spans="1:7" hidden="1" x14ac:dyDescent="0.3">
      <c r="A10" t="s">
        <v>242</v>
      </c>
      <c r="B10" s="2" t="s">
        <v>1171</v>
      </c>
      <c r="C10" s="2" t="s">
        <v>1170</v>
      </c>
      <c r="D10">
        <v>0.9702792763710022</v>
      </c>
      <c r="E10">
        <v>0.98817992210388184</v>
      </c>
      <c r="F10">
        <v>0.97914785146713257</v>
      </c>
      <c r="G10">
        <v>27227093369.270302</v>
      </c>
    </row>
    <row r="11" spans="1:7" x14ac:dyDescent="0.3">
      <c r="A11" t="s">
        <v>240</v>
      </c>
      <c r="B11" s="2" t="s">
        <v>239</v>
      </c>
      <c r="C11" s="2" t="s">
        <v>238</v>
      </c>
      <c r="D11">
        <v>0.98802679777145386</v>
      </c>
      <c r="E11">
        <v>0.94504398107528687</v>
      </c>
      <c r="F11">
        <v>0.96605747938156128</v>
      </c>
      <c r="G11">
        <v>0.99812500000000004</v>
      </c>
    </row>
    <row r="12" spans="1:7" x14ac:dyDescent="0.3">
      <c r="A12" t="s">
        <v>237</v>
      </c>
      <c r="B12" s="2" t="s">
        <v>236</v>
      </c>
      <c r="C12" s="2" t="s">
        <v>235</v>
      </c>
      <c r="D12">
        <v>0.99824202060699463</v>
      </c>
      <c r="E12">
        <v>0.99824202060699463</v>
      </c>
      <c r="F12">
        <v>0.99824202060699463</v>
      </c>
      <c r="G12">
        <v>0.81395348837209303</v>
      </c>
    </row>
    <row r="13" spans="1:7" x14ac:dyDescent="0.3">
      <c r="A13" t="s">
        <v>234</v>
      </c>
      <c r="B13" s="2" t="s">
        <v>233</v>
      </c>
      <c r="C13" s="2" t="s">
        <v>232</v>
      </c>
      <c r="D13">
        <v>0.99958741664886475</v>
      </c>
      <c r="E13">
        <v>0.99958741664886475</v>
      </c>
      <c r="F13">
        <v>0.99958741664886475</v>
      </c>
      <c r="G13">
        <v>0.33333333333333343</v>
      </c>
    </row>
    <row r="14" spans="1:7" hidden="1" x14ac:dyDescent="0.3">
      <c r="A14" t="s">
        <v>231</v>
      </c>
      <c r="B14" s="2" t="s">
        <v>230</v>
      </c>
      <c r="C14" s="2" t="s">
        <v>229</v>
      </c>
      <c r="D14">
        <v>0.99722707271575928</v>
      </c>
      <c r="E14">
        <v>0.99722707271575928</v>
      </c>
      <c r="F14">
        <v>0.99722707271575928</v>
      </c>
      <c r="G14">
        <v>1.491540516473731</v>
      </c>
    </row>
    <row r="15" spans="1:7" x14ac:dyDescent="0.3">
      <c r="A15" t="s">
        <v>228</v>
      </c>
      <c r="B15" s="2" t="s">
        <v>222</v>
      </c>
      <c r="C15" s="2" t="s">
        <v>227</v>
      </c>
      <c r="D15">
        <v>0.99861502647399902</v>
      </c>
      <c r="E15">
        <v>0.99861502647399902</v>
      </c>
      <c r="F15">
        <v>0.99861502647399902</v>
      </c>
      <c r="G15">
        <v>0.8666666666666667</v>
      </c>
    </row>
    <row r="16" spans="1:7" x14ac:dyDescent="0.3">
      <c r="A16" t="s">
        <v>226</v>
      </c>
      <c r="B16" s="2" t="s">
        <v>225</v>
      </c>
      <c r="C16" s="2" t="s">
        <v>224</v>
      </c>
      <c r="D16">
        <v>0.99780011177062988</v>
      </c>
      <c r="E16">
        <v>0.99780011177062988</v>
      </c>
      <c r="F16">
        <v>0.99780011177062988</v>
      </c>
      <c r="G16">
        <v>0.57751937984496127</v>
      </c>
    </row>
    <row r="17" spans="1:7" x14ac:dyDescent="0.3">
      <c r="A17" t="s">
        <v>223</v>
      </c>
      <c r="B17" t="s">
        <v>222</v>
      </c>
      <c r="C17" t="s">
        <v>221</v>
      </c>
      <c r="D17">
        <v>0.99930942058563232</v>
      </c>
      <c r="E17">
        <v>0.99930942058563232</v>
      </c>
      <c r="F17">
        <v>0.99930942058563232</v>
      </c>
      <c r="G17">
        <v>0.7142857142857143</v>
      </c>
    </row>
    <row r="18" spans="1:7" x14ac:dyDescent="0.3">
      <c r="A18" t="s">
        <v>220</v>
      </c>
      <c r="B18" t="s">
        <v>219</v>
      </c>
      <c r="C18" t="s">
        <v>218</v>
      </c>
      <c r="D18">
        <v>0.99477928876876831</v>
      </c>
      <c r="E18">
        <v>0.99477928876876831</v>
      </c>
      <c r="F18">
        <v>0.99477928876876831</v>
      </c>
      <c r="G18">
        <v>0.98592103967707001</v>
      </c>
    </row>
    <row r="19" spans="1:7" x14ac:dyDescent="0.3">
      <c r="A19" t="s">
        <v>217</v>
      </c>
      <c r="B19" t="s">
        <v>216</v>
      </c>
      <c r="C19" t="s">
        <v>215</v>
      </c>
      <c r="D19">
        <v>0.99570548534393311</v>
      </c>
      <c r="E19">
        <v>0.99570548534393311</v>
      </c>
      <c r="F19">
        <v>0.99570548534393311</v>
      </c>
      <c r="G19">
        <v>0.5449647741400746</v>
      </c>
    </row>
    <row r="20" spans="1:7" x14ac:dyDescent="0.3">
      <c r="A20" t="s">
        <v>214</v>
      </c>
      <c r="B20" t="s">
        <v>213</v>
      </c>
      <c r="C20" t="s">
        <v>212</v>
      </c>
      <c r="D20">
        <v>0.99815243482589722</v>
      </c>
      <c r="E20">
        <v>0.99815243482589722</v>
      </c>
      <c r="F20">
        <v>0.99815243482589722</v>
      </c>
      <c r="G20">
        <v>0.65384615384615385</v>
      </c>
    </row>
    <row r="21" spans="1:7" x14ac:dyDescent="0.3">
      <c r="A21" t="s">
        <v>211</v>
      </c>
      <c r="B21" t="s">
        <v>210</v>
      </c>
      <c r="C21" t="s">
        <v>209</v>
      </c>
      <c r="D21">
        <v>0.99602842330932617</v>
      </c>
      <c r="E21">
        <v>0.99602842330932617</v>
      </c>
      <c r="F21">
        <v>0.99602842330932617</v>
      </c>
      <c r="G21">
        <v>0.86620278330019884</v>
      </c>
    </row>
    <row r="22" spans="1:7" x14ac:dyDescent="0.3">
      <c r="A22" t="s">
        <v>208</v>
      </c>
      <c r="B22" t="s">
        <v>207</v>
      </c>
      <c r="C22" t="s">
        <v>206</v>
      </c>
      <c r="D22">
        <v>0.99636256694793701</v>
      </c>
      <c r="E22">
        <v>0.99636256694793701</v>
      </c>
      <c r="F22">
        <v>0.99636256694793701</v>
      </c>
      <c r="G22">
        <v>0.6206896551724137</v>
      </c>
    </row>
    <row r="23" spans="1:7" x14ac:dyDescent="0.3">
      <c r="A23" t="s">
        <v>205</v>
      </c>
      <c r="B23" t="s">
        <v>204</v>
      </c>
      <c r="C23" t="s">
        <v>203</v>
      </c>
      <c r="D23">
        <v>0.99822556972503662</v>
      </c>
      <c r="E23">
        <v>0.99822556972503662</v>
      </c>
      <c r="F23">
        <v>0.99822556972503662</v>
      </c>
      <c r="G23">
        <v>0.51401869158878521</v>
      </c>
    </row>
    <row r="24" spans="1:7" x14ac:dyDescent="0.3">
      <c r="A24" t="s">
        <v>202</v>
      </c>
      <c r="B24" t="s">
        <v>201</v>
      </c>
      <c r="C24" t="s">
        <v>200</v>
      </c>
      <c r="D24">
        <v>0.99959450960159302</v>
      </c>
      <c r="E24">
        <v>0.99959450960159302</v>
      </c>
      <c r="F24">
        <v>0.99959450960159302</v>
      </c>
      <c r="G24">
        <v>4.6511627906976792E-2</v>
      </c>
    </row>
    <row r="25" spans="1:7" x14ac:dyDescent="0.3">
      <c r="A25" t="s">
        <v>199</v>
      </c>
      <c r="B25" t="s">
        <v>198</v>
      </c>
      <c r="C25" t="s">
        <v>197</v>
      </c>
      <c r="D25">
        <v>0.99778926372528076</v>
      </c>
      <c r="E25">
        <v>0.99778926372528076</v>
      </c>
      <c r="F25">
        <v>0.99778926372528076</v>
      </c>
      <c r="G25">
        <v>0.36596279642725649</v>
      </c>
    </row>
    <row r="26" spans="1:7" x14ac:dyDescent="0.3">
      <c r="A26" t="s">
        <v>196</v>
      </c>
      <c r="B26" t="s">
        <v>195</v>
      </c>
      <c r="C26" t="s">
        <v>194</v>
      </c>
      <c r="D26">
        <v>0.99740082025527954</v>
      </c>
      <c r="E26">
        <v>0.99740082025527954</v>
      </c>
      <c r="F26">
        <v>0.99740082025527954</v>
      </c>
      <c r="G26">
        <v>0.95348837209302317</v>
      </c>
    </row>
    <row r="27" spans="1:7" x14ac:dyDescent="0.3">
      <c r="A27" t="s">
        <v>193</v>
      </c>
      <c r="B27" t="s">
        <v>192</v>
      </c>
      <c r="C27" t="s">
        <v>191</v>
      </c>
      <c r="D27">
        <v>0.99785631895065308</v>
      </c>
      <c r="E27">
        <v>0.99785631895065308</v>
      </c>
      <c r="F27">
        <v>0.99785631895065308</v>
      </c>
      <c r="G27">
        <v>0.63720930232558148</v>
      </c>
    </row>
    <row r="28" spans="1:7" hidden="1" x14ac:dyDescent="0.3">
      <c r="A28" t="s">
        <v>190</v>
      </c>
      <c r="B28" t="s">
        <v>189</v>
      </c>
      <c r="C28" t="s">
        <v>188</v>
      </c>
      <c r="D28">
        <v>0.99717891216278076</v>
      </c>
      <c r="E28">
        <v>0.99717891216278076</v>
      </c>
      <c r="F28">
        <v>0.99717891216278076</v>
      </c>
      <c r="G28">
        <v>1.7723577235772361</v>
      </c>
    </row>
    <row r="29" spans="1:7" x14ac:dyDescent="0.3">
      <c r="A29" t="s">
        <v>187</v>
      </c>
      <c r="B29" t="s">
        <v>186</v>
      </c>
      <c r="C29" t="s">
        <v>185</v>
      </c>
      <c r="D29">
        <v>0.99659460783004761</v>
      </c>
      <c r="E29">
        <v>0.99659460783004761</v>
      </c>
      <c r="F29">
        <v>0.99659460783004761</v>
      </c>
      <c r="G29">
        <v>0.88149688149688143</v>
      </c>
    </row>
    <row r="30" spans="1:7" x14ac:dyDescent="0.3">
      <c r="A30" t="s">
        <v>184</v>
      </c>
      <c r="B30" t="s">
        <v>183</v>
      </c>
      <c r="C30" t="s">
        <v>182</v>
      </c>
      <c r="D30">
        <v>0.99619436264038086</v>
      </c>
      <c r="E30">
        <v>0.99619436264038086</v>
      </c>
      <c r="F30">
        <v>0.99619436264038086</v>
      </c>
      <c r="G30">
        <v>0.85714285714285721</v>
      </c>
    </row>
    <row r="31" spans="1:7" x14ac:dyDescent="0.3">
      <c r="A31" t="s">
        <v>181</v>
      </c>
      <c r="B31" t="s">
        <v>180</v>
      </c>
      <c r="C31" t="s">
        <v>179</v>
      </c>
      <c r="D31">
        <v>0.99850308895111084</v>
      </c>
      <c r="E31">
        <v>0.99850308895111084</v>
      </c>
      <c r="F31">
        <v>0.99850308895111084</v>
      </c>
      <c r="G31">
        <v>0.23891708967851111</v>
      </c>
    </row>
    <row r="32" spans="1:7" x14ac:dyDescent="0.3">
      <c r="A32" t="s">
        <v>178</v>
      </c>
      <c r="B32" t="s">
        <v>177</v>
      </c>
      <c r="C32" t="s">
        <v>176</v>
      </c>
      <c r="D32">
        <v>0.99717408418655396</v>
      </c>
      <c r="E32">
        <v>0.99717408418655396</v>
      </c>
      <c r="F32">
        <v>0.99717408418655396</v>
      </c>
      <c r="G32">
        <v>0.36380713838447087</v>
      </c>
    </row>
    <row r="33" spans="1:7" x14ac:dyDescent="0.3">
      <c r="A33" t="s">
        <v>175</v>
      </c>
      <c r="B33" t="s">
        <v>174</v>
      </c>
      <c r="C33" t="s">
        <v>173</v>
      </c>
      <c r="D33">
        <v>0.99687761068344116</v>
      </c>
      <c r="E33">
        <v>0.99687761068344116</v>
      </c>
      <c r="F33">
        <v>0.99687761068344116</v>
      </c>
      <c r="G33">
        <v>0.72222222222222232</v>
      </c>
    </row>
    <row r="34" spans="1:7" x14ac:dyDescent="0.3">
      <c r="A34" t="s">
        <v>172</v>
      </c>
      <c r="B34" t="s">
        <v>171</v>
      </c>
      <c r="C34" t="s">
        <v>170</v>
      </c>
      <c r="D34">
        <v>0.99660873413085938</v>
      </c>
      <c r="E34">
        <v>0.99660873413085938</v>
      </c>
      <c r="F34">
        <v>0.99660873413085938</v>
      </c>
      <c r="G34">
        <v>0.81606969990319456</v>
      </c>
    </row>
    <row r="35" spans="1:7" x14ac:dyDescent="0.3">
      <c r="A35" t="s">
        <v>169</v>
      </c>
      <c r="B35" t="s">
        <v>168</v>
      </c>
      <c r="C35" t="s">
        <v>167</v>
      </c>
      <c r="D35">
        <v>0.99945545196533203</v>
      </c>
      <c r="E35">
        <v>0.99945545196533203</v>
      </c>
      <c r="F35">
        <v>0.99945545196533203</v>
      </c>
      <c r="G35">
        <v>8.3333333333333301E-2</v>
      </c>
    </row>
    <row r="36" spans="1:7" hidden="1" x14ac:dyDescent="0.3">
      <c r="A36" t="s">
        <v>166</v>
      </c>
      <c r="B36" t="s">
        <v>165</v>
      </c>
      <c r="C36" t="s">
        <v>164</v>
      </c>
      <c r="D36">
        <v>0.99824869632720947</v>
      </c>
      <c r="E36">
        <v>0.99824869632720947</v>
      </c>
      <c r="F36">
        <v>0.99824869632720947</v>
      </c>
      <c r="G36">
        <v>1.193415637860082</v>
      </c>
    </row>
    <row r="37" spans="1:7" hidden="1" x14ac:dyDescent="0.3">
      <c r="A37" t="s">
        <v>163</v>
      </c>
      <c r="B37" t="s">
        <v>19</v>
      </c>
      <c r="C37" t="s">
        <v>162</v>
      </c>
      <c r="D37">
        <v>0.99673730134963989</v>
      </c>
      <c r="E37">
        <v>0.99673730134963989</v>
      </c>
      <c r="F37">
        <v>0.99673730134963989</v>
      </c>
      <c r="G37">
        <v>1.538461538461539</v>
      </c>
    </row>
    <row r="38" spans="1:7" hidden="1" x14ac:dyDescent="0.3">
      <c r="A38" t="s">
        <v>161</v>
      </c>
      <c r="B38" t="s">
        <v>160</v>
      </c>
      <c r="C38" t="s">
        <v>159</v>
      </c>
      <c r="D38">
        <v>0.99564361572265625</v>
      </c>
      <c r="E38">
        <v>0.99564361572265625</v>
      </c>
      <c r="F38">
        <v>0.99564361572265625</v>
      </c>
      <c r="G38">
        <v>3.950413223140496</v>
      </c>
    </row>
    <row r="39" spans="1:7" hidden="1" x14ac:dyDescent="0.3">
      <c r="A39" t="s">
        <v>158</v>
      </c>
      <c r="B39" t="s">
        <v>157</v>
      </c>
      <c r="C39" t="s">
        <v>156</v>
      </c>
      <c r="D39">
        <v>0.98866361379623413</v>
      </c>
      <c r="E39">
        <v>0.99422383308410645</v>
      </c>
      <c r="F39">
        <v>0.9914359450340271</v>
      </c>
      <c r="G39">
        <v>1655.178384050367</v>
      </c>
    </row>
    <row r="40" spans="1:7" hidden="1" x14ac:dyDescent="0.3">
      <c r="A40" t="s">
        <v>155</v>
      </c>
      <c r="B40" t="s">
        <v>154</v>
      </c>
      <c r="C40" t="s">
        <v>153</v>
      </c>
      <c r="D40">
        <v>0.99046504497528076</v>
      </c>
      <c r="E40">
        <v>0.99342679977416992</v>
      </c>
      <c r="F40">
        <v>0.99194371700286865</v>
      </c>
      <c r="G40">
        <v>252.19838709677421</v>
      </c>
    </row>
    <row r="41" spans="1:7" hidden="1" x14ac:dyDescent="0.3">
      <c r="A41" t="s">
        <v>152</v>
      </c>
      <c r="B41" t="s">
        <v>151</v>
      </c>
      <c r="C41" t="s">
        <v>150</v>
      </c>
      <c r="D41">
        <v>0.99857771396636963</v>
      </c>
      <c r="E41">
        <v>0.99857771396636963</v>
      </c>
      <c r="F41">
        <v>0.99857771396636963</v>
      </c>
      <c r="G41">
        <v>3.333333333333333</v>
      </c>
    </row>
    <row r="42" spans="1:7" hidden="1" x14ac:dyDescent="0.3">
      <c r="A42" t="s">
        <v>149</v>
      </c>
      <c r="B42" t="s">
        <v>148</v>
      </c>
      <c r="C42" t="s">
        <v>147</v>
      </c>
      <c r="D42">
        <v>0.99797749519348145</v>
      </c>
      <c r="E42">
        <v>0.99797749519348145</v>
      </c>
      <c r="F42">
        <v>0.99797749519348145</v>
      </c>
      <c r="G42">
        <v>1.621575342465754</v>
      </c>
    </row>
    <row r="43" spans="1:7" hidden="1" x14ac:dyDescent="0.3">
      <c r="A43" t="s">
        <v>146</v>
      </c>
      <c r="B43" t="s">
        <v>145</v>
      </c>
      <c r="C43" t="s">
        <v>144</v>
      </c>
      <c r="D43">
        <v>0.99718886613845825</v>
      </c>
      <c r="E43">
        <v>0.99718886613845825</v>
      </c>
      <c r="F43">
        <v>0.99718886613845825</v>
      </c>
      <c r="G43">
        <v>1.220338983050848</v>
      </c>
    </row>
    <row r="44" spans="1:7" x14ac:dyDescent="0.3">
      <c r="A44" t="s">
        <v>143</v>
      </c>
      <c r="B44" t="s">
        <v>142</v>
      </c>
      <c r="C44" t="s">
        <v>141</v>
      </c>
      <c r="D44">
        <v>0.99648904800415039</v>
      </c>
      <c r="E44">
        <v>0.99648904800415039</v>
      </c>
      <c r="F44">
        <v>0.99648904800415039</v>
      </c>
      <c r="G44">
        <v>0.67600120445648904</v>
      </c>
    </row>
    <row r="45" spans="1:7" x14ac:dyDescent="0.3">
      <c r="A45" t="s">
        <v>140</v>
      </c>
      <c r="B45" t="s">
        <v>139</v>
      </c>
      <c r="C45" t="s">
        <v>138</v>
      </c>
      <c r="D45">
        <v>0.99611091613769531</v>
      </c>
      <c r="E45">
        <v>0.99611091613769531</v>
      </c>
      <c r="F45">
        <v>0.99611091613769531</v>
      </c>
      <c r="G45">
        <v>0.41509433962264147</v>
      </c>
    </row>
    <row r="46" spans="1:7" hidden="1" x14ac:dyDescent="0.3">
      <c r="A46" t="s">
        <v>137</v>
      </c>
      <c r="B46" t="s">
        <v>136</v>
      </c>
      <c r="C46" t="s">
        <v>135</v>
      </c>
      <c r="D46">
        <v>0.96091413497924805</v>
      </c>
      <c r="E46">
        <v>0.98745256662368774</v>
      </c>
      <c r="F46">
        <v>0.9740026593208313</v>
      </c>
      <c r="G46">
        <v>60981517326.637199</v>
      </c>
    </row>
    <row r="47" spans="1:7" x14ac:dyDescent="0.3">
      <c r="A47" t="s">
        <v>134</v>
      </c>
      <c r="B47" t="s">
        <v>133</v>
      </c>
      <c r="C47" t="s">
        <v>132</v>
      </c>
      <c r="D47">
        <v>0.999420166015625</v>
      </c>
      <c r="E47">
        <v>0.999420166015625</v>
      </c>
      <c r="F47">
        <v>0.999420166015625</v>
      </c>
      <c r="G47">
        <v>0.28571428571428548</v>
      </c>
    </row>
    <row r="48" spans="1:7" x14ac:dyDescent="0.3">
      <c r="A48" t="s">
        <v>131</v>
      </c>
      <c r="B48" t="s">
        <v>130</v>
      </c>
      <c r="C48" t="s">
        <v>129</v>
      </c>
      <c r="D48">
        <v>0.99423110485076904</v>
      </c>
      <c r="E48">
        <v>0.99423110485076904</v>
      </c>
      <c r="F48">
        <v>0.99423110485076904</v>
      </c>
      <c r="G48">
        <v>0.99702380952380953</v>
      </c>
    </row>
    <row r="49" spans="1:7" hidden="1" x14ac:dyDescent="0.3">
      <c r="A49" t="s">
        <v>128</v>
      </c>
      <c r="B49" t="s">
        <v>127</v>
      </c>
      <c r="C49" t="s">
        <v>126</v>
      </c>
      <c r="D49">
        <v>0.99825954437255859</v>
      </c>
      <c r="E49">
        <v>0.99825954437255859</v>
      </c>
      <c r="F49">
        <v>0.99825954437255859</v>
      </c>
      <c r="G49">
        <v>1.827586206896552</v>
      </c>
    </row>
    <row r="50" spans="1:7" x14ac:dyDescent="0.3">
      <c r="A50" t="s">
        <v>125</v>
      </c>
      <c r="B50" t="s">
        <v>124</v>
      </c>
      <c r="C50" t="s">
        <v>123</v>
      </c>
      <c r="D50">
        <v>0.99586838483810425</v>
      </c>
      <c r="E50">
        <v>0.99586838483810425</v>
      </c>
      <c r="F50">
        <v>0.99586838483810425</v>
      </c>
      <c r="G50">
        <v>0.96577946768060841</v>
      </c>
    </row>
    <row r="51" spans="1:7" hidden="1" x14ac:dyDescent="0.3">
      <c r="A51" t="s">
        <v>122</v>
      </c>
      <c r="B51" t="s">
        <v>121</v>
      </c>
      <c r="C51" t="s">
        <v>120</v>
      </c>
      <c r="D51">
        <v>0.99417942762374878</v>
      </c>
      <c r="E51">
        <v>0.99626904726028442</v>
      </c>
      <c r="F51">
        <v>0.99522310495376587</v>
      </c>
      <c r="G51">
        <v>45.960570469798661</v>
      </c>
    </row>
    <row r="52" spans="1:7" hidden="1" x14ac:dyDescent="0.3">
      <c r="A52" t="s">
        <v>119</v>
      </c>
      <c r="B52" t="s">
        <v>118</v>
      </c>
      <c r="C52" t="s">
        <v>117</v>
      </c>
      <c r="D52">
        <v>0.99947363138198853</v>
      </c>
      <c r="E52">
        <v>0.99947363138198853</v>
      </c>
      <c r="F52">
        <v>0.99947363138198853</v>
      </c>
      <c r="G52">
        <v>1.25</v>
      </c>
    </row>
    <row r="53" spans="1:7" x14ac:dyDescent="0.3">
      <c r="A53" t="s">
        <v>116</v>
      </c>
      <c r="B53" t="s">
        <v>115</v>
      </c>
      <c r="C53" t="s">
        <v>114</v>
      </c>
      <c r="D53">
        <v>0.99570375680923462</v>
      </c>
      <c r="E53">
        <v>0.99313724040985107</v>
      </c>
      <c r="F53">
        <v>0.99441885948181152</v>
      </c>
      <c r="G53">
        <v>0.98979009143509766</v>
      </c>
    </row>
    <row r="54" spans="1:7" hidden="1" x14ac:dyDescent="0.3">
      <c r="A54" t="s">
        <v>113</v>
      </c>
      <c r="B54" t="s">
        <v>112</v>
      </c>
      <c r="C54" t="s">
        <v>111</v>
      </c>
      <c r="D54">
        <v>0.99868404865264893</v>
      </c>
      <c r="E54">
        <v>0.99868404865264893</v>
      </c>
      <c r="F54">
        <v>0.99868404865264893</v>
      </c>
      <c r="G54">
        <v>6</v>
      </c>
    </row>
    <row r="55" spans="1:7" x14ac:dyDescent="0.3">
      <c r="A55" t="s">
        <v>110</v>
      </c>
      <c r="B55" t="s">
        <v>109</v>
      </c>
      <c r="C55" t="s">
        <v>108</v>
      </c>
      <c r="D55">
        <v>0.99723613262176514</v>
      </c>
      <c r="E55">
        <v>0.99723613262176514</v>
      </c>
      <c r="F55">
        <v>0.99723613262176514</v>
      </c>
      <c r="G55">
        <v>0.11665443873807781</v>
      </c>
    </row>
    <row r="56" spans="1:7" x14ac:dyDescent="0.3">
      <c r="A56" t="s">
        <v>107</v>
      </c>
      <c r="B56" t="s">
        <v>106</v>
      </c>
      <c r="C56" t="s">
        <v>105</v>
      </c>
      <c r="D56">
        <v>0.99734652042388916</v>
      </c>
      <c r="E56">
        <v>0.99734652042388916</v>
      </c>
      <c r="F56">
        <v>0.99734652042388916</v>
      </c>
      <c r="G56">
        <v>0.55161023947151111</v>
      </c>
    </row>
    <row r="57" spans="1:7" x14ac:dyDescent="0.3">
      <c r="A57" t="s">
        <v>104</v>
      </c>
      <c r="B57" t="s">
        <v>103</v>
      </c>
      <c r="C57" t="s">
        <v>102</v>
      </c>
      <c r="D57">
        <v>0.99574780464172363</v>
      </c>
      <c r="E57">
        <v>0.99574780464172363</v>
      </c>
      <c r="F57">
        <v>0.99574780464172363</v>
      </c>
      <c r="G57">
        <v>0.58139534883720945</v>
      </c>
    </row>
    <row r="58" spans="1:7" x14ac:dyDescent="0.3">
      <c r="A58" t="s">
        <v>101</v>
      </c>
      <c r="B58" t="s">
        <v>100</v>
      </c>
      <c r="C58" t="s">
        <v>99</v>
      </c>
      <c r="D58">
        <v>0.99827498197555542</v>
      </c>
      <c r="E58">
        <v>0.99827498197555542</v>
      </c>
      <c r="F58">
        <v>0.99827498197555542</v>
      </c>
      <c r="G58">
        <v>0.32071269487750542</v>
      </c>
    </row>
    <row r="59" spans="1:7" x14ac:dyDescent="0.3">
      <c r="A59" t="s">
        <v>98</v>
      </c>
      <c r="B59" t="s">
        <v>97</v>
      </c>
      <c r="C59" t="s">
        <v>96</v>
      </c>
      <c r="D59">
        <v>0.99699914455413818</v>
      </c>
      <c r="E59">
        <v>0.99699914455413818</v>
      </c>
      <c r="F59">
        <v>0.99699914455413818</v>
      </c>
      <c r="G59">
        <v>0.74437529918621348</v>
      </c>
    </row>
    <row r="60" spans="1:7" x14ac:dyDescent="0.3">
      <c r="A60" t="s">
        <v>95</v>
      </c>
      <c r="B60" t="s">
        <v>94</v>
      </c>
      <c r="C60" t="s">
        <v>93</v>
      </c>
      <c r="D60">
        <v>0.99683892726898193</v>
      </c>
      <c r="E60">
        <v>0.99683892726898193</v>
      </c>
      <c r="F60">
        <v>0.99683892726898193</v>
      </c>
      <c r="G60">
        <v>0.57142857142857151</v>
      </c>
    </row>
    <row r="61" spans="1:7" hidden="1" x14ac:dyDescent="0.3">
      <c r="A61" t="s">
        <v>92</v>
      </c>
      <c r="B61" t="s">
        <v>91</v>
      </c>
      <c r="C61" t="s">
        <v>90</v>
      </c>
      <c r="D61">
        <v>0.99500930309295654</v>
      </c>
      <c r="E61">
        <v>0.99670147895812988</v>
      </c>
      <c r="F61">
        <v>0.99585467576980591</v>
      </c>
      <c r="G61">
        <v>1.312243821273487</v>
      </c>
    </row>
    <row r="62" spans="1:7" hidden="1" x14ac:dyDescent="0.3">
      <c r="A62" t="s">
        <v>89</v>
      </c>
      <c r="B62" t="s">
        <v>88</v>
      </c>
      <c r="C62" t="s">
        <v>87</v>
      </c>
      <c r="D62">
        <v>0.99628269672393799</v>
      </c>
      <c r="E62">
        <v>0.99628269672393799</v>
      </c>
      <c r="F62">
        <v>0.99628269672393799</v>
      </c>
      <c r="G62">
        <v>1.60377358490566</v>
      </c>
    </row>
    <row r="63" spans="1:7" x14ac:dyDescent="0.3">
      <c r="A63" t="s">
        <v>86</v>
      </c>
      <c r="B63" t="s">
        <v>85</v>
      </c>
      <c r="C63" t="s">
        <v>84</v>
      </c>
      <c r="D63">
        <v>0.99885916709899902</v>
      </c>
      <c r="E63">
        <v>0.99885916709899902</v>
      </c>
      <c r="F63">
        <v>0.99885916709899902</v>
      </c>
      <c r="G63">
        <v>0.2</v>
      </c>
    </row>
    <row r="64" spans="1:7" x14ac:dyDescent="0.3">
      <c r="A64" t="s">
        <v>83</v>
      </c>
      <c r="B64" t="s">
        <v>82</v>
      </c>
      <c r="C64" t="s">
        <v>81</v>
      </c>
      <c r="D64">
        <v>0.99241602420806885</v>
      </c>
      <c r="E64">
        <v>0.97893553972244263</v>
      </c>
      <c r="F64">
        <v>0.98562967777252197</v>
      </c>
      <c r="G64">
        <v>0.9999999388181372</v>
      </c>
    </row>
    <row r="65" spans="1:7" x14ac:dyDescent="0.3">
      <c r="A65" t="s">
        <v>80</v>
      </c>
      <c r="B65" t="s">
        <v>79</v>
      </c>
      <c r="C65" t="s">
        <v>78</v>
      </c>
      <c r="D65">
        <v>0.99886947870254517</v>
      </c>
      <c r="E65">
        <v>0.99886947870254517</v>
      </c>
      <c r="F65">
        <v>0.99886947870254517</v>
      </c>
      <c r="G65">
        <v>0.62068965517241381</v>
      </c>
    </row>
    <row r="66" spans="1:7" x14ac:dyDescent="0.3">
      <c r="A66" t="s">
        <v>77</v>
      </c>
      <c r="B66" t="s">
        <v>76</v>
      </c>
      <c r="C66" t="s">
        <v>75</v>
      </c>
      <c r="D66">
        <v>0.99690485000610352</v>
      </c>
      <c r="E66">
        <v>0.99690485000610352</v>
      </c>
      <c r="F66">
        <v>0.99690485000610352</v>
      </c>
      <c r="G66">
        <v>0.38619854721549629</v>
      </c>
    </row>
    <row r="67" spans="1:7" x14ac:dyDescent="0.3">
      <c r="A67" t="s">
        <v>74</v>
      </c>
      <c r="B67" t="s">
        <v>73</v>
      </c>
      <c r="C67" t="s">
        <v>72</v>
      </c>
      <c r="D67">
        <v>0.99798256158828735</v>
      </c>
      <c r="E67">
        <v>0.99798256158828735</v>
      </c>
      <c r="F67">
        <v>0.99798256158828735</v>
      </c>
      <c r="G67">
        <v>0.73511658184400519</v>
      </c>
    </row>
    <row r="68" spans="1:7" x14ac:dyDescent="0.3">
      <c r="A68" t="s">
        <v>71</v>
      </c>
      <c r="B68" t="s">
        <v>70</v>
      </c>
      <c r="C68" t="s">
        <v>69</v>
      </c>
      <c r="D68">
        <v>0.99999994039535522</v>
      </c>
      <c r="E68">
        <v>0.99999994039535522</v>
      </c>
      <c r="F68">
        <v>0.99999994039535522</v>
      </c>
      <c r="G68">
        <v>0</v>
      </c>
    </row>
    <row r="69" spans="1:7" hidden="1" x14ac:dyDescent="0.3">
      <c r="A69" t="s">
        <v>68</v>
      </c>
      <c r="B69" t="s">
        <v>67</v>
      </c>
      <c r="C69" t="s">
        <v>66</v>
      </c>
      <c r="D69">
        <v>0.99822449684143066</v>
      </c>
      <c r="E69">
        <v>0.99822449684143066</v>
      </c>
      <c r="F69">
        <v>0.99822449684143066</v>
      </c>
      <c r="G69">
        <v>16.333333333333329</v>
      </c>
    </row>
    <row r="70" spans="1:7" x14ac:dyDescent="0.3">
      <c r="A70" t="s">
        <v>65</v>
      </c>
      <c r="B70" t="s">
        <v>64</v>
      </c>
      <c r="C70" t="s">
        <v>63</v>
      </c>
      <c r="D70">
        <v>0.99836677312850952</v>
      </c>
      <c r="E70">
        <v>0.99836677312850952</v>
      </c>
      <c r="F70">
        <v>0.99836677312850952</v>
      </c>
      <c r="G70">
        <v>0.2341772151898735</v>
      </c>
    </row>
    <row r="71" spans="1:7" x14ac:dyDescent="0.3">
      <c r="A71" t="s">
        <v>62</v>
      </c>
      <c r="B71" t="s">
        <v>61</v>
      </c>
      <c r="C71" t="s">
        <v>60</v>
      </c>
      <c r="D71">
        <v>0.99751275777816772</v>
      </c>
      <c r="E71">
        <v>0.99751275777816772</v>
      </c>
      <c r="F71">
        <v>0.99751275777816772</v>
      </c>
      <c r="G71">
        <v>0.56705729166666663</v>
      </c>
    </row>
    <row r="72" spans="1:7" hidden="1" x14ac:dyDescent="0.3">
      <c r="A72" t="s">
        <v>59</v>
      </c>
      <c r="B72" t="s">
        <v>58</v>
      </c>
      <c r="C72" t="s">
        <v>57</v>
      </c>
      <c r="D72">
        <v>0.99867475032806396</v>
      </c>
      <c r="E72">
        <v>0.99867475032806396</v>
      </c>
      <c r="F72">
        <v>0.99867475032806396</v>
      </c>
      <c r="G72">
        <v>1.428571428571429</v>
      </c>
    </row>
    <row r="73" spans="1:7" x14ac:dyDescent="0.3">
      <c r="A73" t="s">
        <v>56</v>
      </c>
      <c r="B73" t="s">
        <v>55</v>
      </c>
      <c r="C73" t="s">
        <v>54</v>
      </c>
      <c r="D73">
        <v>1</v>
      </c>
      <c r="E73">
        <v>1</v>
      </c>
      <c r="F73">
        <v>1</v>
      </c>
      <c r="G73">
        <v>0</v>
      </c>
    </row>
    <row r="74" spans="1:7" x14ac:dyDescent="0.3">
      <c r="A74" t="s">
        <v>53</v>
      </c>
      <c r="B74" t="s">
        <v>52</v>
      </c>
      <c r="C74" t="s">
        <v>51</v>
      </c>
      <c r="D74">
        <v>0.99917525053024292</v>
      </c>
      <c r="E74">
        <v>0.99917525053024292</v>
      </c>
      <c r="F74">
        <v>0.99917525053024292</v>
      </c>
      <c r="G74">
        <v>0.75</v>
      </c>
    </row>
    <row r="75" spans="1:7" hidden="1" x14ac:dyDescent="0.3">
      <c r="A75" t="s">
        <v>50</v>
      </c>
      <c r="B75" t="s">
        <v>49</v>
      </c>
      <c r="C75" t="s">
        <v>48</v>
      </c>
      <c r="D75">
        <v>0.96234256029129028</v>
      </c>
      <c r="E75">
        <v>0.98909687995910645</v>
      </c>
      <c r="F75">
        <v>0.97553634643554688</v>
      </c>
      <c r="G75">
        <v>24434452328650.629</v>
      </c>
    </row>
    <row r="76" spans="1:7" x14ac:dyDescent="0.3">
      <c r="A76" t="s">
        <v>47</v>
      </c>
      <c r="B76" t="s">
        <v>46</v>
      </c>
      <c r="C76" t="s">
        <v>45</v>
      </c>
      <c r="D76">
        <v>0.99807894229888916</v>
      </c>
      <c r="E76">
        <v>0.99807894229888916</v>
      </c>
      <c r="F76">
        <v>0.99807894229888916</v>
      </c>
      <c r="G76">
        <v>0.20661157024793389</v>
      </c>
    </row>
    <row r="77" spans="1:7" x14ac:dyDescent="0.3">
      <c r="A77" t="s">
        <v>44</v>
      </c>
      <c r="B77" t="s">
        <v>43</v>
      </c>
      <c r="C77" t="s">
        <v>42</v>
      </c>
      <c r="D77">
        <v>0.99416500329971313</v>
      </c>
      <c r="E77">
        <v>0.98912471532821655</v>
      </c>
      <c r="F77">
        <v>0.99163848161697388</v>
      </c>
      <c r="G77">
        <v>0.99999729225997303</v>
      </c>
    </row>
    <row r="78" spans="1:7" x14ac:dyDescent="0.3">
      <c r="A78" t="s">
        <v>41</v>
      </c>
      <c r="B78" t="s">
        <v>40</v>
      </c>
      <c r="C78" t="s">
        <v>39</v>
      </c>
      <c r="D78">
        <v>0.99810624122619629</v>
      </c>
      <c r="E78">
        <v>0.99810624122619629</v>
      </c>
      <c r="F78">
        <v>0.99810624122619629</v>
      </c>
      <c r="G78">
        <v>0.71484374999999989</v>
      </c>
    </row>
    <row r="79" spans="1:7" x14ac:dyDescent="0.3">
      <c r="A79" t="s">
        <v>38</v>
      </c>
      <c r="B79" t="s">
        <v>37</v>
      </c>
      <c r="C79" t="s">
        <v>36</v>
      </c>
      <c r="D79">
        <v>0.99863791465759277</v>
      </c>
      <c r="E79">
        <v>0.99863791465759277</v>
      </c>
      <c r="F79">
        <v>0.99863791465759277</v>
      </c>
      <c r="G79">
        <v>0.47035573122529661</v>
      </c>
    </row>
    <row r="80" spans="1:7" hidden="1" x14ac:dyDescent="0.3">
      <c r="A80" t="s">
        <v>35</v>
      </c>
      <c r="B80" t="s">
        <v>34</v>
      </c>
      <c r="C80" t="s">
        <v>33</v>
      </c>
      <c r="D80">
        <v>0.9992443323135376</v>
      </c>
      <c r="E80">
        <v>0.9992443323135376</v>
      </c>
      <c r="F80">
        <v>0.9992443323135376</v>
      </c>
      <c r="G80">
        <v>8</v>
      </c>
    </row>
    <row r="81" spans="1:7" x14ac:dyDescent="0.3">
      <c r="A81" t="s">
        <v>32</v>
      </c>
      <c r="B81" t="s">
        <v>31</v>
      </c>
      <c r="C81" t="s">
        <v>30</v>
      </c>
      <c r="D81">
        <v>0.99927133321762085</v>
      </c>
      <c r="E81">
        <v>0.99927133321762085</v>
      </c>
      <c r="F81">
        <v>0.99927133321762085</v>
      </c>
      <c r="G81">
        <v>0.38095238095238088</v>
      </c>
    </row>
    <row r="82" spans="1:7" hidden="1" x14ac:dyDescent="0.3">
      <c r="A82" t="s">
        <v>29</v>
      </c>
      <c r="B82" t="s">
        <v>28</v>
      </c>
      <c r="C82" t="s">
        <v>27</v>
      </c>
      <c r="D82">
        <v>0.99836540222167969</v>
      </c>
      <c r="E82">
        <v>0.99836540222167969</v>
      </c>
      <c r="F82">
        <v>0.99836540222167969</v>
      </c>
      <c r="G82">
        <v>2.29350104821803</v>
      </c>
    </row>
    <row r="83" spans="1:7" x14ac:dyDescent="0.3">
      <c r="A83" t="s">
        <v>26</v>
      </c>
      <c r="B83" t="s">
        <v>25</v>
      </c>
      <c r="C83" t="s">
        <v>24</v>
      </c>
      <c r="D83">
        <v>0.99779385328292847</v>
      </c>
      <c r="E83">
        <v>0.99779385328292847</v>
      </c>
      <c r="F83">
        <v>0.99779385328292847</v>
      </c>
      <c r="G83">
        <v>0.14432989690721651</v>
      </c>
    </row>
    <row r="84" spans="1:7" x14ac:dyDescent="0.3">
      <c r="A84" t="s">
        <v>23</v>
      </c>
      <c r="B84" t="s">
        <v>22</v>
      </c>
      <c r="C84" t="s">
        <v>21</v>
      </c>
      <c r="D84">
        <v>0.99840450286865234</v>
      </c>
      <c r="E84">
        <v>0.99840450286865234</v>
      </c>
      <c r="F84">
        <v>0.99840450286865234</v>
      </c>
      <c r="G84">
        <v>0.37323943661971831</v>
      </c>
    </row>
    <row r="85" spans="1:7" x14ac:dyDescent="0.3">
      <c r="A85" t="s">
        <v>20</v>
      </c>
      <c r="B85" t="s">
        <v>19</v>
      </c>
      <c r="C85" t="s">
        <v>18</v>
      </c>
      <c r="D85">
        <v>0.99662971496582031</v>
      </c>
      <c r="E85">
        <v>0.99662971496582031</v>
      </c>
      <c r="F85">
        <v>0.99662971496582031</v>
      </c>
      <c r="G85">
        <v>0.94117647058823528</v>
      </c>
    </row>
    <row r="86" spans="1:7" x14ac:dyDescent="0.3">
      <c r="A86" t="s">
        <v>17</v>
      </c>
      <c r="B86" t="s">
        <v>16</v>
      </c>
      <c r="C86" t="s">
        <v>15</v>
      </c>
      <c r="D86">
        <v>0.99560242891311646</v>
      </c>
      <c r="E86">
        <v>0.99560242891311646</v>
      </c>
      <c r="F86">
        <v>0.99560242891311646</v>
      </c>
      <c r="G86">
        <v>0.88762603116406957</v>
      </c>
    </row>
    <row r="87" spans="1:7" hidden="1" x14ac:dyDescent="0.3">
      <c r="A87" t="s">
        <v>14</v>
      </c>
      <c r="B87" t="s">
        <v>13</v>
      </c>
      <c r="C87" t="s">
        <v>12</v>
      </c>
      <c r="D87">
        <v>0.99659276008605957</v>
      </c>
      <c r="E87">
        <v>0.99659276008605957</v>
      </c>
      <c r="F87">
        <v>0.99659276008605957</v>
      </c>
      <c r="G87">
        <v>11.285714285714279</v>
      </c>
    </row>
    <row r="88" spans="1:7" hidden="1" x14ac:dyDescent="0.3">
      <c r="A88" t="s">
        <v>11</v>
      </c>
      <c r="B88" t="s">
        <v>10</v>
      </c>
      <c r="C88" t="s">
        <v>9</v>
      </c>
      <c r="D88">
        <v>0.99748122692108154</v>
      </c>
      <c r="E88">
        <v>0.99748122692108154</v>
      </c>
      <c r="F88">
        <v>0.99748122692108154</v>
      </c>
      <c r="G88">
        <v>7.3531468531468542</v>
      </c>
    </row>
    <row r="89" spans="1:7" x14ac:dyDescent="0.3">
      <c r="A89" t="s">
        <v>8</v>
      </c>
      <c r="B89" t="s">
        <v>7</v>
      </c>
      <c r="C89" t="s">
        <v>6</v>
      </c>
      <c r="D89">
        <v>0.99671459197998047</v>
      </c>
      <c r="E89">
        <v>0.99671459197998047</v>
      </c>
      <c r="F89">
        <v>0.99671459197998047</v>
      </c>
      <c r="G89">
        <v>0.82924693520140114</v>
      </c>
    </row>
    <row r="90" spans="1:7" hidden="1" x14ac:dyDescent="0.3">
      <c r="A90" t="s">
        <v>5</v>
      </c>
      <c r="B90" t="s">
        <v>4</v>
      </c>
      <c r="C90" t="s">
        <v>3</v>
      </c>
      <c r="D90">
        <v>0.99728667736053467</v>
      </c>
      <c r="E90">
        <v>0.99728667736053467</v>
      </c>
      <c r="F90">
        <v>0.99728667736053467</v>
      </c>
      <c r="G90">
        <v>1.666666666666667</v>
      </c>
    </row>
    <row r="91" spans="1:7" x14ac:dyDescent="0.3">
      <c r="A91" t="s">
        <v>2</v>
      </c>
      <c r="B91" t="s">
        <v>1</v>
      </c>
      <c r="C91" t="s">
        <v>0</v>
      </c>
      <c r="D91">
        <v>0.99889653921127319</v>
      </c>
      <c r="E91">
        <v>0.99889653921127319</v>
      </c>
      <c r="F91">
        <v>0.99889653921127319</v>
      </c>
      <c r="G91">
        <v>0.30091185410334348</v>
      </c>
    </row>
    <row r="92" spans="1:7" hidden="1" x14ac:dyDescent="0.3">
      <c r="D92">
        <f>AVERAGE(D2:D91)</f>
        <v>0.99596283170912003</v>
      </c>
      <c r="E92">
        <f t="shared" ref="E92:F92" si="0">AVERAGE(E2:E91)</f>
        <v>0.99619594083891971</v>
      </c>
      <c r="F92">
        <f t="shared" si="0"/>
        <v>0.99606838226318362</v>
      </c>
    </row>
    <row r="93" spans="1:7" hidden="1" x14ac:dyDescent="0.3">
      <c r="D93">
        <f>AVERAGE(D2:D92)</f>
        <v>0.99596283170912003</v>
      </c>
      <c r="E93">
        <f t="shared" ref="E93:F93" si="1">AVERAGE(E2:E92)</f>
        <v>0.99619594083891971</v>
      </c>
      <c r="F93">
        <f t="shared" si="1"/>
        <v>0.99606838226318362</v>
      </c>
    </row>
  </sheetData>
  <autoFilter ref="A1:G93" xr:uid="{F90A1216-E6C5-4440-9BBB-DEB96D8E7C08}">
    <filterColumn colId="6">
      <customFilters>
        <customFilter operator="lessThanOrEqual" val="1"/>
      </customFilters>
    </filterColumn>
  </autoFilter>
  <phoneticPr fontId="1" type="noConversion"/>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2221-A3C4-4A57-BD2B-410C33640FAE}">
  <sheetPr filterMode="1"/>
  <dimension ref="A1:G92"/>
  <sheetViews>
    <sheetView topLeftCell="A18" workbookViewId="0">
      <selection activeCell="G2" sqref="G2:G91"/>
    </sheetView>
  </sheetViews>
  <sheetFormatPr defaultRowHeight="14" x14ac:dyDescent="0.3"/>
  <sheetData>
    <row r="1" spans="1:7" x14ac:dyDescent="0.3">
      <c r="A1" s="1" t="s">
        <v>273</v>
      </c>
      <c r="B1" s="1" t="s">
        <v>272</v>
      </c>
      <c r="C1" s="1" t="s">
        <v>271</v>
      </c>
      <c r="D1" s="1" t="s">
        <v>270</v>
      </c>
      <c r="E1" s="1" t="s">
        <v>269</v>
      </c>
      <c r="F1" s="1" t="s">
        <v>268</v>
      </c>
      <c r="G1" s="1" t="s">
        <v>267</v>
      </c>
    </row>
    <row r="2" spans="1:7" x14ac:dyDescent="0.3">
      <c r="A2" t="s">
        <v>451</v>
      </c>
      <c r="B2" t="s">
        <v>450</v>
      </c>
      <c r="C2" t="s">
        <v>264</v>
      </c>
      <c r="D2">
        <v>0.99887895584106445</v>
      </c>
      <c r="E2">
        <v>0.99887895584106445</v>
      </c>
      <c r="F2">
        <v>0.99887895584106445</v>
      </c>
      <c r="G2">
        <v>2.8571428571428572</v>
      </c>
    </row>
    <row r="3" spans="1:7" x14ac:dyDescent="0.3">
      <c r="A3" t="s">
        <v>449</v>
      </c>
      <c r="B3" t="s">
        <v>448</v>
      </c>
      <c r="C3" t="s">
        <v>261</v>
      </c>
      <c r="D3">
        <v>0.99888306856155396</v>
      </c>
      <c r="E3">
        <v>0.99888306856155396</v>
      </c>
      <c r="F3">
        <v>0.99888306856155396</v>
      </c>
      <c r="G3">
        <v>0.22131147540983609</v>
      </c>
    </row>
    <row r="4" spans="1:7" x14ac:dyDescent="0.3">
      <c r="A4" t="s">
        <v>447</v>
      </c>
      <c r="B4" t="s">
        <v>446</v>
      </c>
      <c r="C4" t="s">
        <v>258</v>
      </c>
      <c r="D4">
        <v>0.99785780906677246</v>
      </c>
      <c r="E4">
        <v>0.99785780906677246</v>
      </c>
      <c r="F4">
        <v>0.99785780906677246</v>
      </c>
      <c r="G4">
        <v>0.81690140845070436</v>
      </c>
    </row>
    <row r="5" spans="1:7" x14ac:dyDescent="0.3">
      <c r="A5" t="s">
        <v>445</v>
      </c>
      <c r="B5" t="s">
        <v>444</v>
      </c>
      <c r="C5" t="s">
        <v>255</v>
      </c>
      <c r="D5">
        <v>0.99837410449981689</v>
      </c>
      <c r="E5">
        <v>0.99837410449981689</v>
      </c>
      <c r="F5">
        <v>0.99837410449981689</v>
      </c>
      <c r="G5">
        <v>1.205882352941176</v>
      </c>
    </row>
    <row r="6" spans="1:7" x14ac:dyDescent="0.3">
      <c r="A6" t="s">
        <v>443</v>
      </c>
      <c r="B6" t="s">
        <v>442</v>
      </c>
      <c r="C6" t="s">
        <v>252</v>
      </c>
      <c r="D6">
        <v>0.99832171201705933</v>
      </c>
      <c r="E6">
        <v>0.99832171201705933</v>
      </c>
      <c r="F6">
        <v>0.99832171201705933</v>
      </c>
      <c r="G6">
        <v>0.1348920863309353</v>
      </c>
    </row>
    <row r="7" spans="1:7" x14ac:dyDescent="0.3">
      <c r="A7" t="s">
        <v>441</v>
      </c>
      <c r="B7" t="s">
        <v>440</v>
      </c>
      <c r="C7" t="s">
        <v>249</v>
      </c>
      <c r="D7">
        <v>0.99731826782226563</v>
      </c>
      <c r="E7">
        <v>0.99731826782226563</v>
      </c>
      <c r="F7">
        <v>0.99731826782226563</v>
      </c>
      <c r="G7">
        <v>0.88151553347668121</v>
      </c>
    </row>
    <row r="8" spans="1:7" x14ac:dyDescent="0.3">
      <c r="A8" t="s">
        <v>439</v>
      </c>
      <c r="B8" t="s">
        <v>438</v>
      </c>
      <c r="C8" t="s">
        <v>246</v>
      </c>
      <c r="D8">
        <v>0.9953961968421936</v>
      </c>
      <c r="E8">
        <v>0.9953961968421936</v>
      </c>
      <c r="F8">
        <v>0.9953961968421936</v>
      </c>
      <c r="G8">
        <v>0.97883597883597884</v>
      </c>
    </row>
    <row r="9" spans="1:7" x14ac:dyDescent="0.3">
      <c r="A9" t="s">
        <v>437</v>
      </c>
      <c r="B9" t="s">
        <v>436</v>
      </c>
      <c r="C9" t="s">
        <v>243</v>
      </c>
      <c r="D9">
        <v>0.99855029582977295</v>
      </c>
      <c r="E9">
        <v>0.99855029582977295</v>
      </c>
      <c r="F9">
        <v>0.99855029582977295</v>
      </c>
      <c r="G9">
        <v>0.84090909090909094</v>
      </c>
    </row>
    <row r="10" spans="1:7" hidden="1" x14ac:dyDescent="0.3">
      <c r="A10" t="s">
        <v>435</v>
      </c>
      <c r="B10" t="s">
        <v>434</v>
      </c>
      <c r="C10" t="s">
        <v>241</v>
      </c>
      <c r="D10">
        <v>0.99532347917556763</v>
      </c>
      <c r="E10">
        <v>0.99470001459121704</v>
      </c>
      <c r="F10">
        <v>0.99501168727874756</v>
      </c>
      <c r="G10">
        <v>60.297297297297291</v>
      </c>
    </row>
    <row r="11" spans="1:7" x14ac:dyDescent="0.3">
      <c r="A11" t="s">
        <v>433</v>
      </c>
      <c r="B11" t="s">
        <v>432</v>
      </c>
      <c r="C11" t="s">
        <v>238</v>
      </c>
      <c r="D11">
        <v>0.98802876472473145</v>
      </c>
      <c r="E11">
        <v>0.94514507055282593</v>
      </c>
      <c r="F11">
        <v>0.96611124277114868</v>
      </c>
      <c r="G11">
        <v>0.99437500000000001</v>
      </c>
    </row>
    <row r="12" spans="1:7" x14ac:dyDescent="0.3">
      <c r="A12" t="s">
        <v>431</v>
      </c>
      <c r="B12" t="s">
        <v>430</v>
      </c>
      <c r="C12" t="s">
        <v>235</v>
      </c>
      <c r="D12">
        <v>0.99884301424026489</v>
      </c>
      <c r="E12">
        <v>0.99884301424026489</v>
      </c>
      <c r="F12">
        <v>0.99884301424026489</v>
      </c>
      <c r="G12">
        <v>0.45348837209302328</v>
      </c>
    </row>
    <row r="13" spans="1:7" x14ac:dyDescent="0.3">
      <c r="A13" t="s">
        <v>429</v>
      </c>
      <c r="B13" t="s">
        <v>428</v>
      </c>
      <c r="C13" t="s">
        <v>232</v>
      </c>
      <c r="D13">
        <v>0.99956011772155762</v>
      </c>
      <c r="E13">
        <v>0.99956011772155762</v>
      </c>
      <c r="F13">
        <v>0.99956011772155762</v>
      </c>
      <c r="G13">
        <v>0.33333333333333331</v>
      </c>
    </row>
    <row r="14" spans="1:7" x14ac:dyDescent="0.3">
      <c r="A14" t="s">
        <v>427</v>
      </c>
      <c r="B14" t="s">
        <v>426</v>
      </c>
      <c r="C14" t="s">
        <v>229</v>
      </c>
      <c r="D14">
        <v>0.99733412265777588</v>
      </c>
      <c r="E14">
        <v>0.99733412265777588</v>
      </c>
      <c r="F14">
        <v>0.99733412265777588</v>
      </c>
      <c r="G14">
        <v>0.39536954585930539</v>
      </c>
    </row>
    <row r="15" spans="1:7" hidden="1" x14ac:dyDescent="0.3">
      <c r="A15" t="s">
        <v>425</v>
      </c>
      <c r="B15" t="s">
        <v>424</v>
      </c>
      <c r="C15" t="s">
        <v>227</v>
      </c>
      <c r="D15">
        <v>0.99494624137878418</v>
      </c>
      <c r="E15">
        <v>0.99438178539276123</v>
      </c>
      <c r="F15">
        <v>0.99466389417648315</v>
      </c>
      <c r="G15">
        <v>842.06666666666661</v>
      </c>
    </row>
    <row r="16" spans="1:7" x14ac:dyDescent="0.3">
      <c r="A16" t="s">
        <v>423</v>
      </c>
      <c r="B16" t="s">
        <v>422</v>
      </c>
      <c r="C16" t="s">
        <v>224</v>
      </c>
      <c r="D16">
        <v>0.99999994039535522</v>
      </c>
      <c r="E16">
        <v>0.99999994039535522</v>
      </c>
      <c r="F16">
        <v>0.99999994039535522</v>
      </c>
      <c r="G16">
        <v>0</v>
      </c>
    </row>
    <row r="17" spans="1:7" hidden="1" x14ac:dyDescent="0.3">
      <c r="A17" t="s">
        <v>421</v>
      </c>
      <c r="B17" t="s">
        <v>420</v>
      </c>
      <c r="C17" t="s">
        <v>221</v>
      </c>
      <c r="D17">
        <v>0.99874544143676758</v>
      </c>
      <c r="E17">
        <v>0.99874544143676758</v>
      </c>
      <c r="F17">
        <v>0.99874544143676758</v>
      </c>
      <c r="G17">
        <v>8</v>
      </c>
    </row>
    <row r="18" spans="1:7" x14ac:dyDescent="0.3">
      <c r="A18" t="s">
        <v>419</v>
      </c>
      <c r="B18" t="s">
        <v>418</v>
      </c>
      <c r="C18" t="s">
        <v>218</v>
      </c>
      <c r="D18">
        <v>0.99601125717163086</v>
      </c>
      <c r="E18">
        <v>0.99601125717163086</v>
      </c>
      <c r="F18">
        <v>0.99601125717163086</v>
      </c>
      <c r="G18">
        <v>0.91787820113113006</v>
      </c>
    </row>
    <row r="19" spans="1:7" x14ac:dyDescent="0.3">
      <c r="A19" t="s">
        <v>417</v>
      </c>
      <c r="B19" t="s">
        <v>416</v>
      </c>
      <c r="C19" t="s">
        <v>215</v>
      </c>
      <c r="D19">
        <v>0.99682450294494629</v>
      </c>
      <c r="E19">
        <v>0.99682450294494629</v>
      </c>
      <c r="F19">
        <v>0.99682450294494629</v>
      </c>
      <c r="G19">
        <v>0.63862411935350183</v>
      </c>
    </row>
    <row r="20" spans="1:7" x14ac:dyDescent="0.3">
      <c r="A20" t="s">
        <v>415</v>
      </c>
      <c r="B20" t="s">
        <v>312</v>
      </c>
      <c r="C20" t="s">
        <v>212</v>
      </c>
      <c r="D20">
        <v>0.99909061193466187</v>
      </c>
      <c r="E20">
        <v>0.99909061193466187</v>
      </c>
      <c r="F20">
        <v>0.99909061193466187</v>
      </c>
      <c r="G20">
        <v>0.46153846153846151</v>
      </c>
    </row>
    <row r="21" spans="1:7" x14ac:dyDescent="0.3">
      <c r="A21" t="s">
        <v>414</v>
      </c>
      <c r="B21" t="s">
        <v>413</v>
      </c>
      <c r="C21" t="s">
        <v>209</v>
      </c>
      <c r="D21">
        <v>0.99745005369186401</v>
      </c>
      <c r="E21">
        <v>0.99745005369186401</v>
      </c>
      <c r="F21">
        <v>0.99745005369186401</v>
      </c>
      <c r="G21">
        <v>0.32697150430748839</v>
      </c>
    </row>
    <row r="22" spans="1:7" x14ac:dyDescent="0.3">
      <c r="A22" t="s">
        <v>412</v>
      </c>
      <c r="B22" t="s">
        <v>411</v>
      </c>
      <c r="C22" t="s">
        <v>206</v>
      </c>
      <c r="D22">
        <v>0.99751704931259155</v>
      </c>
      <c r="E22">
        <v>0.99751704931259155</v>
      </c>
      <c r="F22">
        <v>0.99751704931259155</v>
      </c>
      <c r="G22">
        <v>0.47044334975369462</v>
      </c>
    </row>
    <row r="23" spans="1:7" x14ac:dyDescent="0.3">
      <c r="A23" t="s">
        <v>410</v>
      </c>
      <c r="B23" t="s">
        <v>409</v>
      </c>
      <c r="C23" t="s">
        <v>203</v>
      </c>
      <c r="D23">
        <v>0.99901562929153442</v>
      </c>
      <c r="E23">
        <v>0.99901562929153442</v>
      </c>
      <c r="F23">
        <v>0.99901562929153442</v>
      </c>
      <c r="G23">
        <v>0.1059190031152648</v>
      </c>
    </row>
    <row r="24" spans="1:7" x14ac:dyDescent="0.3">
      <c r="A24" t="s">
        <v>408</v>
      </c>
      <c r="B24" t="s">
        <v>407</v>
      </c>
      <c r="C24" t="s">
        <v>200</v>
      </c>
      <c r="D24">
        <v>0.99895608425140381</v>
      </c>
      <c r="E24">
        <v>0.99895608425140381</v>
      </c>
      <c r="F24">
        <v>0.99895608425140381</v>
      </c>
      <c r="G24">
        <v>0.58139534883720934</v>
      </c>
    </row>
    <row r="25" spans="1:7" x14ac:dyDescent="0.3">
      <c r="A25" t="s">
        <v>406</v>
      </c>
      <c r="B25" t="s">
        <v>405</v>
      </c>
      <c r="C25" t="s">
        <v>197</v>
      </c>
      <c r="D25">
        <v>0.99479585886001587</v>
      </c>
      <c r="E25">
        <v>0.989246666431427</v>
      </c>
      <c r="F25">
        <v>0.99201351404190063</v>
      </c>
      <c r="G25">
        <v>0.97214355881957792</v>
      </c>
    </row>
    <row r="26" spans="1:7" x14ac:dyDescent="0.3">
      <c r="A26" t="s">
        <v>404</v>
      </c>
      <c r="B26" t="s">
        <v>403</v>
      </c>
      <c r="C26" t="s">
        <v>194</v>
      </c>
      <c r="D26">
        <v>0.99790054559707642</v>
      </c>
      <c r="E26">
        <v>0.99790054559707642</v>
      </c>
      <c r="F26">
        <v>0.99790054559707642</v>
      </c>
      <c r="G26">
        <v>0.91860465116279078</v>
      </c>
    </row>
    <row r="27" spans="1:7" x14ac:dyDescent="0.3">
      <c r="A27" t="s">
        <v>402</v>
      </c>
      <c r="B27" t="s">
        <v>401</v>
      </c>
      <c r="C27" t="s">
        <v>191</v>
      </c>
      <c r="D27">
        <v>0.99801492691040039</v>
      </c>
      <c r="E27">
        <v>0.99801492691040039</v>
      </c>
      <c r="F27">
        <v>0.99801492691040039</v>
      </c>
      <c r="G27">
        <v>0.36744186046511629</v>
      </c>
    </row>
    <row r="28" spans="1:7" x14ac:dyDescent="0.3">
      <c r="A28" t="s">
        <v>400</v>
      </c>
      <c r="B28" t="s">
        <v>399</v>
      </c>
      <c r="C28" t="s">
        <v>188</v>
      </c>
      <c r="D28">
        <v>0.99881452322006226</v>
      </c>
      <c r="E28">
        <v>0.99881452322006226</v>
      </c>
      <c r="F28">
        <v>0.99881452322006226</v>
      </c>
      <c r="G28">
        <v>0.30894308943089438</v>
      </c>
    </row>
    <row r="29" spans="1:7" x14ac:dyDescent="0.3">
      <c r="A29" t="s">
        <v>398</v>
      </c>
      <c r="B29" t="s">
        <v>397</v>
      </c>
      <c r="C29" t="s">
        <v>185</v>
      </c>
      <c r="D29">
        <v>0.99609637260437012</v>
      </c>
      <c r="E29">
        <v>0.99609637260437012</v>
      </c>
      <c r="F29">
        <v>0.99609637260437012</v>
      </c>
      <c r="G29">
        <v>0.89189189189189177</v>
      </c>
    </row>
    <row r="30" spans="1:7" x14ac:dyDescent="0.3">
      <c r="A30" t="s">
        <v>396</v>
      </c>
      <c r="B30" t="s">
        <v>395</v>
      </c>
      <c r="C30" t="s">
        <v>182</v>
      </c>
      <c r="D30">
        <v>0.99621403217315674</v>
      </c>
      <c r="E30">
        <v>0.99621403217315674</v>
      </c>
      <c r="F30">
        <v>0.99621403217315674</v>
      </c>
      <c r="G30">
        <v>0.8814589665653495</v>
      </c>
    </row>
    <row r="31" spans="1:7" x14ac:dyDescent="0.3">
      <c r="A31" t="s">
        <v>394</v>
      </c>
      <c r="B31" t="s">
        <v>393</v>
      </c>
      <c r="C31" t="s">
        <v>179</v>
      </c>
      <c r="D31">
        <v>0.99789786338806152</v>
      </c>
      <c r="E31">
        <v>0.99789786338806152</v>
      </c>
      <c r="F31">
        <v>0.99789786338806152</v>
      </c>
      <c r="G31">
        <v>1.252453468697124</v>
      </c>
    </row>
    <row r="32" spans="1:7" x14ac:dyDescent="0.3">
      <c r="A32" t="s">
        <v>392</v>
      </c>
      <c r="B32" t="s">
        <v>391</v>
      </c>
      <c r="C32" t="s">
        <v>176</v>
      </c>
      <c r="D32">
        <v>0.99806457757949829</v>
      </c>
      <c r="E32">
        <v>0.99806457757949829</v>
      </c>
      <c r="F32">
        <v>0.99806457757949829</v>
      </c>
      <c r="G32">
        <v>2.8804007514088969E-2</v>
      </c>
    </row>
    <row r="33" spans="1:7" x14ac:dyDescent="0.3">
      <c r="A33" t="s">
        <v>390</v>
      </c>
      <c r="B33" t="s">
        <v>389</v>
      </c>
      <c r="C33" t="s">
        <v>173</v>
      </c>
      <c r="D33">
        <v>0.99878084659576416</v>
      </c>
      <c r="E33">
        <v>0.99878084659576416</v>
      </c>
      <c r="F33">
        <v>0.99878084659576416</v>
      </c>
      <c r="G33">
        <v>0.30555555555555552</v>
      </c>
    </row>
    <row r="34" spans="1:7" hidden="1" x14ac:dyDescent="0.3">
      <c r="A34" t="s">
        <v>388</v>
      </c>
      <c r="B34" t="s">
        <v>387</v>
      </c>
      <c r="C34" t="s">
        <v>170</v>
      </c>
      <c r="D34">
        <v>0.97680306434631348</v>
      </c>
      <c r="E34">
        <v>0.99235141277313232</v>
      </c>
      <c r="F34">
        <v>0.98451584577560425</v>
      </c>
      <c r="G34">
        <v>15476582.482091</v>
      </c>
    </row>
    <row r="35" spans="1:7" x14ac:dyDescent="0.3">
      <c r="A35" t="s">
        <v>386</v>
      </c>
      <c r="B35" t="s">
        <v>385</v>
      </c>
      <c r="C35" t="s">
        <v>167</v>
      </c>
      <c r="D35">
        <v>0.99856722354888916</v>
      </c>
      <c r="E35">
        <v>0.99856722354888916</v>
      </c>
      <c r="F35">
        <v>0.99856722354888916</v>
      </c>
      <c r="G35">
        <v>1.166666666666667</v>
      </c>
    </row>
    <row r="36" spans="1:7" x14ac:dyDescent="0.3">
      <c r="A36" t="s">
        <v>384</v>
      </c>
      <c r="B36" t="s">
        <v>383</v>
      </c>
      <c r="C36" t="s">
        <v>164</v>
      </c>
      <c r="D36">
        <v>0.99903964996337891</v>
      </c>
      <c r="E36">
        <v>0.99903964996337891</v>
      </c>
      <c r="F36">
        <v>0.99903964996337891</v>
      </c>
      <c r="G36">
        <v>0.16049382716049371</v>
      </c>
    </row>
    <row r="37" spans="1:7" x14ac:dyDescent="0.3">
      <c r="A37" t="s">
        <v>382</v>
      </c>
      <c r="B37" t="s">
        <v>381</v>
      </c>
      <c r="C37" t="s">
        <v>162</v>
      </c>
      <c r="D37">
        <v>0.99850857257843018</v>
      </c>
      <c r="E37">
        <v>0.99850857257843018</v>
      </c>
      <c r="F37">
        <v>0.99850857257843018</v>
      </c>
      <c r="G37">
        <v>0.63461538461538458</v>
      </c>
    </row>
    <row r="38" spans="1:7" x14ac:dyDescent="0.3">
      <c r="A38" t="s">
        <v>380</v>
      </c>
      <c r="B38" t="s">
        <v>379</v>
      </c>
      <c r="C38" t="s">
        <v>159</v>
      </c>
      <c r="D38">
        <v>0.998679518699646</v>
      </c>
      <c r="E38">
        <v>0.998679518699646</v>
      </c>
      <c r="F38">
        <v>0.998679518699646</v>
      </c>
      <c r="G38">
        <v>0.33884297520661172</v>
      </c>
    </row>
    <row r="39" spans="1:7" x14ac:dyDescent="0.3">
      <c r="A39" t="s">
        <v>378</v>
      </c>
      <c r="B39" t="s">
        <v>377</v>
      </c>
      <c r="C39" t="s">
        <v>156</v>
      </c>
      <c r="D39">
        <v>0.9978259801864624</v>
      </c>
      <c r="E39">
        <v>0.9978259801864624</v>
      </c>
      <c r="F39">
        <v>0.9978259801864624</v>
      </c>
      <c r="G39">
        <v>0.89506820566631684</v>
      </c>
    </row>
    <row r="40" spans="1:7" hidden="1" x14ac:dyDescent="0.3">
      <c r="A40" t="s">
        <v>376</v>
      </c>
      <c r="B40" t="s">
        <v>375</v>
      </c>
      <c r="C40" t="s">
        <v>153</v>
      </c>
      <c r="D40">
        <v>0.99127089977264404</v>
      </c>
      <c r="E40">
        <v>0.99388259649276733</v>
      </c>
      <c r="F40">
        <v>0.99257504940032959</v>
      </c>
      <c r="G40">
        <v>160.77096774193549</v>
      </c>
    </row>
    <row r="41" spans="1:7" hidden="1" x14ac:dyDescent="0.3">
      <c r="A41" t="s">
        <v>374</v>
      </c>
      <c r="B41" t="s">
        <v>373</v>
      </c>
      <c r="C41" t="s">
        <v>150</v>
      </c>
      <c r="D41">
        <v>0.99802237749099731</v>
      </c>
      <c r="E41">
        <v>0.99802237749099731</v>
      </c>
      <c r="F41">
        <v>0.99802237749099731</v>
      </c>
      <c r="G41">
        <v>26.333333333333329</v>
      </c>
    </row>
    <row r="42" spans="1:7" x14ac:dyDescent="0.3">
      <c r="A42" t="s">
        <v>372</v>
      </c>
      <c r="B42" t="s">
        <v>371</v>
      </c>
      <c r="C42" t="s">
        <v>147</v>
      </c>
      <c r="D42">
        <v>0.99873089790344238</v>
      </c>
      <c r="E42">
        <v>0.99873089790344238</v>
      </c>
      <c r="F42">
        <v>0.99873089790344238</v>
      </c>
      <c r="G42">
        <v>0.1078767123287671</v>
      </c>
    </row>
    <row r="43" spans="1:7" x14ac:dyDescent="0.3">
      <c r="A43" t="s">
        <v>370</v>
      </c>
      <c r="B43" t="s">
        <v>369</v>
      </c>
      <c r="C43" t="s">
        <v>144</v>
      </c>
      <c r="D43">
        <v>0.99705469608306885</v>
      </c>
      <c r="E43">
        <v>0.99705469608306885</v>
      </c>
      <c r="F43">
        <v>0.99705469608306885</v>
      </c>
      <c r="G43">
        <v>1.1355932203389829</v>
      </c>
    </row>
    <row r="44" spans="1:7" x14ac:dyDescent="0.3">
      <c r="A44" t="s">
        <v>368</v>
      </c>
      <c r="B44" t="s">
        <v>367</v>
      </c>
      <c r="C44" t="s">
        <v>141</v>
      </c>
      <c r="D44">
        <v>0.99608355760574341</v>
      </c>
      <c r="E44">
        <v>0.99608355760574341</v>
      </c>
      <c r="F44">
        <v>0.99608355760574341</v>
      </c>
      <c r="G44">
        <v>0.66937669376693765</v>
      </c>
    </row>
    <row r="45" spans="1:7" x14ac:dyDescent="0.3">
      <c r="A45" t="s">
        <v>366</v>
      </c>
      <c r="B45" t="s">
        <v>365</v>
      </c>
      <c r="C45" t="s">
        <v>138</v>
      </c>
      <c r="D45">
        <v>0.99542737007141113</v>
      </c>
      <c r="E45">
        <v>0.99542737007141113</v>
      </c>
      <c r="F45">
        <v>0.99542737007141113</v>
      </c>
      <c r="G45">
        <v>0.12264150943396231</v>
      </c>
    </row>
    <row r="46" spans="1:7" hidden="1" x14ac:dyDescent="0.3">
      <c r="A46" t="s">
        <v>364</v>
      </c>
      <c r="B46" t="s">
        <v>363</v>
      </c>
      <c r="C46" t="s">
        <v>135</v>
      </c>
      <c r="D46">
        <v>0.99590277671813965</v>
      </c>
      <c r="E46">
        <v>0.99590277671813965</v>
      </c>
      <c r="F46">
        <v>0.99590277671813965</v>
      </c>
      <c r="G46">
        <v>73.568312284730197</v>
      </c>
    </row>
    <row r="47" spans="1:7" x14ac:dyDescent="0.3">
      <c r="A47" t="s">
        <v>362</v>
      </c>
      <c r="B47" t="s">
        <v>361</v>
      </c>
      <c r="C47" t="s">
        <v>132</v>
      </c>
      <c r="D47">
        <v>0.99850791692733765</v>
      </c>
      <c r="E47">
        <v>0.99850791692733765</v>
      </c>
      <c r="F47">
        <v>0.99850791692733765</v>
      </c>
      <c r="G47">
        <v>1.142857142857143</v>
      </c>
    </row>
    <row r="48" spans="1:7" x14ac:dyDescent="0.3">
      <c r="A48" t="s">
        <v>360</v>
      </c>
      <c r="B48" t="s">
        <v>359</v>
      </c>
      <c r="C48" t="s">
        <v>129</v>
      </c>
      <c r="D48">
        <v>0.99634265899658203</v>
      </c>
      <c r="E48">
        <v>0.99634265899658203</v>
      </c>
      <c r="F48">
        <v>0.99634265899658203</v>
      </c>
      <c r="G48">
        <v>0.9196428571428571</v>
      </c>
    </row>
    <row r="49" spans="1:7" x14ac:dyDescent="0.3">
      <c r="A49" t="s">
        <v>358</v>
      </c>
      <c r="B49" t="s">
        <v>357</v>
      </c>
      <c r="C49" t="s">
        <v>126</v>
      </c>
      <c r="D49">
        <v>0.99931323528289795</v>
      </c>
      <c r="E49">
        <v>0.99931323528289795</v>
      </c>
      <c r="F49">
        <v>0.99931323528289795</v>
      </c>
      <c r="G49">
        <v>0.2413793103448276</v>
      </c>
    </row>
    <row r="50" spans="1:7" x14ac:dyDescent="0.3">
      <c r="A50" t="s">
        <v>356</v>
      </c>
      <c r="B50" t="s">
        <v>355</v>
      </c>
      <c r="C50" t="s">
        <v>123</v>
      </c>
      <c r="D50">
        <v>0.99953228235244751</v>
      </c>
      <c r="E50">
        <v>0.99953228235244751</v>
      </c>
      <c r="F50">
        <v>0.99953228235244751</v>
      </c>
      <c r="G50">
        <v>7.2243346007604542E-2</v>
      </c>
    </row>
    <row r="51" spans="1:7" x14ac:dyDescent="0.3">
      <c r="A51" t="s">
        <v>354</v>
      </c>
      <c r="B51" t="s">
        <v>353</v>
      </c>
      <c r="C51" t="s">
        <v>120</v>
      </c>
      <c r="D51">
        <v>0.99542158842086792</v>
      </c>
      <c r="E51">
        <v>0.99563366174697876</v>
      </c>
      <c r="F51">
        <v>0.99552756547927856</v>
      </c>
      <c r="G51">
        <v>0.93959731543624159</v>
      </c>
    </row>
    <row r="52" spans="1:7" x14ac:dyDescent="0.3">
      <c r="A52" t="s">
        <v>352</v>
      </c>
      <c r="B52" t="s">
        <v>351</v>
      </c>
      <c r="C52" t="s">
        <v>117</v>
      </c>
      <c r="D52">
        <v>0.99970197677612305</v>
      </c>
      <c r="E52">
        <v>0.99970197677612305</v>
      </c>
      <c r="F52">
        <v>0.99970197677612305</v>
      </c>
      <c r="G52">
        <v>0.25000000000000011</v>
      </c>
    </row>
    <row r="53" spans="1:7" x14ac:dyDescent="0.3">
      <c r="A53" t="s">
        <v>350</v>
      </c>
      <c r="B53" t="s">
        <v>349</v>
      </c>
      <c r="C53" t="s">
        <v>114</v>
      </c>
      <c r="D53">
        <v>0.99618005752563477</v>
      </c>
      <c r="E53">
        <v>0.99742096662521362</v>
      </c>
      <c r="F53">
        <v>0.99680006504058838</v>
      </c>
      <c r="G53">
        <v>2.711742082848867</v>
      </c>
    </row>
    <row r="54" spans="1:7" x14ac:dyDescent="0.3">
      <c r="A54" t="s">
        <v>348</v>
      </c>
      <c r="B54" t="s">
        <v>347</v>
      </c>
      <c r="C54" t="s">
        <v>111</v>
      </c>
      <c r="D54">
        <v>0.99894058704376221</v>
      </c>
      <c r="E54">
        <v>0.99894058704376221</v>
      </c>
      <c r="F54">
        <v>0.99894058704376221</v>
      </c>
      <c r="G54">
        <v>0.87500000000000011</v>
      </c>
    </row>
    <row r="55" spans="1:7" x14ac:dyDescent="0.3">
      <c r="A55" t="s">
        <v>346</v>
      </c>
      <c r="B55" t="s">
        <v>345</v>
      </c>
      <c r="C55" t="s">
        <v>108</v>
      </c>
      <c r="D55">
        <v>0.99589884281158447</v>
      </c>
      <c r="E55">
        <v>0.99589884281158447</v>
      </c>
      <c r="F55">
        <v>0.99589884281158447</v>
      </c>
      <c r="G55">
        <v>0.91724137931034477</v>
      </c>
    </row>
    <row r="56" spans="1:7" x14ac:dyDescent="0.3">
      <c r="A56" t="s">
        <v>344</v>
      </c>
      <c r="B56" t="s">
        <v>343</v>
      </c>
      <c r="C56" t="s">
        <v>105</v>
      </c>
      <c r="D56">
        <v>0.99776935577392578</v>
      </c>
      <c r="E56">
        <v>0.99776935577392578</v>
      </c>
      <c r="F56">
        <v>0.99776935577392578</v>
      </c>
      <c r="G56">
        <v>0.52518579686209743</v>
      </c>
    </row>
    <row r="57" spans="1:7" x14ac:dyDescent="0.3">
      <c r="A57" t="s">
        <v>342</v>
      </c>
      <c r="B57" t="s">
        <v>341</v>
      </c>
      <c r="C57" t="s">
        <v>102</v>
      </c>
      <c r="D57">
        <v>0.99610251188278198</v>
      </c>
      <c r="E57">
        <v>0.99610251188278198</v>
      </c>
      <c r="F57">
        <v>0.99610251188278198</v>
      </c>
      <c r="G57">
        <v>0.87209302325581406</v>
      </c>
    </row>
    <row r="58" spans="1:7" x14ac:dyDescent="0.3">
      <c r="A58" t="s">
        <v>340</v>
      </c>
      <c r="B58" t="s">
        <v>339</v>
      </c>
      <c r="C58" t="s">
        <v>99</v>
      </c>
      <c r="D58">
        <v>0.99845844507217407</v>
      </c>
      <c r="E58">
        <v>0.99845844507217407</v>
      </c>
      <c r="F58">
        <v>0.99845844507217407</v>
      </c>
      <c r="G58">
        <v>0.52338530066815137</v>
      </c>
    </row>
    <row r="59" spans="1:7" x14ac:dyDescent="0.3">
      <c r="A59" t="s">
        <v>338</v>
      </c>
      <c r="B59" t="s">
        <v>337</v>
      </c>
      <c r="C59" t="s">
        <v>96</v>
      </c>
      <c r="D59">
        <v>0.9973907470703125</v>
      </c>
      <c r="E59">
        <v>0.9973907470703125</v>
      </c>
      <c r="F59">
        <v>0.9973907470703125</v>
      </c>
      <c r="G59">
        <v>0.85438008616562955</v>
      </c>
    </row>
    <row r="60" spans="1:7" x14ac:dyDescent="0.3">
      <c r="A60" t="s">
        <v>336</v>
      </c>
      <c r="B60" t="s">
        <v>335</v>
      </c>
      <c r="C60" t="s">
        <v>93</v>
      </c>
      <c r="D60">
        <v>0.99646329879760742</v>
      </c>
      <c r="E60">
        <v>0.99646329879760742</v>
      </c>
      <c r="F60">
        <v>0.99646329879760742</v>
      </c>
      <c r="G60">
        <v>1.952380952380953</v>
      </c>
    </row>
    <row r="61" spans="1:7" x14ac:dyDescent="0.3">
      <c r="A61" t="s">
        <v>334</v>
      </c>
      <c r="B61" t="s">
        <v>333</v>
      </c>
      <c r="C61" t="s">
        <v>90</v>
      </c>
      <c r="D61">
        <v>0.99750179052352905</v>
      </c>
      <c r="E61">
        <v>0.99750179052352905</v>
      </c>
      <c r="F61">
        <v>0.99750179052352905</v>
      </c>
      <c r="G61">
        <v>0.81989367314638206</v>
      </c>
    </row>
    <row r="62" spans="1:7" x14ac:dyDescent="0.3">
      <c r="A62" t="s">
        <v>332</v>
      </c>
      <c r="B62" t="s">
        <v>331</v>
      </c>
      <c r="C62" t="s">
        <v>87</v>
      </c>
      <c r="D62">
        <v>0.99957984685897827</v>
      </c>
      <c r="E62">
        <v>0.99957984685897827</v>
      </c>
      <c r="F62">
        <v>0.99957984685897827</v>
      </c>
      <c r="G62">
        <v>1.88679245283019E-2</v>
      </c>
    </row>
    <row r="63" spans="1:7" x14ac:dyDescent="0.3">
      <c r="A63" t="s">
        <v>330</v>
      </c>
      <c r="B63" t="s">
        <v>329</v>
      </c>
      <c r="C63" t="s">
        <v>84</v>
      </c>
      <c r="D63">
        <v>0.99879801273345947</v>
      </c>
      <c r="E63">
        <v>0.99879801273345947</v>
      </c>
      <c r="F63">
        <v>0.99879801273345947</v>
      </c>
      <c r="G63">
        <v>0.84000000000000008</v>
      </c>
    </row>
    <row r="64" spans="1:7" x14ac:dyDescent="0.3">
      <c r="A64" t="s">
        <v>328</v>
      </c>
      <c r="B64" t="s">
        <v>327</v>
      </c>
      <c r="C64" t="s">
        <v>81</v>
      </c>
      <c r="D64">
        <v>0.99251741170883179</v>
      </c>
      <c r="E64">
        <v>0.97971844673156738</v>
      </c>
      <c r="F64">
        <v>0.98607635498046875</v>
      </c>
      <c r="G64">
        <v>0.9999999258007195</v>
      </c>
    </row>
    <row r="65" spans="1:7" x14ac:dyDescent="0.3">
      <c r="A65" t="s">
        <v>326</v>
      </c>
      <c r="B65" t="s">
        <v>325</v>
      </c>
      <c r="C65" t="s">
        <v>78</v>
      </c>
      <c r="D65">
        <v>0.99703085422515869</v>
      </c>
      <c r="E65">
        <v>0.99703085422515869</v>
      </c>
      <c r="F65">
        <v>0.99703085422515869</v>
      </c>
      <c r="G65">
        <v>4.3103448275862073</v>
      </c>
    </row>
    <row r="66" spans="1:7" x14ac:dyDescent="0.3">
      <c r="A66" t="s">
        <v>324</v>
      </c>
      <c r="B66" t="s">
        <v>323</v>
      </c>
      <c r="C66" t="s">
        <v>75</v>
      </c>
      <c r="D66">
        <v>0.99842405319213867</v>
      </c>
      <c r="E66">
        <v>0.99842405319213867</v>
      </c>
      <c r="F66">
        <v>0.99842405319213867</v>
      </c>
      <c r="G66">
        <v>0.23184019370460049</v>
      </c>
    </row>
    <row r="67" spans="1:7" x14ac:dyDescent="0.3">
      <c r="A67" t="s">
        <v>322</v>
      </c>
      <c r="B67" t="s">
        <v>321</v>
      </c>
      <c r="C67" t="s">
        <v>72</v>
      </c>
      <c r="D67">
        <v>0.99546694755554199</v>
      </c>
      <c r="E67">
        <v>0.99567955732345581</v>
      </c>
      <c r="F67">
        <v>0.99557322263717651</v>
      </c>
      <c r="G67">
        <v>0.9733696295419576</v>
      </c>
    </row>
    <row r="68" spans="1:7" x14ac:dyDescent="0.3">
      <c r="A68" t="s">
        <v>320</v>
      </c>
      <c r="B68" t="s">
        <v>70</v>
      </c>
      <c r="C68" t="s">
        <v>69</v>
      </c>
      <c r="D68">
        <v>0.99999994039535522</v>
      </c>
      <c r="E68">
        <v>0.99999994039535522</v>
      </c>
      <c r="F68">
        <v>0.99999994039535522</v>
      </c>
      <c r="G68">
        <v>0</v>
      </c>
    </row>
    <row r="69" spans="1:7" x14ac:dyDescent="0.3">
      <c r="A69" t="s">
        <v>319</v>
      </c>
      <c r="B69" t="s">
        <v>318</v>
      </c>
      <c r="C69" t="s">
        <v>66</v>
      </c>
      <c r="D69">
        <v>0.99947440624237061</v>
      </c>
      <c r="E69">
        <v>0.99947440624237061</v>
      </c>
      <c r="F69">
        <v>0.99947440624237061</v>
      </c>
      <c r="G69">
        <v>1</v>
      </c>
    </row>
    <row r="70" spans="1:7" x14ac:dyDescent="0.3">
      <c r="A70" t="s">
        <v>317</v>
      </c>
      <c r="B70" t="s">
        <v>316</v>
      </c>
      <c r="C70" t="s">
        <v>63</v>
      </c>
      <c r="D70">
        <v>0.99723851680755615</v>
      </c>
      <c r="E70">
        <v>0.99723851680755615</v>
      </c>
      <c r="F70">
        <v>0.99723851680755615</v>
      </c>
      <c r="G70">
        <v>0.3639240506329115</v>
      </c>
    </row>
    <row r="71" spans="1:7" x14ac:dyDescent="0.3">
      <c r="A71" t="s">
        <v>315</v>
      </c>
      <c r="B71" t="s">
        <v>314</v>
      </c>
      <c r="C71" t="s">
        <v>60</v>
      </c>
      <c r="D71">
        <v>0.99917197227478027</v>
      </c>
      <c r="E71">
        <v>0.99917197227478027</v>
      </c>
      <c r="F71">
        <v>0.99917197227478027</v>
      </c>
      <c r="G71">
        <v>6.3802083333333245E-2</v>
      </c>
    </row>
    <row r="72" spans="1:7" x14ac:dyDescent="0.3">
      <c r="A72" t="s">
        <v>313</v>
      </c>
      <c r="B72" t="s">
        <v>312</v>
      </c>
      <c r="C72" t="s">
        <v>57</v>
      </c>
      <c r="D72">
        <v>0.99905657768249512</v>
      </c>
      <c r="E72">
        <v>0.99905657768249512</v>
      </c>
      <c r="F72">
        <v>0.99905657768249512</v>
      </c>
      <c r="G72">
        <v>0.5</v>
      </c>
    </row>
    <row r="73" spans="1:7" x14ac:dyDescent="0.3">
      <c r="A73" t="s">
        <v>311</v>
      </c>
      <c r="B73" t="s">
        <v>310</v>
      </c>
      <c r="C73" t="s">
        <v>54</v>
      </c>
      <c r="D73">
        <v>0.99735599756240845</v>
      </c>
      <c r="E73">
        <v>0.99735599756240845</v>
      </c>
      <c r="F73">
        <v>0.99735599756240845</v>
      </c>
      <c r="G73">
        <v>1.528497409326425</v>
      </c>
    </row>
    <row r="74" spans="1:7" hidden="1" x14ac:dyDescent="0.3">
      <c r="A74" t="s">
        <v>309</v>
      </c>
      <c r="B74" t="s">
        <v>308</v>
      </c>
      <c r="C74" t="s">
        <v>51</v>
      </c>
      <c r="D74">
        <v>0.99847960472106934</v>
      </c>
      <c r="E74">
        <v>0.99847960472106934</v>
      </c>
      <c r="F74">
        <v>0.99847960472106934</v>
      </c>
      <c r="G74">
        <v>5.25</v>
      </c>
    </row>
    <row r="75" spans="1:7" x14ac:dyDescent="0.3">
      <c r="A75" t="s">
        <v>307</v>
      </c>
      <c r="B75" t="s">
        <v>306</v>
      </c>
      <c r="C75" t="s">
        <v>48</v>
      </c>
      <c r="D75">
        <v>0.99688839912414551</v>
      </c>
      <c r="E75">
        <v>0.99688839912414551</v>
      </c>
      <c r="F75">
        <v>0.99688839912414551</v>
      </c>
      <c r="G75">
        <v>0.80841638981173858</v>
      </c>
    </row>
    <row r="76" spans="1:7" x14ac:dyDescent="0.3">
      <c r="A76" t="s">
        <v>305</v>
      </c>
      <c r="B76" t="s">
        <v>304</v>
      </c>
      <c r="C76" t="s">
        <v>45</v>
      </c>
      <c r="D76">
        <v>0.99828267097473145</v>
      </c>
      <c r="E76">
        <v>0.99828267097473145</v>
      </c>
      <c r="F76">
        <v>0.99828267097473145</v>
      </c>
      <c r="G76">
        <v>0.32231404958677679</v>
      </c>
    </row>
    <row r="77" spans="1:7" x14ac:dyDescent="0.3">
      <c r="A77" t="s">
        <v>303</v>
      </c>
      <c r="B77" t="s">
        <v>302</v>
      </c>
      <c r="C77" t="s">
        <v>42</v>
      </c>
      <c r="D77">
        <v>0.99464952945709229</v>
      </c>
      <c r="E77">
        <v>0.98954975605010986</v>
      </c>
      <c r="F77">
        <v>0.99209308624267578</v>
      </c>
      <c r="G77">
        <v>0.99999534140790647</v>
      </c>
    </row>
    <row r="78" spans="1:7" x14ac:dyDescent="0.3">
      <c r="A78" t="s">
        <v>301</v>
      </c>
      <c r="B78" t="s">
        <v>300</v>
      </c>
      <c r="C78" t="s">
        <v>39</v>
      </c>
      <c r="D78">
        <v>0.99800390005111694</v>
      </c>
      <c r="E78">
        <v>0.99800390005111694</v>
      </c>
      <c r="F78">
        <v>0.99800390005111694</v>
      </c>
      <c r="G78">
        <v>0.87109375</v>
      </c>
    </row>
    <row r="79" spans="1:7" x14ac:dyDescent="0.3">
      <c r="A79" t="s">
        <v>299</v>
      </c>
      <c r="B79" t="s">
        <v>298</v>
      </c>
      <c r="C79" t="s">
        <v>36</v>
      </c>
      <c r="D79">
        <v>0.99787652492523193</v>
      </c>
      <c r="E79">
        <v>0.99787652492523193</v>
      </c>
      <c r="F79">
        <v>0.99787652492523193</v>
      </c>
      <c r="G79">
        <v>6.7193675889328217E-2</v>
      </c>
    </row>
    <row r="80" spans="1:7" hidden="1" x14ac:dyDescent="0.3">
      <c r="A80" t="s">
        <v>297</v>
      </c>
      <c r="B80" t="s">
        <v>296</v>
      </c>
      <c r="C80" t="s">
        <v>33</v>
      </c>
      <c r="D80">
        <v>0.99840724468231201</v>
      </c>
      <c r="E80">
        <v>0.99840724468231201</v>
      </c>
      <c r="F80">
        <v>0.99840724468231201</v>
      </c>
      <c r="G80">
        <v>25</v>
      </c>
    </row>
    <row r="81" spans="1:7" x14ac:dyDescent="0.3">
      <c r="A81" t="s">
        <v>295</v>
      </c>
      <c r="B81" t="s">
        <v>294</v>
      </c>
      <c r="C81" t="s">
        <v>30</v>
      </c>
      <c r="D81">
        <v>0.99794811010360718</v>
      </c>
      <c r="E81">
        <v>0.99794811010360718</v>
      </c>
      <c r="F81">
        <v>0.99794811010360718</v>
      </c>
      <c r="G81">
        <v>0.9285714285714286</v>
      </c>
    </row>
    <row r="82" spans="1:7" x14ac:dyDescent="0.3">
      <c r="A82" t="s">
        <v>293</v>
      </c>
      <c r="B82" t="s">
        <v>292</v>
      </c>
      <c r="C82" t="s">
        <v>27</v>
      </c>
      <c r="D82">
        <v>0.99886727333068848</v>
      </c>
      <c r="E82">
        <v>0.99886727333068848</v>
      </c>
      <c r="F82">
        <v>0.99886727333068848</v>
      </c>
      <c r="G82">
        <v>0.29140461215932911</v>
      </c>
    </row>
    <row r="83" spans="1:7" x14ac:dyDescent="0.3">
      <c r="A83" t="s">
        <v>291</v>
      </c>
      <c r="B83" t="s">
        <v>290</v>
      </c>
      <c r="C83" t="s">
        <v>24</v>
      </c>
      <c r="D83">
        <v>0.99564981460571289</v>
      </c>
      <c r="E83">
        <v>0.99564981460571289</v>
      </c>
      <c r="F83">
        <v>0.99564981460571289</v>
      </c>
      <c r="G83">
        <v>0.13402061855670089</v>
      </c>
    </row>
    <row r="84" spans="1:7" x14ac:dyDescent="0.3">
      <c r="A84" t="s">
        <v>289</v>
      </c>
      <c r="B84" t="s">
        <v>288</v>
      </c>
      <c r="C84" t="s">
        <v>21</v>
      </c>
      <c r="D84">
        <v>0.99864983558654785</v>
      </c>
      <c r="E84">
        <v>0.99864983558654785</v>
      </c>
      <c r="F84">
        <v>0.99864983558654785</v>
      </c>
      <c r="G84">
        <v>0.30633802816901412</v>
      </c>
    </row>
    <row r="85" spans="1:7" x14ac:dyDescent="0.3">
      <c r="A85" t="s">
        <v>287</v>
      </c>
      <c r="B85" t="s">
        <v>286</v>
      </c>
      <c r="C85" t="s">
        <v>18</v>
      </c>
      <c r="D85">
        <v>0.99959540367126465</v>
      </c>
      <c r="E85">
        <v>0.99959540367126465</v>
      </c>
      <c r="F85">
        <v>0.99959540367126465</v>
      </c>
      <c r="G85">
        <v>5.8823529411764747E-2</v>
      </c>
    </row>
    <row r="86" spans="1:7" hidden="1" x14ac:dyDescent="0.3">
      <c r="A86" t="s">
        <v>285</v>
      </c>
      <c r="B86" t="s">
        <v>284</v>
      </c>
      <c r="C86" t="s">
        <v>15</v>
      </c>
      <c r="D86">
        <v>0.99405002593994141</v>
      </c>
      <c r="E86">
        <v>0.99596482515335083</v>
      </c>
      <c r="F86">
        <v>0.99500656127929688</v>
      </c>
      <c r="G86">
        <v>8.6234647112740621</v>
      </c>
    </row>
    <row r="87" spans="1:7" x14ac:dyDescent="0.3">
      <c r="A87" t="s">
        <v>283</v>
      </c>
      <c r="B87" t="s">
        <v>282</v>
      </c>
      <c r="C87" t="s">
        <v>12</v>
      </c>
      <c r="D87">
        <v>0.99928444623947144</v>
      </c>
      <c r="E87">
        <v>0.99928444623947144</v>
      </c>
      <c r="F87">
        <v>0.99928444623947144</v>
      </c>
      <c r="G87">
        <v>0.85714285714285698</v>
      </c>
    </row>
    <row r="88" spans="1:7" x14ac:dyDescent="0.3">
      <c r="A88" t="s">
        <v>281</v>
      </c>
      <c r="B88" t="s">
        <v>280</v>
      </c>
      <c r="C88" t="s">
        <v>9</v>
      </c>
      <c r="D88">
        <v>0.99737727642059326</v>
      </c>
      <c r="E88">
        <v>0.99737727642059326</v>
      </c>
      <c r="F88">
        <v>0.99737727642059326</v>
      </c>
      <c r="G88">
        <v>1.968531468531469</v>
      </c>
    </row>
    <row r="89" spans="1:7" x14ac:dyDescent="0.3">
      <c r="A89" t="s">
        <v>279</v>
      </c>
      <c r="B89" t="s">
        <v>278</v>
      </c>
      <c r="C89" t="s">
        <v>6</v>
      </c>
      <c r="D89">
        <v>0.99760890007019043</v>
      </c>
      <c r="E89">
        <v>0.99760890007019043</v>
      </c>
      <c r="F89">
        <v>0.99760890007019043</v>
      </c>
      <c r="G89">
        <v>2.5236427320490371</v>
      </c>
    </row>
    <row r="90" spans="1:7" x14ac:dyDescent="0.3">
      <c r="A90" t="s">
        <v>277</v>
      </c>
      <c r="B90" t="s">
        <v>276</v>
      </c>
      <c r="C90" t="s">
        <v>3</v>
      </c>
      <c r="D90">
        <v>0.99841666221618652</v>
      </c>
      <c r="E90">
        <v>0.99841666221618652</v>
      </c>
      <c r="F90">
        <v>0.99841666221618652</v>
      </c>
      <c r="G90">
        <v>0.23076923076923081</v>
      </c>
    </row>
    <row r="91" spans="1:7" x14ac:dyDescent="0.3">
      <c r="A91" t="s">
        <v>275</v>
      </c>
      <c r="B91" t="s">
        <v>274</v>
      </c>
      <c r="C91" t="s">
        <v>0</v>
      </c>
      <c r="D91">
        <v>0.99738800525665283</v>
      </c>
      <c r="E91">
        <v>0.99738800525665283</v>
      </c>
      <c r="F91">
        <v>0.99738800525665283</v>
      </c>
      <c r="G91">
        <v>1.717325227963526</v>
      </c>
    </row>
    <row r="92" spans="1:7" hidden="1" x14ac:dyDescent="0.3">
      <c r="D92">
        <f>AVERAGE(D2:D91)</f>
        <v>0.99727540347311228</v>
      </c>
      <c r="E92">
        <f t="shared" ref="E92:F92" si="0">AVERAGE(E2:E91)</f>
        <v>0.99676674670643273</v>
      </c>
      <c r="F92">
        <f t="shared" si="0"/>
        <v>0.99701445036464265</v>
      </c>
    </row>
  </sheetData>
  <autoFilter ref="A1:G92" xr:uid="{5F862221-A3C4-4A57-BD2B-410C33640FAE}">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F049-6F81-4560-83B9-13E9A11C7C48}">
  <sheetPr filterMode="1"/>
  <dimension ref="A1:G92"/>
  <sheetViews>
    <sheetView topLeftCell="A22" workbookViewId="0">
      <selection activeCell="G2" sqref="G2:G90"/>
    </sheetView>
  </sheetViews>
  <sheetFormatPr defaultRowHeight="14" x14ac:dyDescent="0.3"/>
  <sheetData>
    <row r="1" spans="1:7" x14ac:dyDescent="0.3">
      <c r="A1" s="1" t="s">
        <v>273</v>
      </c>
      <c r="B1" s="1" t="s">
        <v>272</v>
      </c>
      <c r="C1" s="1" t="s">
        <v>271</v>
      </c>
      <c r="D1" s="1" t="s">
        <v>270</v>
      </c>
      <c r="E1" s="1" t="s">
        <v>269</v>
      </c>
      <c r="F1" s="1" t="s">
        <v>268</v>
      </c>
      <c r="G1" s="1" t="s">
        <v>267</v>
      </c>
    </row>
    <row r="2" spans="1:7" x14ac:dyDescent="0.3">
      <c r="A2" t="s">
        <v>715</v>
      </c>
      <c r="B2" t="s">
        <v>714</v>
      </c>
      <c r="C2" t="s">
        <v>713</v>
      </c>
      <c r="D2">
        <v>0.99886316061019897</v>
      </c>
      <c r="E2">
        <v>0.99886316061019897</v>
      </c>
      <c r="F2">
        <v>0.99886316061019897</v>
      </c>
      <c r="G2">
        <v>0.71428571428571408</v>
      </c>
    </row>
    <row r="3" spans="1:7" x14ac:dyDescent="0.3">
      <c r="A3" t="s">
        <v>712</v>
      </c>
      <c r="B3" t="s">
        <v>711</v>
      </c>
      <c r="C3" t="s">
        <v>710</v>
      </c>
      <c r="D3">
        <v>0.99865764379501343</v>
      </c>
      <c r="E3">
        <v>0.99865764379501343</v>
      </c>
      <c r="F3">
        <v>0.99865764379501343</v>
      </c>
      <c r="G3">
        <v>0.19672131147540989</v>
      </c>
    </row>
    <row r="4" spans="1:7" x14ac:dyDescent="0.3">
      <c r="A4" t="s">
        <v>709</v>
      </c>
      <c r="B4" t="s">
        <v>708</v>
      </c>
      <c r="C4" t="s">
        <v>707</v>
      </c>
      <c r="D4">
        <v>0.99753916263580322</v>
      </c>
      <c r="E4">
        <v>0.99753916263580322</v>
      </c>
      <c r="F4">
        <v>0.99753916263580322</v>
      </c>
      <c r="G4">
        <v>1.556338028169014</v>
      </c>
    </row>
    <row r="5" spans="1:7" x14ac:dyDescent="0.3">
      <c r="A5" t="s">
        <v>706</v>
      </c>
      <c r="B5" t="s">
        <v>705</v>
      </c>
      <c r="C5" t="s">
        <v>704</v>
      </c>
      <c r="D5">
        <v>0.9990609884262085</v>
      </c>
      <c r="E5">
        <v>0.9990609884262085</v>
      </c>
      <c r="F5">
        <v>0.9990609884262085</v>
      </c>
      <c r="G5">
        <v>0.29411764705882359</v>
      </c>
    </row>
    <row r="6" spans="1:7" x14ac:dyDescent="0.3">
      <c r="A6" t="s">
        <v>703</v>
      </c>
      <c r="B6" t="s">
        <v>702</v>
      </c>
      <c r="C6" t="s">
        <v>701</v>
      </c>
      <c r="D6">
        <v>0.9980309009552002</v>
      </c>
      <c r="E6">
        <v>0.9980309009552002</v>
      </c>
      <c r="F6">
        <v>0.9980309009552002</v>
      </c>
      <c r="G6">
        <v>0.25179856115107913</v>
      </c>
    </row>
    <row r="7" spans="1:7" x14ac:dyDescent="0.3">
      <c r="A7" t="s">
        <v>700</v>
      </c>
      <c r="B7" t="s">
        <v>699</v>
      </c>
      <c r="C7" t="s">
        <v>698</v>
      </c>
      <c r="D7">
        <v>0.99607455730438232</v>
      </c>
      <c r="E7">
        <v>0.99607455730438232</v>
      </c>
      <c r="F7">
        <v>0.99607455730438232</v>
      </c>
      <c r="G7">
        <v>0.85904945503077035</v>
      </c>
    </row>
    <row r="8" spans="1:7" x14ac:dyDescent="0.3">
      <c r="A8" t="s">
        <v>697</v>
      </c>
      <c r="B8" t="s">
        <v>696</v>
      </c>
      <c r="C8" t="s">
        <v>695</v>
      </c>
      <c r="D8">
        <v>0.99571502208709717</v>
      </c>
      <c r="E8">
        <v>0.99571502208709717</v>
      </c>
      <c r="F8">
        <v>0.99571502208709717</v>
      </c>
      <c r="G8">
        <v>0.9770723104056438</v>
      </c>
    </row>
    <row r="9" spans="1:7" x14ac:dyDescent="0.3">
      <c r="A9" t="s">
        <v>694</v>
      </c>
      <c r="B9" t="s">
        <v>693</v>
      </c>
      <c r="C9" t="s">
        <v>692</v>
      </c>
      <c r="D9">
        <v>0.99720579385757446</v>
      </c>
      <c r="E9">
        <v>0.99720579385757446</v>
      </c>
      <c r="F9">
        <v>0.99720579385757446</v>
      </c>
      <c r="G9">
        <v>1.1818181818181821</v>
      </c>
    </row>
    <row r="10" spans="1:7" x14ac:dyDescent="0.3">
      <c r="A10" t="s">
        <v>691</v>
      </c>
      <c r="B10" t="s">
        <v>690</v>
      </c>
      <c r="C10" t="s">
        <v>689</v>
      </c>
      <c r="D10">
        <v>0.99878287315368652</v>
      </c>
      <c r="E10">
        <v>0.99878287315368652</v>
      </c>
      <c r="F10">
        <v>0.99878287315368652</v>
      </c>
      <c r="G10">
        <v>0.56756756756756754</v>
      </c>
    </row>
    <row r="11" spans="1:7" x14ac:dyDescent="0.3">
      <c r="A11" t="s">
        <v>688</v>
      </c>
      <c r="B11" t="s">
        <v>687</v>
      </c>
      <c r="C11" t="s">
        <v>686</v>
      </c>
      <c r="D11">
        <v>0.98815071582794189</v>
      </c>
      <c r="E11">
        <v>0.94487273693084717</v>
      </c>
      <c r="F11">
        <v>0.96602725982666016</v>
      </c>
      <c r="G11">
        <v>0.99750000000000005</v>
      </c>
    </row>
    <row r="12" spans="1:7" x14ac:dyDescent="0.3">
      <c r="A12" t="s">
        <v>685</v>
      </c>
      <c r="B12" t="s">
        <v>684</v>
      </c>
      <c r="C12" t="s">
        <v>683</v>
      </c>
      <c r="D12">
        <v>0.99897336959838867</v>
      </c>
      <c r="E12">
        <v>0.99897336959838867</v>
      </c>
      <c r="F12">
        <v>0.99897336959838867</v>
      </c>
      <c r="G12">
        <v>0.27906976744186052</v>
      </c>
    </row>
    <row r="13" spans="1:7" x14ac:dyDescent="0.3">
      <c r="A13" t="s">
        <v>682</v>
      </c>
      <c r="B13" t="s">
        <v>681</v>
      </c>
      <c r="C13" t="s">
        <v>680</v>
      </c>
      <c r="D13">
        <v>0.99956011772155762</v>
      </c>
      <c r="E13">
        <v>0.99956011772155762</v>
      </c>
      <c r="F13">
        <v>0.99956011772155762</v>
      </c>
      <c r="G13">
        <v>0.33333333333333331</v>
      </c>
    </row>
    <row r="14" spans="1:7" x14ac:dyDescent="0.3">
      <c r="A14" t="s">
        <v>679</v>
      </c>
      <c r="B14" t="s">
        <v>678</v>
      </c>
      <c r="C14" t="s">
        <v>677</v>
      </c>
      <c r="D14">
        <v>0.99737375974655151</v>
      </c>
      <c r="E14">
        <v>0.99737375974655151</v>
      </c>
      <c r="F14">
        <v>0.99737375974655151</v>
      </c>
      <c r="G14">
        <v>0.49955476402493321</v>
      </c>
    </row>
    <row r="15" spans="1:7" hidden="1" x14ac:dyDescent="0.3">
      <c r="A15" t="s">
        <v>676</v>
      </c>
      <c r="B15" t="s">
        <v>675</v>
      </c>
      <c r="C15" t="s">
        <v>674</v>
      </c>
      <c r="D15">
        <v>0.99600899219512939</v>
      </c>
      <c r="E15">
        <v>0.99597668647766113</v>
      </c>
      <c r="F15">
        <v>0.99599283933639526</v>
      </c>
      <c r="G15">
        <v>21.733333333333331</v>
      </c>
    </row>
    <row r="16" spans="1:7" x14ac:dyDescent="0.3">
      <c r="A16" t="s">
        <v>673</v>
      </c>
      <c r="B16" t="s">
        <v>422</v>
      </c>
      <c r="C16" t="s">
        <v>422</v>
      </c>
      <c r="D16">
        <v>1</v>
      </c>
      <c r="E16">
        <v>1</v>
      </c>
      <c r="F16">
        <v>1</v>
      </c>
      <c r="G16">
        <v>0</v>
      </c>
    </row>
    <row r="17" spans="1:7" x14ac:dyDescent="0.3">
      <c r="A17" t="s">
        <v>672</v>
      </c>
      <c r="B17" t="s">
        <v>671</v>
      </c>
      <c r="C17" t="s">
        <v>670</v>
      </c>
      <c r="D17">
        <v>0.99886411428451538</v>
      </c>
      <c r="E17">
        <v>0.99886411428451538</v>
      </c>
      <c r="F17">
        <v>0.99886411428451538</v>
      </c>
      <c r="G17">
        <v>0.71428571428571408</v>
      </c>
    </row>
    <row r="18" spans="1:7" x14ac:dyDescent="0.3">
      <c r="A18" t="s">
        <v>669</v>
      </c>
      <c r="B18" t="s">
        <v>668</v>
      </c>
      <c r="C18" t="s">
        <v>667</v>
      </c>
      <c r="D18">
        <v>0.99582231044769287</v>
      </c>
      <c r="E18">
        <v>0.99582231044769287</v>
      </c>
      <c r="F18">
        <v>0.99582231044769287</v>
      </c>
      <c r="G18">
        <v>0.84204106636911602</v>
      </c>
    </row>
    <row r="19" spans="1:7" x14ac:dyDescent="0.3">
      <c r="A19" t="s">
        <v>666</v>
      </c>
      <c r="B19" t="s">
        <v>665</v>
      </c>
      <c r="C19" t="s">
        <v>664</v>
      </c>
      <c r="D19">
        <v>0.99827337265014648</v>
      </c>
      <c r="E19">
        <v>0.99827337265014648</v>
      </c>
      <c r="F19">
        <v>0.99827337265014648</v>
      </c>
      <c r="G19">
        <v>0.4931620389556568</v>
      </c>
    </row>
    <row r="20" spans="1:7" x14ac:dyDescent="0.3">
      <c r="A20" t="s">
        <v>663</v>
      </c>
      <c r="B20" t="s">
        <v>662</v>
      </c>
      <c r="C20" t="s">
        <v>661</v>
      </c>
      <c r="D20">
        <v>0.99928402900695801</v>
      </c>
      <c r="E20">
        <v>0.99928402900695801</v>
      </c>
      <c r="F20">
        <v>0.99928402900695801</v>
      </c>
      <c r="G20">
        <v>0.30769230769230782</v>
      </c>
    </row>
    <row r="21" spans="1:7" x14ac:dyDescent="0.3">
      <c r="A21" t="s">
        <v>660</v>
      </c>
      <c r="B21" t="s">
        <v>659</v>
      </c>
      <c r="C21" t="s">
        <v>658</v>
      </c>
      <c r="D21">
        <v>0.99581849575042725</v>
      </c>
      <c r="E21">
        <v>0.99581849575042725</v>
      </c>
      <c r="F21">
        <v>0.99581849575042725</v>
      </c>
      <c r="G21">
        <v>0.48568588469184881</v>
      </c>
    </row>
    <row r="22" spans="1:7" x14ac:dyDescent="0.3">
      <c r="A22" t="s">
        <v>657</v>
      </c>
      <c r="B22" t="s">
        <v>656</v>
      </c>
      <c r="C22" t="s">
        <v>655</v>
      </c>
      <c r="D22">
        <v>0.99712401628494263</v>
      </c>
      <c r="E22">
        <v>0.99712401628494263</v>
      </c>
      <c r="F22">
        <v>0.99712401628494263</v>
      </c>
      <c r="G22">
        <v>0.30541871921182262</v>
      </c>
    </row>
    <row r="23" spans="1:7" x14ac:dyDescent="0.3">
      <c r="A23" t="s">
        <v>654</v>
      </c>
      <c r="B23" t="s">
        <v>653</v>
      </c>
      <c r="C23" t="s">
        <v>652</v>
      </c>
      <c r="D23">
        <v>0.99878716468811035</v>
      </c>
      <c r="E23">
        <v>0.99878716468811035</v>
      </c>
      <c r="F23">
        <v>0.99878716468811035</v>
      </c>
      <c r="G23">
        <v>0.27725856697819318</v>
      </c>
    </row>
    <row r="24" spans="1:7" x14ac:dyDescent="0.3">
      <c r="A24" t="s">
        <v>651</v>
      </c>
      <c r="B24" t="s">
        <v>201</v>
      </c>
      <c r="C24" t="s">
        <v>650</v>
      </c>
      <c r="D24">
        <v>0.99959450960159302</v>
      </c>
      <c r="E24">
        <v>0.99959450960159302</v>
      </c>
      <c r="F24">
        <v>0.99959450960159302</v>
      </c>
      <c r="G24">
        <v>4.6511627906976792E-2</v>
      </c>
    </row>
    <row r="25" spans="1:7" x14ac:dyDescent="0.3">
      <c r="A25" t="s">
        <v>649</v>
      </c>
      <c r="B25" t="s">
        <v>648</v>
      </c>
      <c r="C25" t="s">
        <v>647</v>
      </c>
      <c r="D25">
        <v>0.99607151746749878</v>
      </c>
      <c r="E25">
        <v>0.99445164203643799</v>
      </c>
      <c r="F25">
        <v>0.99526095390319824</v>
      </c>
      <c r="G25">
        <v>0.9577538268800263</v>
      </c>
    </row>
    <row r="26" spans="1:7" x14ac:dyDescent="0.3">
      <c r="A26" t="s">
        <v>646</v>
      </c>
      <c r="B26" t="s">
        <v>645</v>
      </c>
      <c r="C26" t="s">
        <v>644</v>
      </c>
      <c r="D26">
        <v>0.99822574853897095</v>
      </c>
      <c r="E26">
        <v>0.99822574853897095</v>
      </c>
      <c r="F26">
        <v>0.99822574853897095</v>
      </c>
      <c r="G26">
        <v>0.79069767441860461</v>
      </c>
    </row>
    <row r="27" spans="1:7" x14ac:dyDescent="0.3">
      <c r="A27" t="s">
        <v>643</v>
      </c>
      <c r="B27" t="s">
        <v>642</v>
      </c>
      <c r="C27" t="s">
        <v>641</v>
      </c>
      <c r="D27">
        <v>0.99783682823181152</v>
      </c>
      <c r="E27">
        <v>0.99783682823181152</v>
      </c>
      <c r="F27">
        <v>0.99783682823181152</v>
      </c>
      <c r="G27">
        <v>0.35813953488372102</v>
      </c>
    </row>
    <row r="28" spans="1:7" x14ac:dyDescent="0.3">
      <c r="A28" t="s">
        <v>640</v>
      </c>
      <c r="B28" t="s">
        <v>639</v>
      </c>
      <c r="C28" t="s">
        <v>638</v>
      </c>
      <c r="D28">
        <v>0.99907433986663818</v>
      </c>
      <c r="E28">
        <v>0.99907433986663818</v>
      </c>
      <c r="F28">
        <v>0.99907433986663818</v>
      </c>
      <c r="G28">
        <v>9.7560975609756184E-2</v>
      </c>
    </row>
    <row r="29" spans="1:7" x14ac:dyDescent="0.3">
      <c r="A29" t="s">
        <v>637</v>
      </c>
      <c r="B29" t="s">
        <v>636</v>
      </c>
      <c r="C29" t="s">
        <v>635</v>
      </c>
      <c r="D29">
        <v>0.99517428874969482</v>
      </c>
      <c r="E29">
        <v>0.99543774127960205</v>
      </c>
      <c r="F29">
        <v>0.99530595541000366</v>
      </c>
      <c r="G29">
        <v>0.96465696465696471</v>
      </c>
    </row>
    <row r="30" spans="1:7" x14ac:dyDescent="0.3">
      <c r="A30" t="s">
        <v>634</v>
      </c>
      <c r="B30" t="s">
        <v>633</v>
      </c>
      <c r="C30" t="s">
        <v>632</v>
      </c>
      <c r="D30">
        <v>0.99591302871704102</v>
      </c>
      <c r="E30">
        <v>0.99591302871704102</v>
      </c>
      <c r="F30">
        <v>0.99591302871704102</v>
      </c>
      <c r="G30">
        <v>0.93617021276595747</v>
      </c>
    </row>
    <row r="31" spans="1:7" x14ac:dyDescent="0.3">
      <c r="A31" t="s">
        <v>631</v>
      </c>
      <c r="B31" t="s">
        <v>630</v>
      </c>
      <c r="C31" t="s">
        <v>629</v>
      </c>
      <c r="D31">
        <v>0.99837028980255127</v>
      </c>
      <c r="E31">
        <v>0.99837028980255127</v>
      </c>
      <c r="F31">
        <v>0.99837028980255127</v>
      </c>
      <c r="G31">
        <v>8.9340101522842663E-2</v>
      </c>
    </row>
    <row r="32" spans="1:7" x14ac:dyDescent="0.3">
      <c r="A32" t="s">
        <v>628</v>
      </c>
      <c r="B32" t="s">
        <v>627</v>
      </c>
      <c r="C32" t="s">
        <v>626</v>
      </c>
      <c r="D32">
        <v>0.99662613868713379</v>
      </c>
      <c r="E32">
        <v>0.99662613868713379</v>
      </c>
      <c r="F32">
        <v>0.99662613868713379</v>
      </c>
      <c r="G32">
        <v>3.533813400125235</v>
      </c>
    </row>
    <row r="33" spans="1:7" x14ac:dyDescent="0.3">
      <c r="A33" t="s">
        <v>625</v>
      </c>
      <c r="B33" t="s">
        <v>624</v>
      </c>
      <c r="C33" t="s">
        <v>623</v>
      </c>
      <c r="D33">
        <v>0.99638259410858154</v>
      </c>
      <c r="E33">
        <v>0.99638259410858154</v>
      </c>
      <c r="F33">
        <v>0.99638259410858154</v>
      </c>
      <c r="G33">
        <v>3.4722222222222219</v>
      </c>
    </row>
    <row r="34" spans="1:7" x14ac:dyDescent="0.3">
      <c r="A34" t="s">
        <v>622</v>
      </c>
      <c r="B34" t="s">
        <v>621</v>
      </c>
      <c r="C34" t="s">
        <v>620</v>
      </c>
      <c r="D34">
        <v>0.9984734058380127</v>
      </c>
      <c r="E34">
        <v>0.9984734058380127</v>
      </c>
      <c r="F34">
        <v>0.9984734058380127</v>
      </c>
      <c r="G34">
        <v>0.67763794772507258</v>
      </c>
    </row>
    <row r="35" spans="1:7" x14ac:dyDescent="0.3">
      <c r="A35" t="s">
        <v>619</v>
      </c>
      <c r="B35" t="s">
        <v>618</v>
      </c>
      <c r="C35" t="s">
        <v>617</v>
      </c>
      <c r="D35">
        <v>0.99769902229309082</v>
      </c>
      <c r="E35">
        <v>0.99769902229309082</v>
      </c>
      <c r="F35">
        <v>0.99769902229309082</v>
      </c>
      <c r="G35">
        <v>1.916666666666667</v>
      </c>
    </row>
    <row r="36" spans="1:7" x14ac:dyDescent="0.3">
      <c r="A36" t="s">
        <v>616</v>
      </c>
      <c r="B36" t="s">
        <v>615</v>
      </c>
      <c r="C36" t="s">
        <v>614</v>
      </c>
      <c r="D36">
        <v>0.9978865385055542</v>
      </c>
      <c r="E36">
        <v>0.9978865385055542</v>
      </c>
      <c r="F36">
        <v>0.9978865385055542</v>
      </c>
      <c r="G36">
        <v>1.1111111111111109</v>
      </c>
    </row>
    <row r="37" spans="1:7" x14ac:dyDescent="0.3">
      <c r="A37" t="s">
        <v>613</v>
      </c>
      <c r="B37" t="s">
        <v>612</v>
      </c>
      <c r="C37" t="s">
        <v>611</v>
      </c>
      <c r="D37">
        <v>0.99717795848846436</v>
      </c>
      <c r="E37">
        <v>0.99717795848846436</v>
      </c>
      <c r="F37">
        <v>0.99717795848846436</v>
      </c>
      <c r="G37">
        <v>0.61538461538461542</v>
      </c>
    </row>
    <row r="38" spans="1:7" x14ac:dyDescent="0.3">
      <c r="A38" t="s">
        <v>610</v>
      </c>
      <c r="B38" t="s">
        <v>609</v>
      </c>
      <c r="C38" t="s">
        <v>608</v>
      </c>
      <c r="D38">
        <v>0.99674999713897705</v>
      </c>
      <c r="E38">
        <v>0.99674999713897705</v>
      </c>
      <c r="F38">
        <v>0.99674999713897705</v>
      </c>
      <c r="G38">
        <v>2.1322314049586781</v>
      </c>
    </row>
    <row r="39" spans="1:7" x14ac:dyDescent="0.3">
      <c r="A39" t="s">
        <v>607</v>
      </c>
      <c r="B39" t="s">
        <v>606</v>
      </c>
      <c r="C39" t="s">
        <v>605</v>
      </c>
      <c r="D39">
        <v>0.99872517585754395</v>
      </c>
      <c r="E39">
        <v>0.99872517585754395</v>
      </c>
      <c r="F39">
        <v>0.99872517585754395</v>
      </c>
      <c r="G39">
        <v>0.41867785939139562</v>
      </c>
    </row>
    <row r="40" spans="1:7" x14ac:dyDescent="0.3">
      <c r="A40" t="s">
        <v>604</v>
      </c>
      <c r="B40" t="s">
        <v>603</v>
      </c>
      <c r="C40" t="s">
        <v>602</v>
      </c>
      <c r="D40">
        <v>0.99626880884170532</v>
      </c>
      <c r="E40">
        <v>0.99626880884170532</v>
      </c>
      <c r="F40">
        <v>0.99626880884170532</v>
      </c>
      <c r="G40">
        <v>2.9983870967741928</v>
      </c>
    </row>
    <row r="41" spans="1:7" hidden="1" x14ac:dyDescent="0.3">
      <c r="A41" t="s">
        <v>601</v>
      </c>
      <c r="B41" t="s">
        <v>600</v>
      </c>
      <c r="C41" t="s">
        <v>599</v>
      </c>
      <c r="D41">
        <v>0.99834978580474854</v>
      </c>
      <c r="E41">
        <v>0.99834978580474854</v>
      </c>
      <c r="F41">
        <v>0.99834978580474854</v>
      </c>
      <c r="G41">
        <v>5</v>
      </c>
    </row>
    <row r="42" spans="1:7" x14ac:dyDescent="0.3">
      <c r="A42" t="s">
        <v>598</v>
      </c>
      <c r="B42" t="s">
        <v>597</v>
      </c>
      <c r="C42" t="s">
        <v>596</v>
      </c>
      <c r="D42">
        <v>0.99847543239593506</v>
      </c>
      <c r="E42">
        <v>0.99847543239593506</v>
      </c>
      <c r="F42">
        <v>0.99847543239593506</v>
      </c>
      <c r="G42">
        <v>0.86301369863013722</v>
      </c>
    </row>
    <row r="43" spans="1:7" x14ac:dyDescent="0.3">
      <c r="A43" t="s">
        <v>595</v>
      </c>
      <c r="B43" t="s">
        <v>594</v>
      </c>
      <c r="C43" t="s">
        <v>593</v>
      </c>
      <c r="D43">
        <v>0.99929618835449219</v>
      </c>
      <c r="E43">
        <v>0.99929618835449219</v>
      </c>
      <c r="F43">
        <v>0.99929618835449219</v>
      </c>
      <c r="G43">
        <v>0.22033898305084751</v>
      </c>
    </row>
    <row r="44" spans="1:7" x14ac:dyDescent="0.3">
      <c r="A44" t="s">
        <v>592</v>
      </c>
      <c r="B44" t="s">
        <v>591</v>
      </c>
      <c r="C44" t="s">
        <v>590</v>
      </c>
      <c r="D44">
        <v>0.99835109710693359</v>
      </c>
      <c r="E44">
        <v>0.99835109710693359</v>
      </c>
      <c r="F44">
        <v>0.99835109710693359</v>
      </c>
      <c r="G44">
        <v>0.45287563986750973</v>
      </c>
    </row>
    <row r="45" spans="1:7" x14ac:dyDescent="0.3">
      <c r="A45" t="s">
        <v>589</v>
      </c>
      <c r="B45" t="s">
        <v>588</v>
      </c>
      <c r="C45" t="s">
        <v>587</v>
      </c>
      <c r="D45">
        <v>0.9957200288772583</v>
      </c>
      <c r="E45">
        <v>0.9957200288772583</v>
      </c>
      <c r="F45">
        <v>0.9957200288772583</v>
      </c>
      <c r="G45">
        <v>0.11320754716981141</v>
      </c>
    </row>
    <row r="46" spans="1:7" hidden="1" x14ac:dyDescent="0.3">
      <c r="A46" t="s">
        <v>586</v>
      </c>
      <c r="B46" t="s">
        <v>585</v>
      </c>
      <c r="C46" t="s">
        <v>584</v>
      </c>
      <c r="D46">
        <v>0.99342304468154907</v>
      </c>
      <c r="E46">
        <v>0.99558615684509277</v>
      </c>
      <c r="F46">
        <v>0.9945034384727478</v>
      </c>
      <c r="G46">
        <v>374.76578645235372</v>
      </c>
    </row>
    <row r="47" spans="1:7" x14ac:dyDescent="0.3">
      <c r="A47" t="s">
        <v>583</v>
      </c>
      <c r="B47" t="s">
        <v>582</v>
      </c>
      <c r="C47" t="s">
        <v>581</v>
      </c>
      <c r="D47">
        <v>0.99863338470458984</v>
      </c>
      <c r="E47">
        <v>0.99863338470458984</v>
      </c>
      <c r="F47">
        <v>0.99863338470458984</v>
      </c>
      <c r="G47">
        <v>1.714285714285714</v>
      </c>
    </row>
    <row r="48" spans="1:7" x14ac:dyDescent="0.3">
      <c r="A48" t="s">
        <v>580</v>
      </c>
      <c r="B48" t="s">
        <v>579</v>
      </c>
      <c r="C48" t="s">
        <v>578</v>
      </c>
      <c r="D48">
        <v>0.99815136194229126</v>
      </c>
      <c r="E48">
        <v>0.99815136194229126</v>
      </c>
      <c r="F48">
        <v>0.99815136194229126</v>
      </c>
      <c r="G48">
        <v>0.22023809523809521</v>
      </c>
    </row>
    <row r="49" spans="1:7" x14ac:dyDescent="0.3">
      <c r="A49" t="s">
        <v>577</v>
      </c>
      <c r="B49" t="s">
        <v>576</v>
      </c>
      <c r="C49" t="s">
        <v>575</v>
      </c>
      <c r="D49">
        <v>0.99841392040252686</v>
      </c>
      <c r="E49">
        <v>0.99841392040252686</v>
      </c>
      <c r="F49">
        <v>0.99841392040252686</v>
      </c>
      <c r="G49">
        <v>0.75862068965517238</v>
      </c>
    </row>
    <row r="50" spans="1:7" x14ac:dyDescent="0.3">
      <c r="A50" t="s">
        <v>574</v>
      </c>
      <c r="B50" t="s">
        <v>573</v>
      </c>
      <c r="C50" t="s">
        <v>572</v>
      </c>
      <c r="D50">
        <v>0.99611544609069824</v>
      </c>
      <c r="E50">
        <v>0.99611544609069824</v>
      </c>
      <c r="F50">
        <v>0.99611544609069824</v>
      </c>
      <c r="G50">
        <v>0.90494296577946765</v>
      </c>
    </row>
    <row r="51" spans="1:7" x14ac:dyDescent="0.3">
      <c r="A51" t="s">
        <v>571</v>
      </c>
      <c r="B51" t="s">
        <v>570</v>
      </c>
      <c r="C51" t="s">
        <v>569</v>
      </c>
      <c r="D51">
        <v>0.99503648281097412</v>
      </c>
      <c r="E51">
        <v>0.99642914533615112</v>
      </c>
      <c r="F51">
        <v>0.99573230743408203</v>
      </c>
      <c r="G51">
        <v>0.76963087248322148</v>
      </c>
    </row>
    <row r="52" spans="1:7" hidden="1" x14ac:dyDescent="0.3">
      <c r="A52" t="s">
        <v>568</v>
      </c>
      <c r="B52" t="s">
        <v>567</v>
      </c>
      <c r="C52" t="s">
        <v>566</v>
      </c>
      <c r="D52">
        <v>0.99470072984695435</v>
      </c>
      <c r="E52">
        <v>0.99474197626113892</v>
      </c>
      <c r="F52">
        <v>0.99472135305404663</v>
      </c>
      <c r="G52">
        <v>4364.25</v>
      </c>
    </row>
    <row r="53" spans="1:7" x14ac:dyDescent="0.3">
      <c r="A53" t="s">
        <v>565</v>
      </c>
      <c r="B53" t="s">
        <v>564</v>
      </c>
      <c r="C53" t="s">
        <v>563</v>
      </c>
      <c r="D53">
        <v>0.99593067169189453</v>
      </c>
      <c r="E53">
        <v>0.9935869574546814</v>
      </c>
      <c r="F53">
        <v>0.99475741386413574</v>
      </c>
      <c r="G53">
        <v>0.99131056973216181</v>
      </c>
    </row>
    <row r="54" spans="1:7" x14ac:dyDescent="0.3">
      <c r="A54" t="s">
        <v>562</v>
      </c>
      <c r="B54" t="s">
        <v>561</v>
      </c>
      <c r="C54" t="s">
        <v>560</v>
      </c>
      <c r="D54">
        <v>0.99966967105865479</v>
      </c>
      <c r="E54">
        <v>0.99966967105865479</v>
      </c>
      <c r="F54">
        <v>0.99966967105865479</v>
      </c>
      <c r="G54">
        <v>0.1249999999999999</v>
      </c>
    </row>
    <row r="55" spans="1:7" x14ac:dyDescent="0.3">
      <c r="A55" t="s">
        <v>559</v>
      </c>
      <c r="B55" t="s">
        <v>558</v>
      </c>
      <c r="C55" t="s">
        <v>557</v>
      </c>
      <c r="D55">
        <v>0.99597609043121338</v>
      </c>
      <c r="E55">
        <v>0.99597609043121338</v>
      </c>
      <c r="F55">
        <v>0.99597609043121338</v>
      </c>
      <c r="G55">
        <v>0.93015407190022015</v>
      </c>
    </row>
    <row r="56" spans="1:7" x14ac:dyDescent="0.3">
      <c r="A56" t="s">
        <v>556</v>
      </c>
      <c r="B56" t="s">
        <v>555</v>
      </c>
      <c r="C56" t="s">
        <v>554</v>
      </c>
      <c r="D56">
        <v>0.99774891138076782</v>
      </c>
      <c r="E56">
        <v>0.99774891138076782</v>
      </c>
      <c r="F56">
        <v>0.99774891138076782</v>
      </c>
      <c r="G56">
        <v>0.30140379851362509</v>
      </c>
    </row>
    <row r="57" spans="1:7" x14ac:dyDescent="0.3">
      <c r="A57" t="s">
        <v>553</v>
      </c>
      <c r="B57" t="s">
        <v>552</v>
      </c>
      <c r="C57" t="s">
        <v>551</v>
      </c>
      <c r="D57">
        <v>0.99811369180679321</v>
      </c>
      <c r="E57">
        <v>0.99811369180679321</v>
      </c>
      <c r="F57">
        <v>0.99811369180679321</v>
      </c>
      <c r="G57">
        <v>0.43023255813953493</v>
      </c>
    </row>
    <row r="58" spans="1:7" x14ac:dyDescent="0.3">
      <c r="A58" t="s">
        <v>550</v>
      </c>
      <c r="B58" t="s">
        <v>549</v>
      </c>
      <c r="C58" t="s">
        <v>548</v>
      </c>
      <c r="D58">
        <v>0.99639344215393066</v>
      </c>
      <c r="E58">
        <v>0.99639344215393066</v>
      </c>
      <c r="F58">
        <v>0.99639344215393066</v>
      </c>
      <c r="G58">
        <v>4.3897550111358576</v>
      </c>
    </row>
    <row r="59" spans="1:7" x14ac:dyDescent="0.3">
      <c r="A59" t="s">
        <v>547</v>
      </c>
      <c r="B59" t="s">
        <v>546</v>
      </c>
      <c r="C59" t="s">
        <v>545</v>
      </c>
      <c r="D59">
        <v>0.99745231866836548</v>
      </c>
      <c r="E59">
        <v>0.99745231866836548</v>
      </c>
      <c r="F59">
        <v>0.99745231866836548</v>
      </c>
      <c r="G59">
        <v>3.3142173288654861</v>
      </c>
    </row>
    <row r="60" spans="1:7" x14ac:dyDescent="0.3">
      <c r="A60" t="s">
        <v>544</v>
      </c>
      <c r="B60" t="s">
        <v>543</v>
      </c>
      <c r="C60" t="s">
        <v>542</v>
      </c>
      <c r="D60">
        <v>0.99905222654342651</v>
      </c>
      <c r="E60">
        <v>0.99905222654342651</v>
      </c>
      <c r="F60">
        <v>0.99905222654342651</v>
      </c>
      <c r="G60">
        <v>0.10714285714285721</v>
      </c>
    </row>
    <row r="61" spans="1:7" x14ac:dyDescent="0.3">
      <c r="A61" t="s">
        <v>541</v>
      </c>
      <c r="B61" t="s">
        <v>540</v>
      </c>
      <c r="C61" t="s">
        <v>539</v>
      </c>
      <c r="D61">
        <v>0.995563805103302</v>
      </c>
      <c r="E61">
        <v>0.9972502589225769</v>
      </c>
      <c r="F61">
        <v>0.99640631675720215</v>
      </c>
      <c r="G61">
        <v>0.90601030802321347</v>
      </c>
    </row>
    <row r="62" spans="1:7" x14ac:dyDescent="0.3">
      <c r="A62" t="s">
        <v>538</v>
      </c>
      <c r="B62" t="s">
        <v>537</v>
      </c>
      <c r="C62" t="s">
        <v>536</v>
      </c>
      <c r="D62">
        <v>0.99953949451446533</v>
      </c>
      <c r="E62">
        <v>0.99953949451446533</v>
      </c>
      <c r="F62">
        <v>0.99953949451446533</v>
      </c>
      <c r="G62">
        <v>3.7735849056603807E-2</v>
      </c>
    </row>
    <row r="63" spans="1:7" x14ac:dyDescent="0.3">
      <c r="A63" t="s">
        <v>535</v>
      </c>
      <c r="B63" t="s">
        <v>534</v>
      </c>
      <c r="C63" t="s">
        <v>533</v>
      </c>
      <c r="D63">
        <v>0.99825036525726318</v>
      </c>
      <c r="E63">
        <v>0.99825036525726318</v>
      </c>
      <c r="F63">
        <v>0.99825036525726318</v>
      </c>
      <c r="G63">
        <v>2.44</v>
      </c>
    </row>
    <row r="64" spans="1:7" x14ac:dyDescent="0.3">
      <c r="A64" t="s">
        <v>532</v>
      </c>
      <c r="B64" t="s">
        <v>531</v>
      </c>
      <c r="C64" t="s">
        <v>530</v>
      </c>
      <c r="D64">
        <v>0.99101638793945313</v>
      </c>
      <c r="E64">
        <v>0.97775286436080933</v>
      </c>
      <c r="F64">
        <v>0.98433989286422729</v>
      </c>
      <c r="G64">
        <v>0.99999999015557794</v>
      </c>
    </row>
    <row r="65" spans="1:7" x14ac:dyDescent="0.3">
      <c r="A65" t="s">
        <v>529</v>
      </c>
      <c r="B65" t="s">
        <v>528</v>
      </c>
      <c r="C65" t="s">
        <v>527</v>
      </c>
      <c r="D65">
        <v>0.99907022714614868</v>
      </c>
      <c r="E65">
        <v>0.99907022714614868</v>
      </c>
      <c r="F65">
        <v>0.99907022714614868</v>
      </c>
      <c r="G65">
        <v>0.82758620689655193</v>
      </c>
    </row>
    <row r="66" spans="1:7" x14ac:dyDescent="0.3">
      <c r="A66" t="s">
        <v>526</v>
      </c>
      <c r="B66" t="s">
        <v>525</v>
      </c>
      <c r="C66" t="s">
        <v>524</v>
      </c>
      <c r="D66">
        <v>0.9978710412979126</v>
      </c>
      <c r="E66">
        <v>0.9978710412979126</v>
      </c>
      <c r="F66">
        <v>0.9978710412979126</v>
      </c>
      <c r="G66">
        <v>0.99092009685230031</v>
      </c>
    </row>
    <row r="67" spans="1:7" x14ac:dyDescent="0.3">
      <c r="A67" t="s">
        <v>523</v>
      </c>
      <c r="B67" t="s">
        <v>522</v>
      </c>
      <c r="C67" t="s">
        <v>521</v>
      </c>
      <c r="D67">
        <v>0.99625355005264282</v>
      </c>
      <c r="E67">
        <v>0.99651223421096802</v>
      </c>
      <c r="F67">
        <v>0.99638283252716064</v>
      </c>
      <c r="G67">
        <v>0.95952183690377557</v>
      </c>
    </row>
    <row r="68" spans="1:7" x14ac:dyDescent="0.3">
      <c r="A68" t="s">
        <v>520</v>
      </c>
      <c r="B68" t="s">
        <v>70</v>
      </c>
      <c r="C68" t="s">
        <v>70</v>
      </c>
      <c r="D68">
        <v>0.99999994039535522</v>
      </c>
      <c r="E68">
        <v>0.99999994039535522</v>
      </c>
      <c r="F68">
        <v>0.99999994039535522</v>
      </c>
      <c r="G68">
        <v>0</v>
      </c>
    </row>
    <row r="69" spans="1:7" x14ac:dyDescent="0.3">
      <c r="A69" t="s">
        <v>519</v>
      </c>
      <c r="B69" t="s">
        <v>518</v>
      </c>
      <c r="C69" t="s">
        <v>517</v>
      </c>
      <c r="D69">
        <v>0.99928426742553711</v>
      </c>
      <c r="E69">
        <v>0.99928426742553711</v>
      </c>
      <c r="F69">
        <v>0.99928426742553711</v>
      </c>
      <c r="G69">
        <v>1.666666666666667</v>
      </c>
    </row>
    <row r="70" spans="1:7" x14ac:dyDescent="0.3">
      <c r="A70" t="s">
        <v>516</v>
      </c>
      <c r="B70" t="s">
        <v>515</v>
      </c>
      <c r="C70" t="s">
        <v>514</v>
      </c>
      <c r="D70">
        <v>0.99725192785263062</v>
      </c>
      <c r="E70">
        <v>0.99725192785263062</v>
      </c>
      <c r="F70">
        <v>0.99725192785263062</v>
      </c>
      <c r="G70">
        <v>3.5917721518987338</v>
      </c>
    </row>
    <row r="71" spans="1:7" x14ac:dyDescent="0.3">
      <c r="A71" t="s">
        <v>513</v>
      </c>
      <c r="B71" t="s">
        <v>512</v>
      </c>
      <c r="C71" t="s">
        <v>511</v>
      </c>
      <c r="D71">
        <v>0.99856632947921753</v>
      </c>
      <c r="E71">
        <v>0.99856632947921753</v>
      </c>
      <c r="F71">
        <v>0.99856632947921753</v>
      </c>
      <c r="G71">
        <v>0.38867187499999989</v>
      </c>
    </row>
    <row r="72" spans="1:7" x14ac:dyDescent="0.3">
      <c r="A72" t="s">
        <v>510</v>
      </c>
      <c r="B72" t="s">
        <v>509</v>
      </c>
      <c r="C72" t="s">
        <v>508</v>
      </c>
      <c r="D72">
        <v>0.9983750581741333</v>
      </c>
      <c r="E72">
        <v>0.9983750581741333</v>
      </c>
      <c r="F72">
        <v>0.9983750581741333</v>
      </c>
      <c r="G72">
        <v>1.285714285714286</v>
      </c>
    </row>
    <row r="73" spans="1:7" x14ac:dyDescent="0.3">
      <c r="A73" t="s">
        <v>507</v>
      </c>
      <c r="B73" t="s">
        <v>506</v>
      </c>
      <c r="C73" t="s">
        <v>505</v>
      </c>
      <c r="D73">
        <v>0.99757343530654907</v>
      </c>
      <c r="E73">
        <v>0.99757343530654907</v>
      </c>
      <c r="F73">
        <v>0.99757343530654907</v>
      </c>
      <c r="G73">
        <v>0.33678756476683952</v>
      </c>
    </row>
    <row r="74" spans="1:7" x14ac:dyDescent="0.3">
      <c r="A74" t="s">
        <v>504</v>
      </c>
      <c r="B74" t="s">
        <v>503</v>
      </c>
      <c r="C74" t="s">
        <v>502</v>
      </c>
      <c r="D74">
        <v>0.99827158451080322</v>
      </c>
      <c r="E74">
        <v>0.99827158451080322</v>
      </c>
      <c r="F74">
        <v>0.99827158451080322</v>
      </c>
      <c r="G74">
        <v>2.75</v>
      </c>
    </row>
    <row r="75" spans="1:7" x14ac:dyDescent="0.3">
      <c r="A75" t="s">
        <v>501</v>
      </c>
      <c r="B75" t="s">
        <v>500</v>
      </c>
      <c r="C75" t="s">
        <v>499</v>
      </c>
      <c r="D75">
        <v>0.99497884511947632</v>
      </c>
      <c r="E75">
        <v>0.99497884511947632</v>
      </c>
      <c r="F75">
        <v>0.99497884511947632</v>
      </c>
      <c r="G75">
        <v>0.921373200442968</v>
      </c>
    </row>
    <row r="76" spans="1:7" x14ac:dyDescent="0.3">
      <c r="A76" t="s">
        <v>498</v>
      </c>
      <c r="B76" t="s">
        <v>497</v>
      </c>
      <c r="C76" t="s">
        <v>496</v>
      </c>
      <c r="D76">
        <v>0.9980771541595459</v>
      </c>
      <c r="E76">
        <v>0.9980771541595459</v>
      </c>
      <c r="F76">
        <v>0.9980771541595459</v>
      </c>
      <c r="G76">
        <v>0.19008264462809921</v>
      </c>
    </row>
    <row r="77" spans="1:7" x14ac:dyDescent="0.3">
      <c r="A77" t="s">
        <v>495</v>
      </c>
      <c r="B77" t="s">
        <v>494</v>
      </c>
      <c r="C77" t="s">
        <v>493</v>
      </c>
      <c r="D77">
        <v>0.99418532848358154</v>
      </c>
      <c r="E77">
        <v>0.98956072330474854</v>
      </c>
      <c r="F77">
        <v>0.99186760187149048</v>
      </c>
      <c r="G77">
        <v>0.99999696178776509</v>
      </c>
    </row>
    <row r="78" spans="1:7" x14ac:dyDescent="0.3">
      <c r="A78" t="s">
        <v>492</v>
      </c>
      <c r="B78" t="s">
        <v>491</v>
      </c>
      <c r="C78" t="s">
        <v>490</v>
      </c>
      <c r="D78">
        <v>0.99796843528747559</v>
      </c>
      <c r="E78">
        <v>0.99796843528747559</v>
      </c>
      <c r="F78">
        <v>0.99796843528747559</v>
      </c>
      <c r="G78">
        <v>0.43750000000000011</v>
      </c>
    </row>
    <row r="79" spans="1:7" x14ac:dyDescent="0.3">
      <c r="A79" t="s">
        <v>489</v>
      </c>
      <c r="B79" t="s">
        <v>488</v>
      </c>
      <c r="C79" t="s">
        <v>487</v>
      </c>
      <c r="D79">
        <v>0.99879038333892822</v>
      </c>
      <c r="E79">
        <v>0.99879038333892822</v>
      </c>
      <c r="F79">
        <v>0.99879038333892822</v>
      </c>
      <c r="G79">
        <v>0.12252964426877461</v>
      </c>
    </row>
    <row r="80" spans="1:7" hidden="1" x14ac:dyDescent="0.3">
      <c r="A80" t="s">
        <v>486</v>
      </c>
      <c r="B80" t="s">
        <v>485</v>
      </c>
      <c r="C80" t="s">
        <v>484</v>
      </c>
      <c r="D80">
        <v>0.99920010566711426</v>
      </c>
      <c r="E80">
        <v>0.99920010566711426</v>
      </c>
      <c r="F80">
        <v>0.99920010566711426</v>
      </c>
      <c r="G80">
        <v>7.0000000000000009</v>
      </c>
    </row>
    <row r="81" spans="1:7" x14ac:dyDescent="0.3">
      <c r="A81" t="s">
        <v>483</v>
      </c>
      <c r="B81" t="s">
        <v>482</v>
      </c>
      <c r="C81" t="s">
        <v>481</v>
      </c>
      <c r="D81">
        <v>0.99852770566940308</v>
      </c>
      <c r="E81">
        <v>0.99852770566940308</v>
      </c>
      <c r="F81">
        <v>0.99852770566940308</v>
      </c>
      <c r="G81">
        <v>0.40476190476190482</v>
      </c>
    </row>
    <row r="82" spans="1:7" x14ac:dyDescent="0.3">
      <c r="A82" t="s">
        <v>480</v>
      </c>
      <c r="B82" t="s">
        <v>479</v>
      </c>
      <c r="C82" t="s">
        <v>478</v>
      </c>
      <c r="D82">
        <v>0.99896174669265747</v>
      </c>
      <c r="E82">
        <v>0.99896174669265747</v>
      </c>
      <c r="F82">
        <v>0.99896174669265747</v>
      </c>
      <c r="G82">
        <v>0.17819706498951779</v>
      </c>
    </row>
    <row r="83" spans="1:7" x14ac:dyDescent="0.3">
      <c r="A83" t="s">
        <v>477</v>
      </c>
      <c r="B83" t="s">
        <v>476</v>
      </c>
      <c r="C83" t="s">
        <v>475</v>
      </c>
      <c r="D83">
        <v>0.99788528680801392</v>
      </c>
      <c r="E83">
        <v>0.99788528680801392</v>
      </c>
      <c r="F83">
        <v>0.99788528680801392</v>
      </c>
      <c r="G83">
        <v>0.32989690721649489</v>
      </c>
    </row>
    <row r="84" spans="1:7" x14ac:dyDescent="0.3">
      <c r="A84" t="s">
        <v>474</v>
      </c>
      <c r="B84" t="s">
        <v>473</v>
      </c>
      <c r="C84" t="s">
        <v>472</v>
      </c>
      <c r="D84">
        <v>0.99684524536132813</v>
      </c>
      <c r="E84">
        <v>0.99684524536132813</v>
      </c>
      <c r="F84">
        <v>0.99684524536132813</v>
      </c>
      <c r="G84">
        <v>0.97183098591549288</v>
      </c>
    </row>
    <row r="85" spans="1:7" x14ac:dyDescent="0.3">
      <c r="A85" t="s">
        <v>471</v>
      </c>
      <c r="B85" t="s">
        <v>470</v>
      </c>
      <c r="C85" t="s">
        <v>469</v>
      </c>
      <c r="D85">
        <v>0.99886667728424072</v>
      </c>
      <c r="E85">
        <v>0.99886667728424072</v>
      </c>
      <c r="F85">
        <v>0.99886667728424072</v>
      </c>
      <c r="G85">
        <v>0.52941176470588236</v>
      </c>
    </row>
    <row r="86" spans="1:7" x14ac:dyDescent="0.3">
      <c r="A86" t="s">
        <v>468</v>
      </c>
      <c r="B86" t="s">
        <v>467</v>
      </c>
      <c r="C86" t="s">
        <v>466</v>
      </c>
      <c r="D86">
        <v>0.99535173177719116</v>
      </c>
      <c r="E86">
        <v>0.99535173177719116</v>
      </c>
      <c r="F86">
        <v>0.99535173177719116</v>
      </c>
      <c r="G86">
        <v>0.61998166819431699</v>
      </c>
    </row>
    <row r="87" spans="1:7" x14ac:dyDescent="0.3">
      <c r="A87" t="s">
        <v>465</v>
      </c>
      <c r="B87" t="s">
        <v>464</v>
      </c>
      <c r="C87" t="s">
        <v>436</v>
      </c>
      <c r="D87">
        <v>0.99954187870025635</v>
      </c>
      <c r="E87">
        <v>0.99954187870025635</v>
      </c>
      <c r="F87">
        <v>0.99954187870025635</v>
      </c>
      <c r="G87">
        <v>0.14285714285714279</v>
      </c>
    </row>
    <row r="88" spans="1:7" x14ac:dyDescent="0.3">
      <c r="A88" t="s">
        <v>463</v>
      </c>
      <c r="B88" t="s">
        <v>462</v>
      </c>
      <c r="C88" t="s">
        <v>461</v>
      </c>
      <c r="D88">
        <v>0.99905920028686523</v>
      </c>
      <c r="E88">
        <v>0.99905920028686523</v>
      </c>
      <c r="F88">
        <v>0.99905920028686523</v>
      </c>
      <c r="G88">
        <v>0.1223776223776224</v>
      </c>
    </row>
    <row r="89" spans="1:7" x14ac:dyDescent="0.3">
      <c r="A89" t="s">
        <v>460</v>
      </c>
      <c r="B89" t="s">
        <v>459</v>
      </c>
      <c r="C89" t="s">
        <v>458</v>
      </c>
      <c r="D89">
        <v>0.99715816974639893</v>
      </c>
      <c r="E89">
        <v>0.99715816974639893</v>
      </c>
      <c r="F89">
        <v>0.99715816974639893</v>
      </c>
      <c r="G89">
        <v>0.39579684763572681</v>
      </c>
    </row>
    <row r="90" spans="1:7" x14ac:dyDescent="0.3">
      <c r="A90" t="s">
        <v>457</v>
      </c>
      <c r="B90" t="s">
        <v>456</v>
      </c>
      <c r="C90" t="s">
        <v>455</v>
      </c>
      <c r="D90">
        <v>0.99589109420776367</v>
      </c>
      <c r="E90">
        <v>0.99589109420776367</v>
      </c>
      <c r="F90">
        <v>0.99589109420776367</v>
      </c>
      <c r="G90">
        <v>1.5641025641025641</v>
      </c>
    </row>
    <row r="91" spans="1:7" hidden="1" x14ac:dyDescent="0.3">
      <c r="A91" t="s">
        <v>454</v>
      </c>
      <c r="B91" t="s">
        <v>453</v>
      </c>
      <c r="C91" t="s">
        <v>452</v>
      </c>
      <c r="D91">
        <v>0.99572610855102539</v>
      </c>
      <c r="E91">
        <v>0.99572610855102539</v>
      </c>
      <c r="F91">
        <v>0.99572610855102539</v>
      </c>
      <c r="G91">
        <v>105.5136778115502</v>
      </c>
    </row>
    <row r="92" spans="1:7" hidden="1" x14ac:dyDescent="0.3">
      <c r="D92">
        <f>AVERAGE(D2:D91)</f>
        <v>0.99743474655681186</v>
      </c>
      <c r="E92">
        <f t="shared" ref="E92:F92" si="0">AVERAGE(E2:E91)</f>
        <v>0.99677523109647959</v>
      </c>
      <c r="F92">
        <f t="shared" si="0"/>
        <v>0.99709899822870895</v>
      </c>
    </row>
  </sheetData>
  <autoFilter ref="A1:G92" xr:uid="{59D5F049-6F81-4560-83B9-13E9A11C7C48}">
    <filterColumn colId="6">
      <customFilters and="1">
        <customFilter operator="greaterThanOrEqual" val="0"/>
        <customFilter operator="lessThan" val="5"/>
      </customFilters>
    </filterColumn>
  </autoFilter>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A031-C3D3-45A0-822A-841063B3BA1A}">
  <sheetPr filterMode="1"/>
  <dimension ref="A1:G92"/>
  <sheetViews>
    <sheetView workbookViewId="0">
      <selection activeCell="G2" sqref="G2:G90"/>
    </sheetView>
  </sheetViews>
  <sheetFormatPr defaultRowHeight="14" x14ac:dyDescent="0.3"/>
  <sheetData>
    <row r="1" spans="1:7" x14ac:dyDescent="0.3">
      <c r="A1" s="1" t="s">
        <v>273</v>
      </c>
      <c r="B1" s="1" t="s">
        <v>272</v>
      </c>
      <c r="C1" s="1" t="s">
        <v>271</v>
      </c>
      <c r="D1" s="1" t="s">
        <v>270</v>
      </c>
      <c r="E1" s="1" t="s">
        <v>269</v>
      </c>
      <c r="F1" s="1" t="s">
        <v>268</v>
      </c>
      <c r="G1" s="1" t="s">
        <v>267</v>
      </c>
    </row>
    <row r="2" spans="1:7" x14ac:dyDescent="0.3">
      <c r="A2" t="s">
        <v>886</v>
      </c>
      <c r="B2" t="s">
        <v>885</v>
      </c>
      <c r="C2" t="s">
        <v>132</v>
      </c>
      <c r="D2">
        <v>0.99832159280776978</v>
      </c>
      <c r="E2">
        <v>0.99832159280776978</v>
      </c>
      <c r="F2">
        <v>0.99832159280776978</v>
      </c>
      <c r="G2">
        <v>3.714285714285714</v>
      </c>
    </row>
    <row r="3" spans="1:7" x14ac:dyDescent="0.3">
      <c r="A3" t="s">
        <v>884</v>
      </c>
      <c r="B3" t="s">
        <v>883</v>
      </c>
      <c r="C3" t="s">
        <v>129</v>
      </c>
      <c r="D3">
        <v>0.9970899224281311</v>
      </c>
      <c r="E3">
        <v>0.9970899224281311</v>
      </c>
      <c r="F3">
        <v>0.9970899224281311</v>
      </c>
      <c r="G3">
        <v>0.31547619047619052</v>
      </c>
    </row>
    <row r="4" spans="1:7" x14ac:dyDescent="0.3">
      <c r="A4" t="s">
        <v>882</v>
      </c>
      <c r="B4" t="s">
        <v>881</v>
      </c>
      <c r="C4" t="s">
        <v>126</v>
      </c>
      <c r="D4">
        <v>0.99930179119110107</v>
      </c>
      <c r="E4">
        <v>0.99930179119110107</v>
      </c>
      <c r="F4">
        <v>0.99930179119110107</v>
      </c>
      <c r="G4">
        <v>0.34482758620689669</v>
      </c>
    </row>
    <row r="5" spans="1:7" x14ac:dyDescent="0.3">
      <c r="A5" t="s">
        <v>880</v>
      </c>
      <c r="B5" t="s">
        <v>879</v>
      </c>
      <c r="C5" t="s">
        <v>123</v>
      </c>
      <c r="D5">
        <v>0.99701261520385742</v>
      </c>
      <c r="E5">
        <v>0.99701261520385742</v>
      </c>
      <c r="F5">
        <v>0.99701261520385742</v>
      </c>
      <c r="G5">
        <v>0.77946768060836502</v>
      </c>
    </row>
    <row r="6" spans="1:7" hidden="1" x14ac:dyDescent="0.3">
      <c r="A6" t="s">
        <v>878</v>
      </c>
      <c r="B6" t="s">
        <v>877</v>
      </c>
      <c r="C6" t="s">
        <v>120</v>
      </c>
      <c r="D6">
        <v>0.98818451166152954</v>
      </c>
      <c r="E6">
        <v>0.99421924352645874</v>
      </c>
      <c r="F6">
        <v>0.99119269847869873</v>
      </c>
      <c r="G6">
        <v>12686.149328859059</v>
      </c>
    </row>
    <row r="7" spans="1:7" x14ac:dyDescent="0.3">
      <c r="A7" t="s">
        <v>876</v>
      </c>
      <c r="B7" t="s">
        <v>875</v>
      </c>
      <c r="C7" t="s">
        <v>117</v>
      </c>
      <c r="D7">
        <v>0.99892956018447876</v>
      </c>
      <c r="E7">
        <v>0.99892956018447876</v>
      </c>
      <c r="F7">
        <v>0.99892956018447876</v>
      </c>
      <c r="G7">
        <v>4.75</v>
      </c>
    </row>
    <row r="8" spans="1:7" x14ac:dyDescent="0.3">
      <c r="A8" t="s">
        <v>874</v>
      </c>
      <c r="B8" t="s">
        <v>349</v>
      </c>
      <c r="C8" t="s">
        <v>114</v>
      </c>
      <c r="D8">
        <v>0.99618005752563477</v>
      </c>
      <c r="E8">
        <v>0.99742096662521362</v>
      </c>
      <c r="F8">
        <v>0.99680006504058838</v>
      </c>
      <c r="G8">
        <v>2.711742082848867</v>
      </c>
    </row>
    <row r="9" spans="1:7" x14ac:dyDescent="0.3">
      <c r="A9" t="s">
        <v>873</v>
      </c>
      <c r="B9" t="s">
        <v>872</v>
      </c>
      <c r="C9" t="s">
        <v>111</v>
      </c>
      <c r="D9">
        <v>0.9987337589263916</v>
      </c>
      <c r="E9">
        <v>0.9987337589263916</v>
      </c>
      <c r="F9">
        <v>0.9987337589263916</v>
      </c>
      <c r="G9">
        <v>1</v>
      </c>
    </row>
    <row r="10" spans="1:7" x14ac:dyDescent="0.3">
      <c r="A10" t="s">
        <v>871</v>
      </c>
      <c r="B10" t="s">
        <v>870</v>
      </c>
      <c r="C10" t="s">
        <v>108</v>
      </c>
      <c r="D10">
        <v>0.99536281824111938</v>
      </c>
      <c r="E10">
        <v>0.99536281824111938</v>
      </c>
      <c r="F10">
        <v>0.99536281824111938</v>
      </c>
      <c r="G10">
        <v>0.96815847395451204</v>
      </c>
    </row>
    <row r="11" spans="1:7" x14ac:dyDescent="0.3">
      <c r="A11" t="s">
        <v>869</v>
      </c>
      <c r="B11" t="s">
        <v>868</v>
      </c>
      <c r="C11" t="s">
        <v>105</v>
      </c>
      <c r="D11">
        <v>0.99580156803131104</v>
      </c>
      <c r="E11">
        <v>0.99580156803131104</v>
      </c>
      <c r="F11">
        <v>0.99580156803131104</v>
      </c>
      <c r="G11">
        <v>0.77043765483071847</v>
      </c>
    </row>
    <row r="12" spans="1:7" x14ac:dyDescent="0.3">
      <c r="A12" t="s">
        <v>867</v>
      </c>
      <c r="B12" t="s">
        <v>866</v>
      </c>
      <c r="C12" t="s">
        <v>102</v>
      </c>
      <c r="D12">
        <v>0.99891126155853271</v>
      </c>
      <c r="E12">
        <v>0.99891126155853271</v>
      </c>
      <c r="F12">
        <v>0.99891126155853271</v>
      </c>
      <c r="G12">
        <v>0.3837209302325581</v>
      </c>
    </row>
    <row r="13" spans="1:7" x14ac:dyDescent="0.3">
      <c r="A13" t="s">
        <v>865</v>
      </c>
      <c r="B13" t="s">
        <v>864</v>
      </c>
      <c r="C13" t="s">
        <v>99</v>
      </c>
      <c r="D13">
        <v>0.99794912338256836</v>
      </c>
      <c r="E13">
        <v>0.99794912338256836</v>
      </c>
      <c r="F13">
        <v>0.99794912338256836</v>
      </c>
      <c r="G13">
        <v>1.3786191536748329</v>
      </c>
    </row>
    <row r="14" spans="1:7" x14ac:dyDescent="0.3">
      <c r="A14" t="s">
        <v>863</v>
      </c>
      <c r="B14" t="s">
        <v>862</v>
      </c>
      <c r="C14" t="s">
        <v>96</v>
      </c>
      <c r="D14">
        <v>0.99631685018539429</v>
      </c>
      <c r="E14">
        <v>0.99631685018539429</v>
      </c>
      <c r="F14">
        <v>0.99631685018539429</v>
      </c>
      <c r="G14">
        <v>0.7031115366203925</v>
      </c>
    </row>
    <row r="15" spans="1:7" x14ac:dyDescent="0.3">
      <c r="A15" t="s">
        <v>861</v>
      </c>
      <c r="B15" t="s">
        <v>860</v>
      </c>
      <c r="C15" t="s">
        <v>93</v>
      </c>
      <c r="D15">
        <v>0.99565529823303223</v>
      </c>
      <c r="E15">
        <v>0.99565529823303223</v>
      </c>
      <c r="F15">
        <v>0.99565529823303223</v>
      </c>
      <c r="G15">
        <v>2.6785714285714288</v>
      </c>
    </row>
    <row r="16" spans="1:7" x14ac:dyDescent="0.3">
      <c r="A16" t="s">
        <v>859</v>
      </c>
      <c r="B16" t="s">
        <v>858</v>
      </c>
      <c r="C16" t="s">
        <v>90</v>
      </c>
      <c r="D16">
        <v>0.9971688985824585</v>
      </c>
      <c r="E16">
        <v>0.9971688985824585</v>
      </c>
      <c r="F16">
        <v>0.9971688985824585</v>
      </c>
      <c r="G16">
        <v>0.66454283511221135</v>
      </c>
    </row>
    <row r="17" spans="1:7" x14ac:dyDescent="0.3">
      <c r="A17" t="s">
        <v>857</v>
      </c>
      <c r="B17" t="s">
        <v>856</v>
      </c>
      <c r="C17" t="s">
        <v>87</v>
      </c>
      <c r="D17">
        <v>0.99634897708892822</v>
      </c>
      <c r="E17">
        <v>0.99634897708892822</v>
      </c>
      <c r="F17">
        <v>0.99634897708892822</v>
      </c>
      <c r="G17">
        <v>1.6226415094339619</v>
      </c>
    </row>
    <row r="18" spans="1:7" x14ac:dyDescent="0.3">
      <c r="A18" t="s">
        <v>855</v>
      </c>
      <c r="B18" t="s">
        <v>854</v>
      </c>
      <c r="C18" t="s">
        <v>84</v>
      </c>
      <c r="D18">
        <v>0.99854236841201782</v>
      </c>
      <c r="E18">
        <v>0.99854236841201782</v>
      </c>
      <c r="F18">
        <v>0.99854236841201782</v>
      </c>
      <c r="G18">
        <v>2.04</v>
      </c>
    </row>
    <row r="19" spans="1:7" x14ac:dyDescent="0.3">
      <c r="A19" t="s">
        <v>853</v>
      </c>
      <c r="B19" t="s">
        <v>852</v>
      </c>
      <c r="C19" t="s">
        <v>81</v>
      </c>
      <c r="D19">
        <v>0.99623054265975952</v>
      </c>
      <c r="E19">
        <v>0.99614596366882324</v>
      </c>
      <c r="F19">
        <v>0.99618822336196899</v>
      </c>
      <c r="G19">
        <v>0.93496453224417153</v>
      </c>
    </row>
    <row r="20" spans="1:7" x14ac:dyDescent="0.3">
      <c r="A20" t="s">
        <v>851</v>
      </c>
      <c r="B20" t="s">
        <v>850</v>
      </c>
      <c r="C20" t="s">
        <v>78</v>
      </c>
      <c r="D20">
        <v>0.99880850315093994</v>
      </c>
      <c r="E20">
        <v>0.99880850315093994</v>
      </c>
      <c r="F20">
        <v>0.99880850315093994</v>
      </c>
      <c r="G20">
        <v>0.75862068965517238</v>
      </c>
    </row>
    <row r="21" spans="1:7" x14ac:dyDescent="0.3">
      <c r="A21" t="s">
        <v>849</v>
      </c>
      <c r="B21" t="s">
        <v>848</v>
      </c>
      <c r="C21" t="s">
        <v>75</v>
      </c>
      <c r="D21">
        <v>0.99860882759094238</v>
      </c>
      <c r="E21">
        <v>0.99860882759094238</v>
      </c>
      <c r="F21">
        <v>0.99860882759094238</v>
      </c>
      <c r="G21">
        <v>0.13438256658595629</v>
      </c>
    </row>
    <row r="22" spans="1:7" x14ac:dyDescent="0.3">
      <c r="A22" t="s">
        <v>847</v>
      </c>
      <c r="B22" t="s">
        <v>846</v>
      </c>
      <c r="C22" t="s">
        <v>72</v>
      </c>
      <c r="D22">
        <v>0.99622249603271484</v>
      </c>
      <c r="E22">
        <v>0.99648755788803101</v>
      </c>
      <c r="F22">
        <v>0.99635499715805054</v>
      </c>
      <c r="G22">
        <v>0.96058705172209735</v>
      </c>
    </row>
    <row r="23" spans="1:7" x14ac:dyDescent="0.3">
      <c r="A23" t="s">
        <v>845</v>
      </c>
      <c r="B23" t="s">
        <v>70</v>
      </c>
      <c r="C23" t="s">
        <v>69</v>
      </c>
      <c r="D23">
        <v>0.99999994039535522</v>
      </c>
      <c r="E23">
        <v>0.99999994039535522</v>
      </c>
      <c r="F23">
        <v>0.99999994039535522</v>
      </c>
      <c r="G23">
        <v>0</v>
      </c>
    </row>
    <row r="24" spans="1:7" x14ac:dyDescent="0.3">
      <c r="A24" t="s">
        <v>844</v>
      </c>
      <c r="B24" t="s">
        <v>318</v>
      </c>
      <c r="C24" t="s">
        <v>66</v>
      </c>
      <c r="D24">
        <v>0.99947440624237061</v>
      </c>
      <c r="E24">
        <v>0.99947440624237061</v>
      </c>
      <c r="F24">
        <v>0.99947440624237061</v>
      </c>
      <c r="G24">
        <v>1</v>
      </c>
    </row>
    <row r="25" spans="1:7" x14ac:dyDescent="0.3">
      <c r="A25" t="s">
        <v>843</v>
      </c>
      <c r="B25" t="s">
        <v>842</v>
      </c>
      <c r="C25" t="s">
        <v>63</v>
      </c>
      <c r="D25">
        <v>0.99844372272491455</v>
      </c>
      <c r="E25">
        <v>0.99844372272491455</v>
      </c>
      <c r="F25">
        <v>0.99844372272491455</v>
      </c>
      <c r="G25">
        <v>0.27531645569620261</v>
      </c>
    </row>
    <row r="26" spans="1:7" x14ac:dyDescent="0.3">
      <c r="A26" t="s">
        <v>841</v>
      </c>
      <c r="B26" t="s">
        <v>840</v>
      </c>
      <c r="C26" t="s">
        <v>60</v>
      </c>
      <c r="D26">
        <v>0.99829602241516113</v>
      </c>
      <c r="E26">
        <v>0.99829602241516113</v>
      </c>
      <c r="F26">
        <v>0.99829602241516113</v>
      </c>
      <c r="G26">
        <v>0.40234375</v>
      </c>
    </row>
    <row r="27" spans="1:7" x14ac:dyDescent="0.3">
      <c r="A27" t="s">
        <v>839</v>
      </c>
      <c r="B27" t="s">
        <v>768</v>
      </c>
      <c r="C27" t="s">
        <v>57</v>
      </c>
      <c r="D27">
        <v>0.9960368275642395</v>
      </c>
      <c r="E27">
        <v>0.9960368275642395</v>
      </c>
      <c r="F27">
        <v>0.9960368275642395</v>
      </c>
      <c r="G27">
        <v>3.0357142857142851</v>
      </c>
    </row>
    <row r="28" spans="1:7" x14ac:dyDescent="0.3">
      <c r="A28" t="s">
        <v>838</v>
      </c>
      <c r="B28" t="s">
        <v>837</v>
      </c>
      <c r="C28" t="s">
        <v>54</v>
      </c>
      <c r="D28">
        <v>0.99741435050964355</v>
      </c>
      <c r="E28">
        <v>0.99741435050964355</v>
      </c>
      <c r="F28">
        <v>0.99741435050964355</v>
      </c>
      <c r="G28">
        <v>0.32642487046632129</v>
      </c>
    </row>
    <row r="29" spans="1:7" x14ac:dyDescent="0.3">
      <c r="A29" t="s">
        <v>836</v>
      </c>
      <c r="B29" t="s">
        <v>835</v>
      </c>
      <c r="C29" t="s">
        <v>51</v>
      </c>
      <c r="D29">
        <v>0.99845230579376221</v>
      </c>
      <c r="E29">
        <v>0.99845230579376221</v>
      </c>
      <c r="F29">
        <v>0.99845230579376221</v>
      </c>
      <c r="G29">
        <v>2</v>
      </c>
    </row>
    <row r="30" spans="1:7" x14ac:dyDescent="0.3">
      <c r="A30" t="s">
        <v>834</v>
      </c>
      <c r="B30" t="s">
        <v>833</v>
      </c>
      <c r="C30" t="s">
        <v>48</v>
      </c>
      <c r="D30">
        <v>0.9974815845489502</v>
      </c>
      <c r="E30">
        <v>0.9974815845489502</v>
      </c>
      <c r="F30">
        <v>0.9974815845489502</v>
      </c>
      <c r="G30">
        <v>0.69435215946843876</v>
      </c>
    </row>
    <row r="31" spans="1:7" x14ac:dyDescent="0.3">
      <c r="A31" t="s">
        <v>832</v>
      </c>
      <c r="B31" t="s">
        <v>831</v>
      </c>
      <c r="C31" t="s">
        <v>45</v>
      </c>
      <c r="D31">
        <v>0.99601221084594727</v>
      </c>
      <c r="E31">
        <v>0.99601221084594727</v>
      </c>
      <c r="F31">
        <v>0.99601221084594727</v>
      </c>
      <c r="G31">
        <v>0.42148760330578511</v>
      </c>
    </row>
    <row r="32" spans="1:7" x14ac:dyDescent="0.3">
      <c r="A32" t="s">
        <v>830</v>
      </c>
      <c r="B32" t="s">
        <v>829</v>
      </c>
      <c r="C32" t="s">
        <v>42</v>
      </c>
      <c r="D32">
        <v>0.99413621425628662</v>
      </c>
      <c r="E32">
        <v>0.989510178565979</v>
      </c>
      <c r="F32">
        <v>0.99181783199310303</v>
      </c>
      <c r="G32">
        <v>0.9999969511273713</v>
      </c>
    </row>
    <row r="33" spans="1:7" x14ac:dyDescent="0.3">
      <c r="A33" t="s">
        <v>828</v>
      </c>
      <c r="B33" t="s">
        <v>827</v>
      </c>
      <c r="C33" t="s">
        <v>39</v>
      </c>
      <c r="D33">
        <v>0.99535214900970459</v>
      </c>
      <c r="E33">
        <v>0.99535214900970459</v>
      </c>
      <c r="F33">
        <v>0.99535214900970459</v>
      </c>
      <c r="G33">
        <v>0.625</v>
      </c>
    </row>
    <row r="34" spans="1:7" x14ac:dyDescent="0.3">
      <c r="A34" t="s">
        <v>826</v>
      </c>
      <c r="B34" t="s">
        <v>825</v>
      </c>
      <c r="C34" t="s">
        <v>36</v>
      </c>
      <c r="D34">
        <v>0.9991600513458252</v>
      </c>
      <c r="E34">
        <v>0.9991600513458252</v>
      </c>
      <c r="F34">
        <v>0.9991600513458252</v>
      </c>
      <c r="G34">
        <v>9.881422924901187E-2</v>
      </c>
    </row>
    <row r="35" spans="1:7" hidden="1" x14ac:dyDescent="0.3">
      <c r="A35" t="s">
        <v>824</v>
      </c>
      <c r="B35" t="s">
        <v>823</v>
      </c>
      <c r="C35" t="s">
        <v>33</v>
      </c>
      <c r="D35">
        <v>0.99802744388580322</v>
      </c>
      <c r="E35">
        <v>0.99802744388580322</v>
      </c>
      <c r="F35">
        <v>0.99802744388580322</v>
      </c>
      <c r="G35">
        <v>46.999999999999993</v>
      </c>
    </row>
    <row r="36" spans="1:7" x14ac:dyDescent="0.3">
      <c r="A36" t="s">
        <v>822</v>
      </c>
      <c r="B36" t="s">
        <v>821</v>
      </c>
      <c r="C36" t="s">
        <v>30</v>
      </c>
      <c r="D36">
        <v>0.99880290031433105</v>
      </c>
      <c r="E36">
        <v>0.99880290031433105</v>
      </c>
      <c r="F36">
        <v>0.99880290031433105</v>
      </c>
      <c r="G36">
        <v>0.80952380952380965</v>
      </c>
    </row>
    <row r="37" spans="1:7" x14ac:dyDescent="0.3">
      <c r="A37" t="s">
        <v>820</v>
      </c>
      <c r="B37" t="s">
        <v>819</v>
      </c>
      <c r="C37" t="s">
        <v>27</v>
      </c>
      <c r="D37">
        <v>0.99833279848098755</v>
      </c>
      <c r="E37">
        <v>0.99833279848098755</v>
      </c>
      <c r="F37">
        <v>0.99833279848098755</v>
      </c>
      <c r="G37">
        <v>2.0733752620545078</v>
      </c>
    </row>
    <row r="38" spans="1:7" x14ac:dyDescent="0.3">
      <c r="A38" t="s">
        <v>818</v>
      </c>
      <c r="B38" t="s">
        <v>817</v>
      </c>
      <c r="C38" t="s">
        <v>24</v>
      </c>
      <c r="D38">
        <v>0.99844837188720703</v>
      </c>
      <c r="E38">
        <v>0.99844837188720703</v>
      </c>
      <c r="F38">
        <v>0.99844837188720703</v>
      </c>
      <c r="G38">
        <v>0.19243986254295531</v>
      </c>
    </row>
    <row r="39" spans="1:7" x14ac:dyDescent="0.3">
      <c r="A39" t="s">
        <v>816</v>
      </c>
      <c r="B39" t="s">
        <v>815</v>
      </c>
      <c r="C39" t="s">
        <v>21</v>
      </c>
      <c r="D39">
        <v>0.99730062484741211</v>
      </c>
      <c r="E39">
        <v>0.99730062484741211</v>
      </c>
      <c r="F39">
        <v>0.99730062484741211</v>
      </c>
      <c r="G39">
        <v>2.725352112676056</v>
      </c>
    </row>
    <row r="40" spans="1:7" x14ac:dyDescent="0.3">
      <c r="A40" t="s">
        <v>814</v>
      </c>
      <c r="B40" t="s">
        <v>139</v>
      </c>
      <c r="C40" t="s">
        <v>18</v>
      </c>
      <c r="D40">
        <v>0.99942684173583984</v>
      </c>
      <c r="E40">
        <v>0.99942684173583984</v>
      </c>
      <c r="F40">
        <v>0.99942684173583984</v>
      </c>
      <c r="G40">
        <v>8.8235294117647134E-2</v>
      </c>
    </row>
    <row r="41" spans="1:7" x14ac:dyDescent="0.3">
      <c r="A41" t="s">
        <v>813</v>
      </c>
      <c r="B41" t="s">
        <v>812</v>
      </c>
      <c r="C41" t="s">
        <v>15</v>
      </c>
      <c r="D41">
        <v>0.99557149410247803</v>
      </c>
      <c r="E41">
        <v>0.99557149410247803</v>
      </c>
      <c r="F41">
        <v>0.99557149410247803</v>
      </c>
      <c r="G41">
        <v>0.82804766269477537</v>
      </c>
    </row>
    <row r="42" spans="1:7" hidden="1" x14ac:dyDescent="0.3">
      <c r="A42" t="s">
        <v>811</v>
      </c>
      <c r="B42" t="s">
        <v>810</v>
      </c>
      <c r="C42" t="s">
        <v>12</v>
      </c>
      <c r="D42">
        <v>0.99584096670150757</v>
      </c>
      <c r="E42">
        <v>0.99584096670150757</v>
      </c>
      <c r="F42">
        <v>0.99584096670150757</v>
      </c>
      <c r="G42">
        <v>26.357142857142851</v>
      </c>
    </row>
    <row r="43" spans="1:7" x14ac:dyDescent="0.3">
      <c r="A43" t="s">
        <v>809</v>
      </c>
      <c r="B43" t="s">
        <v>808</v>
      </c>
      <c r="C43" t="s">
        <v>9</v>
      </c>
      <c r="D43">
        <v>0.99939650297164917</v>
      </c>
      <c r="E43">
        <v>0.99939650297164917</v>
      </c>
      <c r="F43">
        <v>0.99939650297164917</v>
      </c>
      <c r="G43">
        <v>2.447552447552458E-2</v>
      </c>
    </row>
    <row r="44" spans="1:7" x14ac:dyDescent="0.3">
      <c r="A44" t="s">
        <v>807</v>
      </c>
      <c r="B44" t="s">
        <v>806</v>
      </c>
      <c r="C44" t="s">
        <v>6</v>
      </c>
      <c r="D44">
        <v>0.99885141849517822</v>
      </c>
      <c r="E44">
        <v>0.99885141849517822</v>
      </c>
      <c r="F44">
        <v>0.99885141849517822</v>
      </c>
      <c r="G44">
        <v>0.1646234676007006</v>
      </c>
    </row>
    <row r="45" spans="1:7" x14ac:dyDescent="0.3">
      <c r="A45" t="s">
        <v>805</v>
      </c>
      <c r="B45" t="s">
        <v>456</v>
      </c>
      <c r="C45" t="s">
        <v>3</v>
      </c>
      <c r="D45">
        <v>0.99589109420776367</v>
      </c>
      <c r="E45">
        <v>0.99589109420776367</v>
      </c>
      <c r="F45">
        <v>0.99589109420776367</v>
      </c>
      <c r="G45">
        <v>1.5641025641025641</v>
      </c>
    </row>
    <row r="46" spans="1:7" hidden="1" x14ac:dyDescent="0.3">
      <c r="A46" t="s">
        <v>804</v>
      </c>
      <c r="B46" t="s">
        <v>803</v>
      </c>
      <c r="C46" t="s">
        <v>0</v>
      </c>
      <c r="D46">
        <v>0.99617230892181396</v>
      </c>
      <c r="E46">
        <v>0.99617230892181396</v>
      </c>
      <c r="F46">
        <v>0.99617230892181396</v>
      </c>
      <c r="G46">
        <v>12.583586626139819</v>
      </c>
    </row>
    <row r="47" spans="1:7" x14ac:dyDescent="0.3">
      <c r="A47" t="s">
        <v>802</v>
      </c>
      <c r="B47" t="s">
        <v>801</v>
      </c>
      <c r="C47" t="s">
        <v>264</v>
      </c>
      <c r="D47">
        <v>0.99820232391357422</v>
      </c>
      <c r="E47">
        <v>0.99820232391357422</v>
      </c>
      <c r="F47">
        <v>0.99820232391357422</v>
      </c>
      <c r="G47">
        <v>1</v>
      </c>
    </row>
    <row r="48" spans="1:7" x14ac:dyDescent="0.3">
      <c r="A48" t="s">
        <v>800</v>
      </c>
      <c r="B48" t="s">
        <v>799</v>
      </c>
      <c r="C48" t="s">
        <v>261</v>
      </c>
      <c r="D48">
        <v>0.99906551837921143</v>
      </c>
      <c r="E48">
        <v>0.99906551837921143</v>
      </c>
      <c r="F48">
        <v>0.99906551837921143</v>
      </c>
      <c r="G48">
        <v>0.32513661202185778</v>
      </c>
    </row>
    <row r="49" spans="1:7" x14ac:dyDescent="0.3">
      <c r="A49" t="s">
        <v>798</v>
      </c>
      <c r="B49" t="s">
        <v>797</v>
      </c>
      <c r="C49" t="s">
        <v>258</v>
      </c>
      <c r="D49">
        <v>0.99797391891479492</v>
      </c>
      <c r="E49">
        <v>0.99797391891479492</v>
      </c>
      <c r="F49">
        <v>0.99797391891479492</v>
      </c>
      <c r="G49">
        <v>0.76760563380281688</v>
      </c>
    </row>
    <row r="50" spans="1:7" x14ac:dyDescent="0.3">
      <c r="A50" t="s">
        <v>796</v>
      </c>
      <c r="B50" t="s">
        <v>795</v>
      </c>
      <c r="C50" t="s">
        <v>255</v>
      </c>
      <c r="D50">
        <v>0.998607337474823</v>
      </c>
      <c r="E50">
        <v>0.998607337474823</v>
      </c>
      <c r="F50">
        <v>0.998607337474823</v>
      </c>
      <c r="G50">
        <v>1.382352941176471</v>
      </c>
    </row>
    <row r="51" spans="1:7" x14ac:dyDescent="0.3">
      <c r="A51" t="s">
        <v>794</v>
      </c>
      <c r="B51" t="s">
        <v>793</v>
      </c>
      <c r="C51" t="s">
        <v>252</v>
      </c>
      <c r="D51">
        <v>0.99764299392700195</v>
      </c>
      <c r="E51">
        <v>0.99764299392700195</v>
      </c>
      <c r="F51">
        <v>0.99764299392700195</v>
      </c>
      <c r="G51">
        <v>0.60071942446043158</v>
      </c>
    </row>
    <row r="52" spans="1:7" x14ac:dyDescent="0.3">
      <c r="A52" t="s">
        <v>792</v>
      </c>
      <c r="B52" t="s">
        <v>791</v>
      </c>
      <c r="C52" t="s">
        <v>249</v>
      </c>
      <c r="D52">
        <v>0.99673348665237427</v>
      </c>
      <c r="E52">
        <v>0.99673348665237427</v>
      </c>
      <c r="F52">
        <v>0.99673348665237427</v>
      </c>
      <c r="G52">
        <v>0.86601912953214211</v>
      </c>
    </row>
    <row r="53" spans="1:7" x14ac:dyDescent="0.3">
      <c r="A53" t="s">
        <v>790</v>
      </c>
      <c r="B53" t="s">
        <v>438</v>
      </c>
      <c r="C53" t="s">
        <v>246</v>
      </c>
      <c r="D53">
        <v>0.9953961968421936</v>
      </c>
      <c r="E53">
        <v>0.9953961968421936</v>
      </c>
      <c r="F53">
        <v>0.9953961968421936</v>
      </c>
      <c r="G53">
        <v>0.97883597883597884</v>
      </c>
    </row>
    <row r="54" spans="1:7" x14ac:dyDescent="0.3">
      <c r="A54" t="s">
        <v>789</v>
      </c>
      <c r="B54" t="s">
        <v>788</v>
      </c>
      <c r="C54" t="s">
        <v>243</v>
      </c>
      <c r="D54">
        <v>0.99674594402313232</v>
      </c>
      <c r="E54">
        <v>0.99674594402313232</v>
      </c>
      <c r="F54">
        <v>0.99674594402313232</v>
      </c>
      <c r="G54">
        <v>0.67045454545454541</v>
      </c>
    </row>
    <row r="55" spans="1:7" x14ac:dyDescent="0.3">
      <c r="A55" t="s">
        <v>787</v>
      </c>
      <c r="B55" t="s">
        <v>786</v>
      </c>
      <c r="C55" t="s">
        <v>241</v>
      </c>
      <c r="D55">
        <v>0.99912697076797485</v>
      </c>
      <c r="E55">
        <v>0.99912697076797485</v>
      </c>
      <c r="F55">
        <v>0.99912697076797485</v>
      </c>
      <c r="G55">
        <v>0.51351351351351349</v>
      </c>
    </row>
    <row r="56" spans="1:7" x14ac:dyDescent="0.3">
      <c r="A56" t="s">
        <v>785</v>
      </c>
      <c r="B56" t="s">
        <v>784</v>
      </c>
      <c r="C56" t="s">
        <v>238</v>
      </c>
      <c r="D56">
        <v>0.98841935396194458</v>
      </c>
      <c r="E56">
        <v>0.94554507732391357</v>
      </c>
      <c r="F56">
        <v>0.9665069580078125</v>
      </c>
      <c r="G56">
        <v>0.95437499999999997</v>
      </c>
    </row>
    <row r="57" spans="1:7" x14ac:dyDescent="0.3">
      <c r="A57" t="s">
        <v>783</v>
      </c>
      <c r="B57" t="s">
        <v>782</v>
      </c>
      <c r="C57" t="s">
        <v>235</v>
      </c>
      <c r="D57">
        <v>0.99883687496185303</v>
      </c>
      <c r="E57">
        <v>0.99883687496185303</v>
      </c>
      <c r="F57">
        <v>0.99883687496185303</v>
      </c>
      <c r="G57">
        <v>0.60465116279069775</v>
      </c>
    </row>
    <row r="58" spans="1:7" x14ac:dyDescent="0.3">
      <c r="A58" t="s">
        <v>781</v>
      </c>
      <c r="B58" t="s">
        <v>780</v>
      </c>
      <c r="C58" t="s">
        <v>232</v>
      </c>
      <c r="D58">
        <v>0.99849283695220947</v>
      </c>
      <c r="E58">
        <v>0.99849283695220947</v>
      </c>
      <c r="F58">
        <v>0.99849283695220947</v>
      </c>
      <c r="G58">
        <v>4.666666666666667</v>
      </c>
    </row>
    <row r="59" spans="1:7" x14ac:dyDescent="0.3">
      <c r="A59" t="s">
        <v>779</v>
      </c>
      <c r="B59" t="s">
        <v>778</v>
      </c>
      <c r="C59" t="s">
        <v>229</v>
      </c>
      <c r="D59">
        <v>0.99875068664550781</v>
      </c>
      <c r="E59">
        <v>0.99875068664550781</v>
      </c>
      <c r="F59">
        <v>0.99875068664550781</v>
      </c>
      <c r="G59">
        <v>0.62689225289403372</v>
      </c>
    </row>
    <row r="60" spans="1:7" x14ac:dyDescent="0.3">
      <c r="A60" t="s">
        <v>777</v>
      </c>
      <c r="B60" t="s">
        <v>674</v>
      </c>
      <c r="C60" t="s">
        <v>227</v>
      </c>
      <c r="D60">
        <v>1</v>
      </c>
      <c r="E60">
        <v>1</v>
      </c>
      <c r="F60">
        <v>1</v>
      </c>
      <c r="G60">
        <v>0</v>
      </c>
    </row>
    <row r="61" spans="1:7" x14ac:dyDescent="0.3">
      <c r="A61" t="s">
        <v>776</v>
      </c>
      <c r="B61" t="s">
        <v>775</v>
      </c>
      <c r="C61" t="s">
        <v>224</v>
      </c>
      <c r="D61">
        <v>0.99847507476806641</v>
      </c>
      <c r="E61">
        <v>0.99847507476806641</v>
      </c>
      <c r="F61">
        <v>0.99847507476806641</v>
      </c>
      <c r="G61">
        <v>0.68217054263565879</v>
      </c>
    </row>
    <row r="62" spans="1:7" x14ac:dyDescent="0.3">
      <c r="A62" t="s">
        <v>774</v>
      </c>
      <c r="B62" t="s">
        <v>222</v>
      </c>
      <c r="C62" t="s">
        <v>221</v>
      </c>
      <c r="D62">
        <v>0.99930942058563232</v>
      </c>
      <c r="E62">
        <v>0.99930942058563232</v>
      </c>
      <c r="F62">
        <v>0.99930942058563232</v>
      </c>
      <c r="G62">
        <v>0.7142857142857143</v>
      </c>
    </row>
    <row r="63" spans="1:7" x14ac:dyDescent="0.3">
      <c r="A63" t="s">
        <v>773</v>
      </c>
      <c r="B63" t="s">
        <v>772</v>
      </c>
      <c r="C63" t="s">
        <v>218</v>
      </c>
      <c r="D63">
        <v>0.99338364601135254</v>
      </c>
      <c r="E63">
        <v>0.99613428115844727</v>
      </c>
      <c r="F63">
        <v>0.99475705623626709</v>
      </c>
      <c r="G63">
        <v>0.45183398422543841</v>
      </c>
    </row>
    <row r="64" spans="1:7" x14ac:dyDescent="0.3">
      <c r="A64" t="s">
        <v>771</v>
      </c>
      <c r="B64" t="s">
        <v>770</v>
      </c>
      <c r="C64" t="s">
        <v>215</v>
      </c>
      <c r="D64">
        <v>0.99685925245285034</v>
      </c>
      <c r="E64">
        <v>0.99685925245285034</v>
      </c>
      <c r="F64">
        <v>0.99685925245285034</v>
      </c>
      <c r="G64">
        <v>0.64898466639038532</v>
      </c>
    </row>
    <row r="65" spans="1:7" x14ac:dyDescent="0.3">
      <c r="A65" t="s">
        <v>769</v>
      </c>
      <c r="B65" t="s">
        <v>768</v>
      </c>
      <c r="C65" t="s">
        <v>212</v>
      </c>
      <c r="D65">
        <v>0.9960821270942688</v>
      </c>
      <c r="E65">
        <v>0.9960821270942688</v>
      </c>
      <c r="F65">
        <v>0.9960821270942688</v>
      </c>
      <c r="G65">
        <v>3.3461538461538458</v>
      </c>
    </row>
    <row r="66" spans="1:7" x14ac:dyDescent="0.3">
      <c r="A66" t="s">
        <v>767</v>
      </c>
      <c r="B66" t="s">
        <v>766</v>
      </c>
      <c r="C66" t="s">
        <v>209</v>
      </c>
      <c r="D66">
        <v>0.99581849575042725</v>
      </c>
      <c r="E66">
        <v>0.99581849575042725</v>
      </c>
      <c r="F66">
        <v>0.99581849575042725</v>
      </c>
      <c r="G66">
        <v>0.48568588469184881</v>
      </c>
    </row>
    <row r="67" spans="1:7" x14ac:dyDescent="0.3">
      <c r="A67" t="s">
        <v>765</v>
      </c>
      <c r="B67" t="s">
        <v>764</v>
      </c>
      <c r="C67" t="s">
        <v>206</v>
      </c>
      <c r="D67">
        <v>0.9969559907913208</v>
      </c>
      <c r="E67">
        <v>0.9969559907913208</v>
      </c>
      <c r="F67">
        <v>0.9969559907913208</v>
      </c>
      <c r="G67">
        <v>2.4950738916256161</v>
      </c>
    </row>
    <row r="68" spans="1:7" x14ac:dyDescent="0.3">
      <c r="A68" t="s">
        <v>763</v>
      </c>
      <c r="B68" t="s">
        <v>762</v>
      </c>
      <c r="C68" t="s">
        <v>203</v>
      </c>
      <c r="D68">
        <v>0.99859052896499634</v>
      </c>
      <c r="E68">
        <v>0.99859052896499634</v>
      </c>
      <c r="F68">
        <v>0.99859052896499634</v>
      </c>
      <c r="G68">
        <v>0.26479750778816202</v>
      </c>
    </row>
    <row r="69" spans="1:7" x14ac:dyDescent="0.3">
      <c r="A69" t="s">
        <v>761</v>
      </c>
      <c r="B69" t="s">
        <v>760</v>
      </c>
      <c r="C69" t="s">
        <v>200</v>
      </c>
      <c r="D69">
        <v>0.99860382080078125</v>
      </c>
      <c r="E69">
        <v>0.99860382080078125</v>
      </c>
      <c r="F69">
        <v>0.99860382080078125</v>
      </c>
      <c r="G69">
        <v>0.83720930232558133</v>
      </c>
    </row>
    <row r="70" spans="1:7" x14ac:dyDescent="0.3">
      <c r="A70" t="s">
        <v>759</v>
      </c>
      <c r="B70" t="s">
        <v>758</v>
      </c>
      <c r="C70" t="s">
        <v>197</v>
      </c>
      <c r="D70">
        <v>0.99383461475372314</v>
      </c>
      <c r="E70">
        <v>0.98876309394836426</v>
      </c>
      <c r="F70">
        <v>0.99129235744476318</v>
      </c>
      <c r="G70">
        <v>0.99662547088988807</v>
      </c>
    </row>
    <row r="71" spans="1:7" x14ac:dyDescent="0.3">
      <c r="A71" t="s">
        <v>757</v>
      </c>
      <c r="B71" t="s">
        <v>756</v>
      </c>
      <c r="C71" t="s">
        <v>194</v>
      </c>
      <c r="D71">
        <v>0.99810552597045898</v>
      </c>
      <c r="E71">
        <v>0.99810552597045898</v>
      </c>
      <c r="F71">
        <v>0.99810552597045898</v>
      </c>
      <c r="G71">
        <v>0.80232558139534882</v>
      </c>
    </row>
    <row r="72" spans="1:7" x14ac:dyDescent="0.3">
      <c r="A72" t="s">
        <v>755</v>
      </c>
      <c r="B72" t="s">
        <v>754</v>
      </c>
      <c r="C72" t="s">
        <v>191</v>
      </c>
      <c r="D72">
        <v>0.9978715181350708</v>
      </c>
      <c r="E72">
        <v>0.9978715181350708</v>
      </c>
      <c r="F72">
        <v>0.9978715181350708</v>
      </c>
      <c r="G72">
        <v>0.16279069767441859</v>
      </c>
    </row>
    <row r="73" spans="1:7" x14ac:dyDescent="0.3">
      <c r="A73" t="s">
        <v>753</v>
      </c>
      <c r="B73" t="s">
        <v>752</v>
      </c>
      <c r="C73" t="s">
        <v>188</v>
      </c>
      <c r="D73">
        <v>0.9976317286491394</v>
      </c>
      <c r="E73">
        <v>0.9976317286491394</v>
      </c>
      <c r="F73">
        <v>0.9976317286491394</v>
      </c>
      <c r="G73">
        <v>0.91056910569105698</v>
      </c>
    </row>
    <row r="74" spans="1:7" x14ac:dyDescent="0.3">
      <c r="A74" t="s">
        <v>751</v>
      </c>
      <c r="B74" t="s">
        <v>750</v>
      </c>
      <c r="C74" t="s">
        <v>185</v>
      </c>
      <c r="D74">
        <v>0.9954533576965332</v>
      </c>
      <c r="E74">
        <v>0.99557626247406006</v>
      </c>
      <c r="F74">
        <v>0.99551475048065186</v>
      </c>
      <c r="G74">
        <v>0.95634095634095639</v>
      </c>
    </row>
    <row r="75" spans="1:7" x14ac:dyDescent="0.3">
      <c r="A75" t="s">
        <v>749</v>
      </c>
      <c r="B75" t="s">
        <v>748</v>
      </c>
      <c r="C75" t="s">
        <v>182</v>
      </c>
      <c r="D75">
        <v>0.99581348896026611</v>
      </c>
      <c r="E75">
        <v>0.99581348896026611</v>
      </c>
      <c r="F75">
        <v>0.99581348896026611</v>
      </c>
      <c r="G75">
        <v>0.80547112462006076</v>
      </c>
    </row>
    <row r="76" spans="1:7" x14ac:dyDescent="0.3">
      <c r="A76" t="s">
        <v>747</v>
      </c>
      <c r="B76" t="s">
        <v>746</v>
      </c>
      <c r="C76" t="s">
        <v>179</v>
      </c>
      <c r="D76">
        <v>0.99796456098556519</v>
      </c>
      <c r="E76">
        <v>0.99796456098556519</v>
      </c>
      <c r="F76">
        <v>0.99796456098556519</v>
      </c>
      <c r="G76">
        <v>0.18883248730964469</v>
      </c>
    </row>
    <row r="77" spans="1:7" x14ac:dyDescent="0.3">
      <c r="A77" t="s">
        <v>745</v>
      </c>
      <c r="B77" t="s">
        <v>744</v>
      </c>
      <c r="C77" t="s">
        <v>176</v>
      </c>
      <c r="D77">
        <v>0.99641168117523193</v>
      </c>
      <c r="E77">
        <v>0.99641168117523193</v>
      </c>
      <c r="F77">
        <v>0.99641168117523193</v>
      </c>
      <c r="G77">
        <v>0.65341264871634319</v>
      </c>
    </row>
    <row r="78" spans="1:7" x14ac:dyDescent="0.3">
      <c r="A78" t="s">
        <v>743</v>
      </c>
      <c r="B78" t="s">
        <v>742</v>
      </c>
      <c r="C78" t="s">
        <v>173</v>
      </c>
      <c r="D78">
        <v>0.99919062852859497</v>
      </c>
      <c r="E78">
        <v>0.99919062852859497</v>
      </c>
      <c r="F78">
        <v>0.99919062852859497</v>
      </c>
      <c r="G78">
        <v>0.1388888888888889</v>
      </c>
    </row>
    <row r="79" spans="1:7" x14ac:dyDescent="0.3">
      <c r="A79" t="s">
        <v>741</v>
      </c>
      <c r="B79" t="s">
        <v>740</v>
      </c>
      <c r="C79" t="s">
        <v>170</v>
      </c>
      <c r="D79">
        <v>0.99786478281021118</v>
      </c>
      <c r="E79">
        <v>0.99786478281021118</v>
      </c>
      <c r="F79">
        <v>0.99786478281021118</v>
      </c>
      <c r="G79">
        <v>0.54791868344627304</v>
      </c>
    </row>
    <row r="80" spans="1:7" x14ac:dyDescent="0.3">
      <c r="A80" t="s">
        <v>739</v>
      </c>
      <c r="B80" t="s">
        <v>738</v>
      </c>
      <c r="C80" t="s">
        <v>167</v>
      </c>
      <c r="D80">
        <v>0.99999994039535522</v>
      </c>
      <c r="E80">
        <v>0.99999994039535522</v>
      </c>
      <c r="F80">
        <v>0.99999994039535522</v>
      </c>
      <c r="G80">
        <v>0</v>
      </c>
    </row>
    <row r="81" spans="1:7" x14ac:dyDescent="0.3">
      <c r="A81" t="s">
        <v>737</v>
      </c>
      <c r="B81" t="s">
        <v>736</v>
      </c>
      <c r="C81" t="s">
        <v>164</v>
      </c>
      <c r="D81">
        <v>0.99813312292098999</v>
      </c>
      <c r="E81">
        <v>0.99813312292098999</v>
      </c>
      <c r="F81">
        <v>0.99813312292098999</v>
      </c>
      <c r="G81">
        <v>0.98765432098765427</v>
      </c>
    </row>
    <row r="82" spans="1:7" x14ac:dyDescent="0.3">
      <c r="A82" t="s">
        <v>735</v>
      </c>
      <c r="B82" t="s">
        <v>734</v>
      </c>
      <c r="C82" t="s">
        <v>162</v>
      </c>
      <c r="D82">
        <v>0.99941384792327881</v>
      </c>
      <c r="E82">
        <v>0.99941384792327881</v>
      </c>
      <c r="F82">
        <v>0.99941384792327881</v>
      </c>
      <c r="G82">
        <v>5.7692307692307737E-2</v>
      </c>
    </row>
    <row r="83" spans="1:7" x14ac:dyDescent="0.3">
      <c r="A83" t="s">
        <v>733</v>
      </c>
      <c r="B83" t="s">
        <v>732</v>
      </c>
      <c r="C83" t="s">
        <v>159</v>
      </c>
      <c r="D83">
        <v>0.99405211210250854</v>
      </c>
      <c r="E83">
        <v>0.99405211210250854</v>
      </c>
      <c r="F83">
        <v>0.99405211210250854</v>
      </c>
      <c r="G83">
        <v>0.83471074380165289</v>
      </c>
    </row>
    <row r="84" spans="1:7" x14ac:dyDescent="0.3">
      <c r="A84" t="s">
        <v>731</v>
      </c>
      <c r="B84" t="s">
        <v>730</v>
      </c>
      <c r="C84" t="s">
        <v>156</v>
      </c>
      <c r="D84">
        <v>0.99766433238983154</v>
      </c>
      <c r="E84">
        <v>0.99766433238983154</v>
      </c>
      <c r="F84">
        <v>0.99766433238983154</v>
      </c>
      <c r="G84">
        <v>0.72612801678908712</v>
      </c>
    </row>
    <row r="85" spans="1:7" x14ac:dyDescent="0.3">
      <c r="A85" t="s">
        <v>729</v>
      </c>
      <c r="B85" t="s">
        <v>728</v>
      </c>
      <c r="C85" t="s">
        <v>153</v>
      </c>
      <c r="D85">
        <v>0.99603486061096191</v>
      </c>
      <c r="E85">
        <v>0.99603486061096191</v>
      </c>
      <c r="F85">
        <v>0.99603486061096191</v>
      </c>
      <c r="G85">
        <v>2.7080645161290322</v>
      </c>
    </row>
    <row r="86" spans="1:7" x14ac:dyDescent="0.3">
      <c r="A86" t="s">
        <v>727</v>
      </c>
      <c r="B86" t="s">
        <v>726</v>
      </c>
      <c r="C86" t="s">
        <v>150</v>
      </c>
      <c r="D86">
        <v>0.9984515905380249</v>
      </c>
      <c r="E86">
        <v>0.9984515905380249</v>
      </c>
      <c r="F86">
        <v>0.9984515905380249</v>
      </c>
      <c r="G86">
        <v>4.3333333333333339</v>
      </c>
    </row>
    <row r="87" spans="1:7" x14ac:dyDescent="0.3">
      <c r="A87" t="s">
        <v>725</v>
      </c>
      <c r="B87" t="s">
        <v>724</v>
      </c>
      <c r="C87" t="s">
        <v>147</v>
      </c>
      <c r="D87">
        <v>0.99752700328826904</v>
      </c>
      <c r="E87">
        <v>0.99752700328826904</v>
      </c>
      <c r="F87">
        <v>0.99752700328826904</v>
      </c>
      <c r="G87">
        <v>3.6883561643835621</v>
      </c>
    </row>
    <row r="88" spans="1:7" x14ac:dyDescent="0.3">
      <c r="A88" t="s">
        <v>723</v>
      </c>
      <c r="B88" t="s">
        <v>722</v>
      </c>
      <c r="C88" t="s">
        <v>144</v>
      </c>
      <c r="D88">
        <v>0.99690228700637817</v>
      </c>
      <c r="E88">
        <v>0.99690228700637817</v>
      </c>
      <c r="F88">
        <v>0.99690228700637817</v>
      </c>
      <c r="G88">
        <v>0.91525423728813549</v>
      </c>
    </row>
    <row r="89" spans="1:7" x14ac:dyDescent="0.3">
      <c r="A89" t="s">
        <v>721</v>
      </c>
      <c r="B89" t="s">
        <v>720</v>
      </c>
      <c r="C89" t="s">
        <v>141</v>
      </c>
      <c r="D89">
        <v>0.99838697910308838</v>
      </c>
      <c r="E89">
        <v>0.99838697910308838</v>
      </c>
      <c r="F89">
        <v>0.99838697910308838</v>
      </c>
      <c r="G89">
        <v>0.36525143029208079</v>
      </c>
    </row>
    <row r="90" spans="1:7" x14ac:dyDescent="0.3">
      <c r="A90" t="s">
        <v>719</v>
      </c>
      <c r="B90" t="s">
        <v>718</v>
      </c>
      <c r="C90" t="s">
        <v>138</v>
      </c>
      <c r="D90">
        <v>0.9959794282913208</v>
      </c>
      <c r="E90">
        <v>0.9959794282913208</v>
      </c>
      <c r="F90">
        <v>0.9959794282913208</v>
      </c>
      <c r="G90">
        <v>0.57547169811320764</v>
      </c>
    </row>
    <row r="91" spans="1:7" hidden="1" x14ac:dyDescent="0.3">
      <c r="A91" t="s">
        <v>717</v>
      </c>
      <c r="B91" t="s">
        <v>716</v>
      </c>
      <c r="C91" t="s">
        <v>135</v>
      </c>
      <c r="D91">
        <v>0.96457815170288086</v>
      </c>
      <c r="E91">
        <v>0.99080759286880493</v>
      </c>
      <c r="F91">
        <v>0.97751700878143311</v>
      </c>
      <c r="G91">
        <v>1184265765508.845</v>
      </c>
    </row>
    <row r="92" spans="1:7" hidden="1" x14ac:dyDescent="0.3">
      <c r="D92">
        <f>AVERAGE(D2:D91)</f>
        <v>0.99692602488729687</v>
      </c>
      <c r="E92">
        <f t="shared" ref="E92:F92" si="0">AVERAGE(E2:E91)</f>
        <v>0.99674810568491623</v>
      </c>
      <c r="F92">
        <f t="shared" si="0"/>
        <v>0.9968295693397522</v>
      </c>
    </row>
  </sheetData>
  <autoFilter ref="A1:G92" xr:uid="{895AA031-C3D3-45A0-822A-841063B3BA1A}">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9B5C-903A-497E-955C-B00F455BFA6E}">
  <sheetPr filterMode="1"/>
  <dimension ref="A1:G92"/>
  <sheetViews>
    <sheetView topLeftCell="A61" zoomScale="40" zoomScaleNormal="40" workbookViewId="0">
      <selection activeCell="B82" sqref="B82"/>
    </sheetView>
  </sheetViews>
  <sheetFormatPr defaultRowHeight="14" x14ac:dyDescent="0.3"/>
  <sheetData>
    <row r="1" spans="1:7" x14ac:dyDescent="0.3">
      <c r="A1" s="1" t="s">
        <v>273</v>
      </c>
      <c r="B1" s="1" t="s">
        <v>272</v>
      </c>
      <c r="C1" s="1" t="s">
        <v>271</v>
      </c>
      <c r="D1" s="1" t="s">
        <v>270</v>
      </c>
      <c r="E1" s="1" t="s">
        <v>269</v>
      </c>
      <c r="F1" s="1" t="s">
        <v>268</v>
      </c>
      <c r="G1" s="1" t="s">
        <v>267</v>
      </c>
    </row>
    <row r="2" spans="1:7" ht="409.5" x14ac:dyDescent="0.3">
      <c r="A2" t="s">
        <v>1150</v>
      </c>
      <c r="B2" s="6" t="s">
        <v>1164</v>
      </c>
      <c r="C2" s="6" t="s">
        <v>1163</v>
      </c>
      <c r="D2">
        <v>0.99870765209197998</v>
      </c>
      <c r="E2">
        <v>0.99870765209197998</v>
      </c>
      <c r="F2">
        <v>0.99870765209197998</v>
      </c>
      <c r="G2">
        <v>1.285714285714286</v>
      </c>
    </row>
    <row r="3" spans="1:7" x14ac:dyDescent="0.3">
      <c r="A3" t="s">
        <v>1149</v>
      </c>
      <c r="B3" t="s">
        <v>1148</v>
      </c>
      <c r="C3" t="s">
        <v>1147</v>
      </c>
      <c r="D3">
        <v>0.99828505516052246</v>
      </c>
      <c r="E3">
        <v>0.99828505516052246</v>
      </c>
      <c r="F3">
        <v>0.99828505516052246</v>
      </c>
      <c r="G3">
        <v>0.5</v>
      </c>
    </row>
    <row r="4" spans="1:7" x14ac:dyDescent="0.3">
      <c r="A4" t="s">
        <v>1146</v>
      </c>
      <c r="B4" t="s">
        <v>1145</v>
      </c>
      <c r="C4" t="s">
        <v>1144</v>
      </c>
      <c r="D4">
        <v>0.99619913101196289</v>
      </c>
      <c r="E4">
        <v>0.99619913101196289</v>
      </c>
      <c r="F4">
        <v>0.99619913101196289</v>
      </c>
      <c r="G4">
        <v>0.61971830985915488</v>
      </c>
    </row>
    <row r="5" spans="1:7" x14ac:dyDescent="0.3">
      <c r="A5" t="s">
        <v>1143</v>
      </c>
      <c r="B5" t="s">
        <v>1142</v>
      </c>
      <c r="C5" t="s">
        <v>1141</v>
      </c>
      <c r="D5">
        <v>0.99717307090759277</v>
      </c>
      <c r="E5">
        <v>0.99717307090759277</v>
      </c>
      <c r="F5">
        <v>0.99717307090759277</v>
      </c>
      <c r="G5">
        <v>0.70588235294117652</v>
      </c>
    </row>
    <row r="6" spans="1:7" x14ac:dyDescent="0.3">
      <c r="A6" t="s">
        <v>1140</v>
      </c>
      <c r="B6" t="s">
        <v>1139</v>
      </c>
      <c r="C6" t="s">
        <v>1138</v>
      </c>
      <c r="D6">
        <v>0.99863016605377197</v>
      </c>
      <c r="E6">
        <v>0.99863016605377197</v>
      </c>
      <c r="F6">
        <v>0.99863016605377197</v>
      </c>
      <c r="G6">
        <v>0.12949640287769801</v>
      </c>
    </row>
    <row r="7" spans="1:7" x14ac:dyDescent="0.3">
      <c r="A7" t="s">
        <v>1137</v>
      </c>
      <c r="B7" t="s">
        <v>1136</v>
      </c>
      <c r="C7" t="s">
        <v>1135</v>
      </c>
      <c r="D7">
        <v>0.85008507966995239</v>
      </c>
      <c r="E7">
        <v>0.46966719627380371</v>
      </c>
      <c r="F7">
        <v>0.6050485372543335</v>
      </c>
      <c r="G7">
        <v>0.99977756357974346</v>
      </c>
    </row>
    <row r="8" spans="1:7" x14ac:dyDescent="0.3">
      <c r="A8" t="s">
        <v>1134</v>
      </c>
      <c r="B8" t="s">
        <v>1133</v>
      </c>
      <c r="C8" t="s">
        <v>1132</v>
      </c>
      <c r="D8">
        <v>0.99493575096130371</v>
      </c>
      <c r="E8">
        <v>0.99493575096130371</v>
      </c>
      <c r="F8">
        <v>0.99493575096130371</v>
      </c>
      <c r="G8">
        <v>0.99647266313932992</v>
      </c>
    </row>
    <row r="9" spans="1:7" x14ac:dyDescent="0.3">
      <c r="A9" t="s">
        <v>1131</v>
      </c>
      <c r="B9" t="s">
        <v>1130</v>
      </c>
      <c r="C9" t="s">
        <v>1129</v>
      </c>
      <c r="D9">
        <v>0.99860143661499023</v>
      </c>
      <c r="E9">
        <v>0.99860143661499023</v>
      </c>
      <c r="F9">
        <v>0.99860143661499023</v>
      </c>
      <c r="G9">
        <v>0.64772727272727282</v>
      </c>
    </row>
    <row r="10" spans="1:7" hidden="1" x14ac:dyDescent="0.3">
      <c r="A10" t="s">
        <v>1128</v>
      </c>
      <c r="B10" t="s">
        <v>1127</v>
      </c>
      <c r="C10" t="s">
        <v>1126</v>
      </c>
      <c r="D10">
        <v>0.98734867572784424</v>
      </c>
      <c r="E10">
        <v>0.99258565902709961</v>
      </c>
      <c r="F10">
        <v>0.98996025323867798</v>
      </c>
      <c r="G10">
        <v>1005248.594594595</v>
      </c>
    </row>
    <row r="11" spans="1:7" x14ac:dyDescent="0.3">
      <c r="A11" t="s">
        <v>1125</v>
      </c>
      <c r="B11" t="s">
        <v>1124</v>
      </c>
      <c r="C11" t="s">
        <v>1123</v>
      </c>
      <c r="D11">
        <v>0.98936927318572998</v>
      </c>
      <c r="E11">
        <v>0.94781088829040527</v>
      </c>
      <c r="F11">
        <v>0.96814429759979248</v>
      </c>
      <c r="G11">
        <v>0.99875000000000003</v>
      </c>
    </row>
    <row r="12" spans="1:7" x14ac:dyDescent="0.3">
      <c r="A12" t="s">
        <v>1122</v>
      </c>
      <c r="B12" t="s">
        <v>953</v>
      </c>
      <c r="C12" t="s">
        <v>1121</v>
      </c>
      <c r="D12">
        <v>0.99766421318054199</v>
      </c>
      <c r="E12">
        <v>0.99766421318054199</v>
      </c>
      <c r="F12">
        <v>0.99766421318054199</v>
      </c>
      <c r="G12">
        <v>0.98837209302325579</v>
      </c>
    </row>
    <row r="13" spans="1:7" x14ac:dyDescent="0.3">
      <c r="A13" t="s">
        <v>1120</v>
      </c>
      <c r="B13" t="s">
        <v>1119</v>
      </c>
      <c r="C13" t="s">
        <v>1118</v>
      </c>
      <c r="D13">
        <v>0.89129078388214111</v>
      </c>
      <c r="E13">
        <v>0.45708969235420233</v>
      </c>
      <c r="F13">
        <v>0.60428023338317871</v>
      </c>
      <c r="G13">
        <v>0</v>
      </c>
    </row>
    <row r="14" spans="1:7" x14ac:dyDescent="0.3">
      <c r="A14" t="s">
        <v>1117</v>
      </c>
      <c r="B14" t="s">
        <v>1116</v>
      </c>
      <c r="C14" t="s">
        <v>1115</v>
      </c>
      <c r="D14">
        <v>0.99760401248931885</v>
      </c>
      <c r="E14">
        <v>0.99760401248931885</v>
      </c>
      <c r="F14">
        <v>0.99760401248931885</v>
      </c>
      <c r="G14">
        <v>2.412288512911843</v>
      </c>
    </row>
    <row r="15" spans="1:7" hidden="1" x14ac:dyDescent="0.3">
      <c r="A15" t="s">
        <v>1114</v>
      </c>
      <c r="B15" t="s">
        <v>1113</v>
      </c>
      <c r="C15" t="s">
        <v>1112</v>
      </c>
      <c r="D15">
        <v>0.99725794792175293</v>
      </c>
      <c r="E15">
        <v>0.99725794792175293</v>
      </c>
      <c r="F15">
        <v>0.99725794792175293</v>
      </c>
      <c r="G15">
        <v>7.0666666666666673</v>
      </c>
    </row>
    <row r="16" spans="1:7" x14ac:dyDescent="0.3">
      <c r="A16" t="s">
        <v>1111</v>
      </c>
      <c r="B16" t="s">
        <v>1110</v>
      </c>
      <c r="C16" t="s">
        <v>1109</v>
      </c>
      <c r="D16">
        <v>0.99859839677810669</v>
      </c>
      <c r="E16">
        <v>0.99859839677810669</v>
      </c>
      <c r="F16">
        <v>0.99859839677810669</v>
      </c>
      <c r="G16">
        <v>0.48449612403100772</v>
      </c>
    </row>
    <row r="17" spans="1:7" x14ac:dyDescent="0.3">
      <c r="A17" t="s">
        <v>1108</v>
      </c>
      <c r="B17" t="s">
        <v>1107</v>
      </c>
      <c r="C17" t="s">
        <v>1106</v>
      </c>
      <c r="D17">
        <v>0.99912810325622559</v>
      </c>
      <c r="E17">
        <v>0.99912810325622559</v>
      </c>
      <c r="F17">
        <v>0.99912810325622559</v>
      </c>
      <c r="G17">
        <v>0.85714285714285698</v>
      </c>
    </row>
    <row r="18" spans="1:7" x14ac:dyDescent="0.3">
      <c r="A18" t="s">
        <v>1105</v>
      </c>
      <c r="B18" t="s">
        <v>1104</v>
      </c>
      <c r="C18" t="s">
        <v>1103</v>
      </c>
      <c r="D18">
        <v>0.99527919292449951</v>
      </c>
      <c r="E18">
        <v>0.99527919292449951</v>
      </c>
      <c r="F18">
        <v>0.99527919292449951</v>
      </c>
      <c r="G18">
        <v>0.98337763775392995</v>
      </c>
    </row>
    <row r="19" spans="1:7" x14ac:dyDescent="0.3">
      <c r="A19" t="s">
        <v>1102</v>
      </c>
      <c r="B19" t="s">
        <v>1101</v>
      </c>
      <c r="C19" t="s">
        <v>1100</v>
      </c>
      <c r="D19">
        <v>0.99783939123153687</v>
      </c>
      <c r="E19">
        <v>0.99783939123153687</v>
      </c>
      <c r="F19">
        <v>0.99783939123153687</v>
      </c>
      <c r="G19">
        <v>0.14131786158309159</v>
      </c>
    </row>
    <row r="20" spans="1:7" x14ac:dyDescent="0.3">
      <c r="A20" t="s">
        <v>1099</v>
      </c>
      <c r="B20" t="s">
        <v>1098</v>
      </c>
      <c r="C20" t="s">
        <v>1097</v>
      </c>
      <c r="D20">
        <v>0.99932992458343506</v>
      </c>
      <c r="E20">
        <v>0.99932992458343506</v>
      </c>
      <c r="F20">
        <v>0.99932992458343506</v>
      </c>
      <c r="G20">
        <v>3.8461538461538491E-2</v>
      </c>
    </row>
    <row r="21" spans="1:7" x14ac:dyDescent="0.3">
      <c r="A21" t="s">
        <v>1096</v>
      </c>
      <c r="B21" t="s">
        <v>1095</v>
      </c>
      <c r="C21" t="s">
        <v>1094</v>
      </c>
      <c r="D21">
        <v>0.99453991651535034</v>
      </c>
      <c r="E21">
        <v>0.99453991651535034</v>
      </c>
      <c r="F21">
        <v>0.99453991651535034</v>
      </c>
      <c r="G21">
        <v>0.89363817097415499</v>
      </c>
    </row>
    <row r="22" spans="1:7" x14ac:dyDescent="0.3">
      <c r="A22" t="s">
        <v>1093</v>
      </c>
      <c r="B22" t="s">
        <v>1092</v>
      </c>
      <c r="C22" t="s">
        <v>1091</v>
      </c>
      <c r="D22">
        <v>0.87118840217590332</v>
      </c>
      <c r="E22">
        <v>0.47095209360122681</v>
      </c>
      <c r="F22">
        <v>0.61139357089996338</v>
      </c>
      <c r="G22">
        <v>0.97290640394088668</v>
      </c>
    </row>
    <row r="23" spans="1:7" x14ac:dyDescent="0.3">
      <c r="A23" t="s">
        <v>1090</v>
      </c>
      <c r="B23" t="s">
        <v>1089</v>
      </c>
      <c r="C23" t="s">
        <v>1088</v>
      </c>
      <c r="D23">
        <v>0.99542868137359619</v>
      </c>
      <c r="E23">
        <v>0.99542868137359619</v>
      </c>
      <c r="F23">
        <v>0.99542868137359619</v>
      </c>
      <c r="G23">
        <v>6.5420560747663545E-2</v>
      </c>
    </row>
    <row r="24" spans="1:7" x14ac:dyDescent="0.3">
      <c r="A24" t="s">
        <v>1087</v>
      </c>
      <c r="B24" t="s">
        <v>1086</v>
      </c>
      <c r="C24" t="s">
        <v>1085</v>
      </c>
      <c r="D24">
        <v>0.99793148040771484</v>
      </c>
      <c r="E24">
        <v>0.99793148040771484</v>
      </c>
      <c r="F24">
        <v>0.99793148040771484</v>
      </c>
      <c r="G24">
        <v>0.97674418604651159</v>
      </c>
    </row>
    <row r="25" spans="1:7" x14ac:dyDescent="0.3">
      <c r="A25" t="s">
        <v>1084</v>
      </c>
      <c r="B25" t="s">
        <v>1083</v>
      </c>
      <c r="C25" t="s">
        <v>1082</v>
      </c>
      <c r="D25">
        <v>0.8356701135635376</v>
      </c>
      <c r="E25">
        <v>0.46634265780448908</v>
      </c>
      <c r="F25">
        <v>0.5986248254776001</v>
      </c>
      <c r="G25">
        <v>0.99999912757778953</v>
      </c>
    </row>
    <row r="26" spans="1:7" x14ac:dyDescent="0.3">
      <c r="A26" t="s">
        <v>1081</v>
      </c>
      <c r="B26" t="s">
        <v>1080</v>
      </c>
      <c r="C26" t="s">
        <v>1079</v>
      </c>
      <c r="D26">
        <v>0.99765968322753906</v>
      </c>
      <c r="E26">
        <v>0.99765968322753906</v>
      </c>
      <c r="F26">
        <v>0.99765968322753906</v>
      </c>
      <c r="G26">
        <v>0.95348837209302317</v>
      </c>
    </row>
    <row r="27" spans="1:7" x14ac:dyDescent="0.3">
      <c r="A27" t="s">
        <v>1078</v>
      </c>
      <c r="B27" t="s">
        <v>1077</v>
      </c>
      <c r="C27" t="s">
        <v>1076</v>
      </c>
      <c r="D27">
        <v>0.99682307243347168</v>
      </c>
      <c r="E27">
        <v>0.99682307243347168</v>
      </c>
      <c r="F27">
        <v>0.99682307243347168</v>
      </c>
      <c r="G27">
        <v>0.16279069767441859</v>
      </c>
    </row>
    <row r="28" spans="1:7" x14ac:dyDescent="0.3">
      <c r="A28" t="s">
        <v>1075</v>
      </c>
      <c r="B28" t="s">
        <v>1074</v>
      </c>
      <c r="C28" t="s">
        <v>1073</v>
      </c>
      <c r="D28">
        <v>0.99424666166305542</v>
      </c>
      <c r="E28">
        <v>0.99424666166305542</v>
      </c>
      <c r="F28">
        <v>0.99424666166305542</v>
      </c>
      <c r="G28">
        <v>0.5934959349593496</v>
      </c>
    </row>
    <row r="29" spans="1:7" x14ac:dyDescent="0.3">
      <c r="A29" t="s">
        <v>1072</v>
      </c>
      <c r="B29" t="s">
        <v>1071</v>
      </c>
      <c r="C29" t="s">
        <v>1070</v>
      </c>
      <c r="D29">
        <v>0.99545383453369141</v>
      </c>
      <c r="E29">
        <v>0.99563336372375488</v>
      </c>
      <c r="F29">
        <v>0.99554359912872314</v>
      </c>
      <c r="G29">
        <v>0.97297297297297303</v>
      </c>
    </row>
    <row r="30" spans="1:7" x14ac:dyDescent="0.3">
      <c r="A30" t="s">
        <v>1069</v>
      </c>
      <c r="B30" t="s">
        <v>1068</v>
      </c>
      <c r="C30" t="s">
        <v>1067</v>
      </c>
      <c r="D30">
        <v>0.99532192945480347</v>
      </c>
      <c r="E30">
        <v>0.99532192945480347</v>
      </c>
      <c r="F30">
        <v>0.99532192945480347</v>
      </c>
      <c r="G30">
        <v>0.9878419452887538</v>
      </c>
    </row>
    <row r="31" spans="1:7" x14ac:dyDescent="0.3">
      <c r="A31" t="s">
        <v>1066</v>
      </c>
      <c r="B31" t="s">
        <v>1065</v>
      </c>
      <c r="C31" t="s">
        <v>1064</v>
      </c>
      <c r="D31">
        <v>0.99453973770141602</v>
      </c>
      <c r="E31">
        <v>0.99459826946258545</v>
      </c>
      <c r="F31">
        <v>0.99456900358200073</v>
      </c>
      <c r="G31">
        <v>0.58714043993231813</v>
      </c>
    </row>
    <row r="32" spans="1:7" x14ac:dyDescent="0.3">
      <c r="A32" t="s">
        <v>1063</v>
      </c>
      <c r="B32" t="s">
        <v>1062</v>
      </c>
      <c r="C32" t="s">
        <v>1061</v>
      </c>
      <c r="D32">
        <v>0.86643099784851074</v>
      </c>
      <c r="E32">
        <v>0.4702775776386261</v>
      </c>
      <c r="F32">
        <v>0.60965132713317871</v>
      </c>
      <c r="G32">
        <v>0.97432686286787729</v>
      </c>
    </row>
    <row r="33" spans="1:7" x14ac:dyDescent="0.3">
      <c r="A33" t="s">
        <v>1060</v>
      </c>
      <c r="B33" t="s">
        <v>906</v>
      </c>
      <c r="C33" t="s">
        <v>1059</v>
      </c>
      <c r="D33">
        <v>0.88203912973403931</v>
      </c>
      <c r="E33">
        <v>0.45585200190544128</v>
      </c>
      <c r="F33">
        <v>0.60106432437896729</v>
      </c>
      <c r="G33">
        <v>0.66666666666666663</v>
      </c>
    </row>
    <row r="34" spans="1:7" x14ac:dyDescent="0.3">
      <c r="A34" t="s">
        <v>1058</v>
      </c>
      <c r="B34" t="s">
        <v>1057</v>
      </c>
      <c r="C34" t="s">
        <v>1056</v>
      </c>
      <c r="D34">
        <v>0.99521094560623169</v>
      </c>
      <c r="E34">
        <v>0.99521094560623169</v>
      </c>
      <c r="F34">
        <v>0.99521094560623169</v>
      </c>
      <c r="G34">
        <v>0.99806389157792841</v>
      </c>
    </row>
    <row r="35" spans="1:7" x14ac:dyDescent="0.3">
      <c r="A35" t="s">
        <v>1055</v>
      </c>
      <c r="B35" t="s">
        <v>1054</v>
      </c>
      <c r="C35" t="s">
        <v>1053</v>
      </c>
      <c r="D35">
        <v>0.9984966516494751</v>
      </c>
      <c r="E35">
        <v>0.9984966516494751</v>
      </c>
      <c r="F35">
        <v>0.9984966516494751</v>
      </c>
      <c r="G35">
        <v>0.83333333333333326</v>
      </c>
    </row>
    <row r="36" spans="1:7" x14ac:dyDescent="0.3">
      <c r="A36" t="s">
        <v>1052</v>
      </c>
      <c r="B36" t="s">
        <v>1051</v>
      </c>
      <c r="C36" t="s">
        <v>1050</v>
      </c>
      <c r="D36">
        <v>0.99890673160552979</v>
      </c>
      <c r="E36">
        <v>0.99890673160552979</v>
      </c>
      <c r="F36">
        <v>0.99890673160552979</v>
      </c>
      <c r="G36">
        <v>0.15637860082304519</v>
      </c>
    </row>
    <row r="37" spans="1:7" x14ac:dyDescent="0.3">
      <c r="A37" t="s">
        <v>1049</v>
      </c>
      <c r="B37" t="s">
        <v>1048</v>
      </c>
      <c r="C37" t="s">
        <v>1047</v>
      </c>
      <c r="D37">
        <v>0.85900616645812988</v>
      </c>
      <c r="E37">
        <v>0.45462554693222051</v>
      </c>
      <c r="F37">
        <v>0.59457474946975708</v>
      </c>
      <c r="G37">
        <v>0.94423076923076921</v>
      </c>
    </row>
    <row r="38" spans="1:7" x14ac:dyDescent="0.3">
      <c r="A38" t="s">
        <v>1046</v>
      </c>
      <c r="B38" t="s">
        <v>1045</v>
      </c>
      <c r="C38" t="s">
        <v>1044</v>
      </c>
      <c r="D38">
        <v>0.99696290493011475</v>
      </c>
      <c r="E38">
        <v>0.99696290493011475</v>
      </c>
      <c r="F38">
        <v>0.99696290493011475</v>
      </c>
      <c r="G38">
        <v>0.77685950413223137</v>
      </c>
    </row>
    <row r="39" spans="1:7" x14ac:dyDescent="0.3">
      <c r="A39" t="s">
        <v>1043</v>
      </c>
      <c r="B39" t="s">
        <v>1042</v>
      </c>
      <c r="C39" t="s">
        <v>1041</v>
      </c>
      <c r="D39">
        <v>0.97118067741394043</v>
      </c>
      <c r="E39">
        <v>0.96572959423065186</v>
      </c>
      <c r="F39">
        <v>0.96844744682312012</v>
      </c>
      <c r="G39">
        <v>0.95592864637985309</v>
      </c>
    </row>
    <row r="40" spans="1:7" x14ac:dyDescent="0.3">
      <c r="A40" t="s">
        <v>1040</v>
      </c>
      <c r="B40" t="s">
        <v>1039</v>
      </c>
      <c r="C40" t="s">
        <v>1038</v>
      </c>
      <c r="D40">
        <v>0.99617469310760498</v>
      </c>
      <c r="E40">
        <v>0.99617469310760498</v>
      </c>
      <c r="F40">
        <v>0.99617475271224976</v>
      </c>
      <c r="G40">
        <v>0.54677419354838708</v>
      </c>
    </row>
    <row r="41" spans="1:7" x14ac:dyDescent="0.3">
      <c r="A41" t="s">
        <v>1037</v>
      </c>
      <c r="B41" t="s">
        <v>939</v>
      </c>
      <c r="C41" t="s">
        <v>1036</v>
      </c>
      <c r="D41">
        <v>0.99940890073776245</v>
      </c>
      <c r="E41">
        <v>0.99940890073776245</v>
      </c>
      <c r="F41">
        <v>0.99940890073776245</v>
      </c>
      <c r="G41">
        <v>0.66666666666666663</v>
      </c>
    </row>
    <row r="42" spans="1:7" x14ac:dyDescent="0.3">
      <c r="A42" t="s">
        <v>1035</v>
      </c>
      <c r="B42" t="s">
        <v>1034</v>
      </c>
      <c r="C42" t="s">
        <v>1033</v>
      </c>
      <c r="D42">
        <v>0.85289168357849121</v>
      </c>
      <c r="E42">
        <v>0.44621157646179199</v>
      </c>
      <c r="F42">
        <v>0.58589667081832886</v>
      </c>
      <c r="G42">
        <v>0.97089041095890416</v>
      </c>
    </row>
    <row r="43" spans="1:7" x14ac:dyDescent="0.3">
      <c r="A43" t="s">
        <v>1032</v>
      </c>
      <c r="B43" t="s">
        <v>1031</v>
      </c>
      <c r="C43" t="s">
        <v>1030</v>
      </c>
      <c r="D43">
        <v>0.99757230281829834</v>
      </c>
      <c r="E43">
        <v>0.99757230281829834</v>
      </c>
      <c r="F43">
        <v>0.99757230281829834</v>
      </c>
      <c r="G43">
        <v>1.3050847457627119</v>
      </c>
    </row>
    <row r="44" spans="1:7" x14ac:dyDescent="0.3">
      <c r="A44" t="s">
        <v>1029</v>
      </c>
      <c r="B44" t="s">
        <v>1028</v>
      </c>
      <c r="C44" t="s">
        <v>1027</v>
      </c>
      <c r="D44">
        <v>0.9958842396736145</v>
      </c>
      <c r="E44">
        <v>0.9958842396736145</v>
      </c>
      <c r="F44">
        <v>0.9958842396736145</v>
      </c>
      <c r="G44">
        <v>0.92592592592592593</v>
      </c>
    </row>
    <row r="45" spans="1:7" x14ac:dyDescent="0.3">
      <c r="A45" t="s">
        <v>1026</v>
      </c>
      <c r="B45" t="s">
        <v>1025</v>
      </c>
      <c r="C45" t="s">
        <v>1024</v>
      </c>
      <c r="D45">
        <v>0.86378085613250732</v>
      </c>
      <c r="E45">
        <v>0.45045590400695801</v>
      </c>
      <c r="F45">
        <v>0.59212344884872437</v>
      </c>
      <c r="G45">
        <v>0.51886792452830188</v>
      </c>
    </row>
    <row r="46" spans="1:7" hidden="1" x14ac:dyDescent="0.3">
      <c r="A46" t="s">
        <v>1023</v>
      </c>
      <c r="B46" t="s">
        <v>1022</v>
      </c>
      <c r="C46" t="s">
        <v>1021</v>
      </c>
      <c r="D46">
        <v>0.99193024635314941</v>
      </c>
      <c r="E46">
        <v>0.99433505535125732</v>
      </c>
      <c r="F46">
        <v>0.99313122034072876</v>
      </c>
      <c r="G46">
        <v>835.74320704171441</v>
      </c>
    </row>
    <row r="47" spans="1:7" x14ac:dyDescent="0.3">
      <c r="A47" t="s">
        <v>1020</v>
      </c>
      <c r="B47" t="s">
        <v>1019</v>
      </c>
      <c r="C47" t="s">
        <v>1018</v>
      </c>
      <c r="D47">
        <v>0.99965798854827881</v>
      </c>
      <c r="E47">
        <v>0.99965798854827881</v>
      </c>
      <c r="F47">
        <v>0.99965798854827881</v>
      </c>
      <c r="G47">
        <v>0.14285714285714299</v>
      </c>
    </row>
    <row r="48" spans="1:7" x14ac:dyDescent="0.3">
      <c r="A48" t="s">
        <v>1017</v>
      </c>
      <c r="B48" t="s">
        <v>1016</v>
      </c>
      <c r="C48" t="s">
        <v>1015</v>
      </c>
      <c r="D48">
        <v>0.99519950151443481</v>
      </c>
      <c r="E48">
        <v>0.99519950151443481</v>
      </c>
      <c r="F48">
        <v>0.99519950151443481</v>
      </c>
      <c r="G48">
        <v>0.9910714285714286</v>
      </c>
    </row>
    <row r="49" spans="1:7" x14ac:dyDescent="0.3">
      <c r="A49" t="s">
        <v>1014</v>
      </c>
      <c r="B49" t="s">
        <v>1013</v>
      </c>
      <c r="C49" t="s">
        <v>1012</v>
      </c>
      <c r="D49">
        <v>0.99830073118209839</v>
      </c>
      <c r="E49">
        <v>0.99830073118209839</v>
      </c>
      <c r="F49">
        <v>0.99830073118209839</v>
      </c>
      <c r="G49">
        <v>0.7931034482758621</v>
      </c>
    </row>
    <row r="50" spans="1:7" x14ac:dyDescent="0.3">
      <c r="A50" t="s">
        <v>1011</v>
      </c>
      <c r="B50" t="s">
        <v>1010</v>
      </c>
      <c r="C50" t="s">
        <v>1009</v>
      </c>
      <c r="D50">
        <v>0.99578750133514404</v>
      </c>
      <c r="E50">
        <v>0.99578750133514404</v>
      </c>
      <c r="F50">
        <v>0.99578750133514404</v>
      </c>
      <c r="G50">
        <v>0.99239543726235746</v>
      </c>
    </row>
    <row r="51" spans="1:7" x14ac:dyDescent="0.3">
      <c r="A51" t="s">
        <v>1008</v>
      </c>
      <c r="B51" t="s">
        <v>1007</v>
      </c>
      <c r="C51" t="s">
        <v>1006</v>
      </c>
      <c r="D51">
        <v>0.97370976209640503</v>
      </c>
      <c r="E51">
        <v>0.96699190139770508</v>
      </c>
      <c r="F51">
        <v>0.97033917903900146</v>
      </c>
      <c r="G51">
        <v>0.83808724832214765</v>
      </c>
    </row>
    <row r="52" spans="1:7" hidden="1" x14ac:dyDescent="0.3">
      <c r="A52" t="s">
        <v>1005</v>
      </c>
      <c r="B52" t="s">
        <v>1004</v>
      </c>
      <c r="C52" t="s">
        <v>1003</v>
      </c>
      <c r="D52">
        <v>0.99584001302719116</v>
      </c>
      <c r="E52">
        <v>0.99598366022109985</v>
      </c>
      <c r="F52">
        <v>0.99591183662414551</v>
      </c>
      <c r="G52">
        <v>69.75</v>
      </c>
    </row>
    <row r="53" spans="1:7" x14ac:dyDescent="0.3">
      <c r="A53" t="s">
        <v>1002</v>
      </c>
      <c r="B53" t="s">
        <v>1001</v>
      </c>
      <c r="C53" t="s">
        <v>1000</v>
      </c>
      <c r="D53">
        <v>0.99112921953201294</v>
      </c>
      <c r="E53">
        <v>0.98867976665496826</v>
      </c>
      <c r="F53">
        <v>0.98990297317504883</v>
      </c>
      <c r="G53">
        <v>0.99998624001541114</v>
      </c>
    </row>
    <row r="54" spans="1:7" x14ac:dyDescent="0.3">
      <c r="A54" t="s">
        <v>999</v>
      </c>
      <c r="B54" t="s">
        <v>998</v>
      </c>
      <c r="C54" t="s">
        <v>997</v>
      </c>
      <c r="D54">
        <v>0.99887818098068237</v>
      </c>
      <c r="E54">
        <v>0.99887818098068237</v>
      </c>
      <c r="F54">
        <v>0.99887818098068237</v>
      </c>
      <c r="G54">
        <v>0.75000000000000011</v>
      </c>
    </row>
    <row r="55" spans="1:7" x14ac:dyDescent="0.3">
      <c r="A55" t="s">
        <v>996</v>
      </c>
      <c r="B55" t="s">
        <v>995</v>
      </c>
      <c r="C55" t="s">
        <v>994</v>
      </c>
      <c r="D55">
        <v>0.99631845951080322</v>
      </c>
      <c r="E55">
        <v>0.99631845951080322</v>
      </c>
      <c r="F55">
        <v>0.99631845951080322</v>
      </c>
      <c r="G55">
        <v>0.62729273661041829</v>
      </c>
    </row>
    <row r="56" spans="1:7" x14ac:dyDescent="0.3">
      <c r="A56" t="s">
        <v>993</v>
      </c>
      <c r="B56" t="s">
        <v>992</v>
      </c>
      <c r="C56" t="s">
        <v>991</v>
      </c>
      <c r="D56">
        <v>0.99577337503433228</v>
      </c>
      <c r="E56">
        <v>0.99577337503433228</v>
      </c>
      <c r="F56">
        <v>0.99577337503433228</v>
      </c>
      <c r="G56">
        <v>1.568125516102395</v>
      </c>
    </row>
    <row r="57" spans="1:7" x14ac:dyDescent="0.3">
      <c r="A57" t="s">
        <v>990</v>
      </c>
      <c r="B57" t="s">
        <v>989</v>
      </c>
      <c r="C57" t="s">
        <v>988</v>
      </c>
      <c r="D57">
        <v>0.99870902299880981</v>
      </c>
      <c r="E57">
        <v>0.99870902299880981</v>
      </c>
      <c r="F57">
        <v>0.99870902299880981</v>
      </c>
      <c r="G57">
        <v>0.61627906976744196</v>
      </c>
    </row>
    <row r="58" spans="1:7" x14ac:dyDescent="0.3">
      <c r="A58" t="s">
        <v>987</v>
      </c>
      <c r="B58" t="s">
        <v>986</v>
      </c>
      <c r="C58" t="s">
        <v>985</v>
      </c>
      <c r="D58">
        <v>0.99861609935760498</v>
      </c>
      <c r="E58">
        <v>0.99861609935760498</v>
      </c>
      <c r="F58">
        <v>0.99861609935760498</v>
      </c>
      <c r="G58">
        <v>1.55456570155902</v>
      </c>
    </row>
    <row r="59" spans="1:7" x14ac:dyDescent="0.3">
      <c r="A59" t="s">
        <v>984</v>
      </c>
      <c r="B59" t="s">
        <v>983</v>
      </c>
      <c r="C59" t="s">
        <v>982</v>
      </c>
      <c r="D59">
        <v>0.82944595813751221</v>
      </c>
      <c r="E59">
        <v>0.44748547673225397</v>
      </c>
      <c r="F59">
        <v>0.58133900165557861</v>
      </c>
      <c r="G59">
        <v>0.99061752034466244</v>
      </c>
    </row>
    <row r="60" spans="1:7" x14ac:dyDescent="0.3">
      <c r="A60" t="s">
        <v>981</v>
      </c>
      <c r="B60" t="s">
        <v>980</v>
      </c>
      <c r="C60" t="s">
        <v>979</v>
      </c>
      <c r="D60">
        <v>0.99879217147827148</v>
      </c>
      <c r="E60">
        <v>0.99879217147827148</v>
      </c>
      <c r="F60">
        <v>0.99879217147827148</v>
      </c>
      <c r="G60">
        <v>0.5714285714285714</v>
      </c>
    </row>
    <row r="61" spans="1:7" x14ac:dyDescent="0.3">
      <c r="A61" t="s">
        <v>978</v>
      </c>
      <c r="B61" t="s">
        <v>977</v>
      </c>
      <c r="C61" t="s">
        <v>976</v>
      </c>
      <c r="D61">
        <v>0.85876750946044922</v>
      </c>
      <c r="E61">
        <v>0.47006022930145258</v>
      </c>
      <c r="F61">
        <v>0.60756176710128784</v>
      </c>
      <c r="G61">
        <v>0.99874193417474944</v>
      </c>
    </row>
    <row r="62" spans="1:7" x14ac:dyDescent="0.3">
      <c r="A62" t="s">
        <v>975</v>
      </c>
      <c r="B62" t="s">
        <v>974</v>
      </c>
      <c r="C62" t="s">
        <v>973</v>
      </c>
      <c r="D62">
        <v>0.99837195873260498</v>
      </c>
      <c r="E62">
        <v>0.99837195873260498</v>
      </c>
      <c r="F62">
        <v>0.99837195873260498</v>
      </c>
      <c r="G62">
        <v>0.73584905660377353</v>
      </c>
    </row>
    <row r="63" spans="1:7" x14ac:dyDescent="0.3">
      <c r="A63" t="s">
        <v>972</v>
      </c>
      <c r="B63" t="s">
        <v>971</v>
      </c>
      <c r="C63" t="s">
        <v>970</v>
      </c>
      <c r="D63">
        <v>0.99895501136779785</v>
      </c>
      <c r="E63">
        <v>0.99895501136779785</v>
      </c>
      <c r="F63">
        <v>0.99895501136779785</v>
      </c>
      <c r="G63">
        <v>0.3600000000000001</v>
      </c>
    </row>
    <row r="64" spans="1:7" x14ac:dyDescent="0.3">
      <c r="A64" t="s">
        <v>969</v>
      </c>
      <c r="B64" t="s">
        <v>968</v>
      </c>
      <c r="C64" t="s">
        <v>967</v>
      </c>
      <c r="D64">
        <v>0.99075955152511597</v>
      </c>
      <c r="E64">
        <v>0.97659993171691895</v>
      </c>
      <c r="F64">
        <v>0.98362874984741211</v>
      </c>
      <c r="G64">
        <v>0.99999999975592346</v>
      </c>
    </row>
    <row r="65" spans="1:7" x14ac:dyDescent="0.3">
      <c r="A65" t="s">
        <v>966</v>
      </c>
      <c r="B65" t="s">
        <v>965</v>
      </c>
      <c r="C65" t="s">
        <v>964</v>
      </c>
      <c r="D65">
        <v>0.99952715635299683</v>
      </c>
      <c r="E65">
        <v>0.99952715635299683</v>
      </c>
      <c r="F65">
        <v>0.99952715635299683</v>
      </c>
      <c r="G65">
        <v>0.17241379310344851</v>
      </c>
    </row>
    <row r="66" spans="1:7" x14ac:dyDescent="0.3">
      <c r="A66" t="s">
        <v>963</v>
      </c>
      <c r="B66" t="s">
        <v>962</v>
      </c>
      <c r="C66" t="s">
        <v>961</v>
      </c>
      <c r="D66">
        <v>0.99840414524078369</v>
      </c>
      <c r="E66">
        <v>0.99840414524078369</v>
      </c>
      <c r="F66">
        <v>0.99840414524078369</v>
      </c>
      <c r="G66">
        <v>0.25786924939467309</v>
      </c>
    </row>
    <row r="67" spans="1:7" x14ac:dyDescent="0.3">
      <c r="A67" t="s">
        <v>960</v>
      </c>
      <c r="B67" t="s">
        <v>959</v>
      </c>
      <c r="C67" t="s">
        <v>958</v>
      </c>
      <c r="D67">
        <v>0.86251455545425415</v>
      </c>
      <c r="E67">
        <v>0.44973671436309809</v>
      </c>
      <c r="F67">
        <v>0.59120452404022217</v>
      </c>
      <c r="G67">
        <v>0.97774884601728018</v>
      </c>
    </row>
    <row r="68" spans="1:7" hidden="1" x14ac:dyDescent="0.3">
      <c r="A68" t="s">
        <v>957</v>
      </c>
      <c r="B68" t="s">
        <v>956</v>
      </c>
      <c r="C68" t="s">
        <v>955</v>
      </c>
      <c r="D68">
        <v>0.99752867221832275</v>
      </c>
      <c r="E68">
        <v>0.99752867221832275</v>
      </c>
      <c r="F68">
        <v>0.99752867221832275</v>
      </c>
      <c r="G68">
        <v>29</v>
      </c>
    </row>
    <row r="69" spans="1:7" x14ac:dyDescent="0.3">
      <c r="A69" t="s">
        <v>954</v>
      </c>
      <c r="B69" t="s">
        <v>953</v>
      </c>
      <c r="C69" t="s">
        <v>952</v>
      </c>
      <c r="D69">
        <v>0.99947404861450195</v>
      </c>
      <c r="E69">
        <v>0.99947404861450195</v>
      </c>
      <c r="F69">
        <v>0.99947404861450195</v>
      </c>
      <c r="G69">
        <v>0.66666666666666663</v>
      </c>
    </row>
    <row r="70" spans="1:7" x14ac:dyDescent="0.3">
      <c r="A70" t="s">
        <v>951</v>
      </c>
      <c r="B70" t="s">
        <v>950</v>
      </c>
      <c r="C70" t="s">
        <v>949</v>
      </c>
      <c r="D70">
        <v>0.86346471309661865</v>
      </c>
      <c r="E70">
        <v>0.4532427191734314</v>
      </c>
      <c r="F70">
        <v>0.59445112943649292</v>
      </c>
      <c r="G70">
        <v>0.92088607594936711</v>
      </c>
    </row>
    <row r="71" spans="1:7" x14ac:dyDescent="0.3">
      <c r="A71" t="s">
        <v>948</v>
      </c>
      <c r="B71" t="s">
        <v>918</v>
      </c>
      <c r="C71" t="s">
        <v>947</v>
      </c>
      <c r="D71">
        <v>0.86528313159942627</v>
      </c>
      <c r="E71">
        <v>0.47041136026382452</v>
      </c>
      <c r="F71">
        <v>0.60947918891906738</v>
      </c>
      <c r="G71">
        <v>0.98632812499999989</v>
      </c>
    </row>
    <row r="72" spans="1:7" x14ac:dyDescent="0.3">
      <c r="A72" t="s">
        <v>946</v>
      </c>
      <c r="B72" t="s">
        <v>945</v>
      </c>
      <c r="C72" t="s">
        <v>944</v>
      </c>
      <c r="D72">
        <v>0.897086501121521</v>
      </c>
      <c r="E72">
        <v>0.47343772649765009</v>
      </c>
      <c r="F72">
        <v>0.61978417634963989</v>
      </c>
      <c r="G72">
        <v>0.28571428571428548</v>
      </c>
    </row>
    <row r="73" spans="1:7" x14ac:dyDescent="0.3">
      <c r="A73" t="s">
        <v>943</v>
      </c>
      <c r="B73" t="s">
        <v>942</v>
      </c>
      <c r="C73" t="s">
        <v>941</v>
      </c>
      <c r="D73">
        <v>0.99793702363967896</v>
      </c>
      <c r="E73">
        <v>0.99793702363967896</v>
      </c>
      <c r="F73">
        <v>0.99793702363967896</v>
      </c>
      <c r="G73">
        <v>0.47668393782383428</v>
      </c>
    </row>
    <row r="74" spans="1:7" x14ac:dyDescent="0.3">
      <c r="A74" t="s">
        <v>940</v>
      </c>
      <c r="B74" t="s">
        <v>939</v>
      </c>
      <c r="C74" t="s">
        <v>938</v>
      </c>
      <c r="D74">
        <v>0.99918091297149658</v>
      </c>
      <c r="E74">
        <v>0.99918091297149658</v>
      </c>
      <c r="F74">
        <v>0.99918091297149658</v>
      </c>
      <c r="G74">
        <v>0.75</v>
      </c>
    </row>
    <row r="75" spans="1:7" x14ac:dyDescent="0.3">
      <c r="A75" t="s">
        <v>937</v>
      </c>
      <c r="B75" t="s">
        <v>936</v>
      </c>
      <c r="C75" t="s">
        <v>935</v>
      </c>
      <c r="D75">
        <v>0.99688959121704102</v>
      </c>
      <c r="E75">
        <v>0.99688959121704102</v>
      </c>
      <c r="F75">
        <v>0.99688959121704102</v>
      </c>
      <c r="G75">
        <v>0.86157253599114059</v>
      </c>
    </row>
    <row r="76" spans="1:7" hidden="1" x14ac:dyDescent="0.3">
      <c r="A76" t="s">
        <v>934</v>
      </c>
      <c r="B76" t="s">
        <v>933</v>
      </c>
      <c r="C76" t="s">
        <v>932</v>
      </c>
      <c r="D76">
        <v>0.99692755937576294</v>
      </c>
      <c r="E76">
        <v>0.99692755937576294</v>
      </c>
      <c r="F76">
        <v>0.99692755937576294</v>
      </c>
      <c r="G76">
        <v>8.0468319559228672</v>
      </c>
    </row>
    <row r="77" spans="1:7" x14ac:dyDescent="0.3">
      <c r="A77" t="s">
        <v>931</v>
      </c>
      <c r="B77" t="s">
        <v>930</v>
      </c>
      <c r="C77" t="s">
        <v>929</v>
      </c>
      <c r="D77">
        <v>0.99448525905609131</v>
      </c>
      <c r="E77">
        <v>0.98985916376113892</v>
      </c>
      <c r="F77">
        <v>0.99216675758361816</v>
      </c>
      <c r="G77">
        <v>0.99999702575012794</v>
      </c>
    </row>
    <row r="78" spans="1:7" x14ac:dyDescent="0.3">
      <c r="A78" t="s">
        <v>928</v>
      </c>
      <c r="B78" t="s">
        <v>927</v>
      </c>
      <c r="C78" t="s">
        <v>926</v>
      </c>
      <c r="D78">
        <v>0.99787992238998413</v>
      </c>
      <c r="E78">
        <v>0.99787992238998413</v>
      </c>
      <c r="F78">
        <v>0.99787992238998413</v>
      </c>
      <c r="G78">
        <v>0.2734375</v>
      </c>
    </row>
    <row r="79" spans="1:7" x14ac:dyDescent="0.3">
      <c r="A79" t="s">
        <v>925</v>
      </c>
      <c r="B79" t="s">
        <v>924</v>
      </c>
      <c r="C79" t="s">
        <v>923</v>
      </c>
      <c r="D79">
        <v>0.99871289730072021</v>
      </c>
      <c r="E79">
        <v>0.99871289730072021</v>
      </c>
      <c r="F79">
        <v>0.99871289730072021</v>
      </c>
      <c r="G79">
        <v>0.11462450592885361</v>
      </c>
    </row>
    <row r="80" spans="1:7" x14ac:dyDescent="0.3">
      <c r="A80" t="s">
        <v>922</v>
      </c>
      <c r="B80" t="s">
        <v>921</v>
      </c>
      <c r="C80" t="s">
        <v>920</v>
      </c>
      <c r="D80">
        <v>0.99946165084838867</v>
      </c>
      <c r="E80">
        <v>0.99946165084838867</v>
      </c>
      <c r="F80">
        <v>0.99946165084838867</v>
      </c>
      <c r="G80">
        <v>4</v>
      </c>
    </row>
    <row r="81" spans="1:7" x14ac:dyDescent="0.3">
      <c r="A81" t="s">
        <v>919</v>
      </c>
      <c r="B81" t="s">
        <v>918</v>
      </c>
      <c r="C81" t="s">
        <v>917</v>
      </c>
      <c r="D81">
        <v>0.88172078132629395</v>
      </c>
      <c r="E81">
        <v>0.45573630928993231</v>
      </c>
      <c r="F81">
        <v>0.60088980197906494</v>
      </c>
      <c r="G81">
        <v>0.5</v>
      </c>
    </row>
    <row r="82" spans="1:7" x14ac:dyDescent="0.3">
      <c r="A82" t="s">
        <v>916</v>
      </c>
      <c r="B82" t="s">
        <v>915</v>
      </c>
      <c r="C82" t="s">
        <v>914</v>
      </c>
      <c r="D82">
        <v>0.99562686681747437</v>
      </c>
      <c r="E82">
        <v>0.99585849046707153</v>
      </c>
      <c r="F82">
        <v>0.99574267864227295</v>
      </c>
      <c r="G82">
        <v>0.91614255765199148</v>
      </c>
    </row>
    <row r="83" spans="1:7" x14ac:dyDescent="0.3">
      <c r="A83" t="s">
        <v>913</v>
      </c>
      <c r="B83" t="s">
        <v>912</v>
      </c>
      <c r="C83" t="s">
        <v>911</v>
      </c>
      <c r="D83">
        <v>0.99720895290374756</v>
      </c>
      <c r="E83">
        <v>0.99720895290374756</v>
      </c>
      <c r="F83">
        <v>0.99720895290374756</v>
      </c>
      <c r="G83">
        <v>0.49484536082474212</v>
      </c>
    </row>
    <row r="84" spans="1:7" x14ac:dyDescent="0.3">
      <c r="A84" t="s">
        <v>910</v>
      </c>
      <c r="B84" t="s">
        <v>909</v>
      </c>
      <c r="C84" t="s">
        <v>908</v>
      </c>
      <c r="D84">
        <v>0.85842013359069824</v>
      </c>
      <c r="E84">
        <v>0.45308485627174377</v>
      </c>
      <c r="F84">
        <v>0.59311580657958984</v>
      </c>
      <c r="G84">
        <v>0.99295774647887325</v>
      </c>
    </row>
    <row r="85" spans="1:7" x14ac:dyDescent="0.3">
      <c r="A85" t="s">
        <v>907</v>
      </c>
      <c r="B85" t="s">
        <v>906</v>
      </c>
      <c r="C85" t="s">
        <v>905</v>
      </c>
      <c r="D85">
        <v>0.87574577331542969</v>
      </c>
      <c r="E85">
        <v>0.45454698801040649</v>
      </c>
      <c r="F85">
        <v>0.59846615791320801</v>
      </c>
      <c r="G85">
        <v>0.82352941176470595</v>
      </c>
    </row>
    <row r="86" spans="1:7" x14ac:dyDescent="0.3">
      <c r="A86" t="s">
        <v>904</v>
      </c>
      <c r="B86" t="s">
        <v>903</v>
      </c>
      <c r="C86" t="s">
        <v>902</v>
      </c>
      <c r="D86">
        <v>0.9967576265335083</v>
      </c>
      <c r="E86">
        <v>0.9967576265335083</v>
      </c>
      <c r="F86">
        <v>0.9967576265335083</v>
      </c>
      <c r="G86">
        <v>1.618881759853346</v>
      </c>
    </row>
    <row r="87" spans="1:7" x14ac:dyDescent="0.3">
      <c r="A87" t="s">
        <v>901</v>
      </c>
      <c r="B87" t="s">
        <v>900</v>
      </c>
      <c r="C87" t="s">
        <v>899</v>
      </c>
      <c r="D87">
        <v>0.99958962202072144</v>
      </c>
      <c r="E87">
        <v>0.99958962202072144</v>
      </c>
      <c r="F87">
        <v>0.99958962202072144</v>
      </c>
      <c r="G87">
        <v>7.1428571428571286E-2</v>
      </c>
    </row>
    <row r="88" spans="1:7" x14ac:dyDescent="0.3">
      <c r="A88" t="s">
        <v>898</v>
      </c>
      <c r="B88" t="s">
        <v>897</v>
      </c>
      <c r="C88" t="s">
        <v>896</v>
      </c>
      <c r="D88">
        <v>0.99738669395446777</v>
      </c>
      <c r="E88">
        <v>0.99738669395446777</v>
      </c>
      <c r="F88">
        <v>0.99738669395446777</v>
      </c>
      <c r="G88">
        <v>5.244755244755242E-2</v>
      </c>
    </row>
    <row r="89" spans="1:7" x14ac:dyDescent="0.3">
      <c r="A89" t="s">
        <v>895</v>
      </c>
      <c r="B89" t="s">
        <v>894</v>
      </c>
      <c r="C89" t="s">
        <v>893</v>
      </c>
      <c r="D89">
        <v>0.99529623985290527</v>
      </c>
      <c r="E89">
        <v>0.99571073055267334</v>
      </c>
      <c r="F89">
        <v>0.99550342559814453</v>
      </c>
      <c r="G89">
        <v>0.99036777583187396</v>
      </c>
    </row>
    <row r="90" spans="1:7" x14ac:dyDescent="0.3">
      <c r="A90" t="s">
        <v>892</v>
      </c>
      <c r="B90" t="s">
        <v>891</v>
      </c>
      <c r="C90" t="s">
        <v>890</v>
      </c>
      <c r="D90">
        <v>0.99897098541259766</v>
      </c>
      <c r="E90">
        <v>0.99897098541259766</v>
      </c>
      <c r="F90">
        <v>0.99897098541259766</v>
      </c>
      <c r="G90">
        <v>1.2307692307692311</v>
      </c>
    </row>
    <row r="91" spans="1:7" x14ac:dyDescent="0.3">
      <c r="A91" t="s">
        <v>889</v>
      </c>
      <c r="B91" t="s">
        <v>888</v>
      </c>
      <c r="C91" t="s">
        <v>887</v>
      </c>
      <c r="D91">
        <v>0.89719116687774658</v>
      </c>
      <c r="E91">
        <v>0.94505035877227783</v>
      </c>
      <c r="F91">
        <v>0.92049914598464966</v>
      </c>
      <c r="G91">
        <v>0.97872340425531923</v>
      </c>
    </row>
    <row r="92" spans="1:7" hidden="1" x14ac:dyDescent="0.3">
      <c r="D92">
        <f>AVERAGE(D2:D91)</f>
        <v>0.96877436108059356</v>
      </c>
      <c r="E92">
        <f t="shared" ref="E92:F92" si="0">AVERAGE(E2:E91)</f>
        <v>0.88750714626577165</v>
      </c>
      <c r="F92">
        <f t="shared" si="0"/>
        <v>0.91570488413174944</v>
      </c>
    </row>
  </sheetData>
  <autoFilter ref="A1:G92" xr:uid="{E00D9B5C-903A-497E-955C-B00F455BFA6E}">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L51"/>
  <sheetViews>
    <sheetView tabSelected="1" topLeftCell="I24" zoomScaleNormal="100" workbookViewId="0">
      <selection activeCell="L55" sqref="L55"/>
    </sheetView>
  </sheetViews>
  <sheetFormatPr defaultRowHeight="14" x14ac:dyDescent="0.3"/>
  <cols>
    <col min="2" max="2" width="18.83203125" bestFit="1" customWidth="1"/>
    <col min="3" max="3" width="6.75" bestFit="1" customWidth="1"/>
    <col min="4" max="4" width="8.08203125" bestFit="1" customWidth="1"/>
    <col min="5" max="5" width="6.75" bestFit="1" customWidth="1"/>
    <col min="6" max="6" width="6.25" bestFit="1" customWidth="1"/>
    <col min="8" max="8" width="13.83203125" bestFit="1" customWidth="1"/>
    <col min="9" max="9" width="18.83203125" bestFit="1" customWidth="1"/>
    <col min="10" max="10" width="13" bestFit="1" customWidth="1"/>
    <col min="11" max="11" width="8.25" bestFit="1" customWidth="1"/>
    <col min="12" max="12" width="8.83203125" bestFit="1" customWidth="1"/>
    <col min="13" max="13" width="11.83203125" bestFit="1" customWidth="1"/>
    <col min="15" max="15" width="18.83203125" bestFit="1" customWidth="1"/>
    <col min="16" max="16" width="10.83203125" bestFit="1" customWidth="1"/>
    <col min="17" max="17" width="9" bestFit="1" customWidth="1"/>
    <col min="18" max="18" width="12.75" bestFit="1" customWidth="1"/>
    <col min="19" max="19" width="18.83203125" bestFit="1" customWidth="1"/>
    <col min="20" max="20" width="7.08203125" bestFit="1" customWidth="1"/>
    <col min="21" max="22" width="5.83203125" bestFit="1" customWidth="1"/>
    <col min="23" max="23" width="9.33203125" bestFit="1" customWidth="1"/>
    <col min="24" max="25" width="8.33203125" bestFit="1" customWidth="1"/>
    <col min="26" max="26" width="7.75" bestFit="1" customWidth="1"/>
    <col min="28" max="28" width="18.83203125" bestFit="1" customWidth="1"/>
  </cols>
  <sheetData>
    <row r="3" spans="2:38" x14ac:dyDescent="0.3">
      <c r="I3" s="25" t="s">
        <v>1159</v>
      </c>
      <c r="J3" s="29"/>
      <c r="K3" s="29"/>
      <c r="L3" s="29"/>
      <c r="M3" s="26"/>
      <c r="O3" s="24" t="s">
        <v>1166</v>
      </c>
      <c r="P3" s="24"/>
      <c r="Q3" s="24"/>
      <c r="S3" s="24" t="s">
        <v>1153</v>
      </c>
      <c r="T3" s="24" t="s">
        <v>1165</v>
      </c>
      <c r="U3" s="24"/>
      <c r="V3" s="24"/>
      <c r="W3" s="12" t="s">
        <v>1183</v>
      </c>
      <c r="X3" s="24" t="s">
        <v>1184</v>
      </c>
      <c r="Y3" s="24"/>
      <c r="Z3" s="24"/>
      <c r="AB3" s="24" t="s">
        <v>1153</v>
      </c>
      <c r="AC3" s="23" t="s">
        <v>2338</v>
      </c>
      <c r="AD3" s="23"/>
      <c r="AE3" s="23" t="s">
        <v>2339</v>
      </c>
      <c r="AF3" s="23"/>
      <c r="AG3" s="23"/>
      <c r="AH3" s="23"/>
      <c r="AI3" s="24" t="s">
        <v>1165</v>
      </c>
      <c r="AJ3" s="24"/>
      <c r="AK3" s="24"/>
      <c r="AL3" s="4"/>
    </row>
    <row r="4" spans="2:38" x14ac:dyDescent="0.3">
      <c r="B4" s="3" t="s">
        <v>1153</v>
      </c>
      <c r="C4" s="3" t="s">
        <v>1151</v>
      </c>
      <c r="D4" s="3" t="s">
        <v>1155</v>
      </c>
      <c r="E4" s="3" t="s">
        <v>1176</v>
      </c>
      <c r="F4" s="3" t="s">
        <v>1175</v>
      </c>
      <c r="I4" s="11" t="s">
        <v>1152</v>
      </c>
      <c r="J4" s="3" t="s">
        <v>1154</v>
      </c>
      <c r="K4" s="3" t="s">
        <v>1156</v>
      </c>
      <c r="L4" s="3" t="s">
        <v>1157</v>
      </c>
      <c r="M4" s="3" t="s">
        <v>1158</v>
      </c>
      <c r="O4" s="3" t="s">
        <v>1153</v>
      </c>
      <c r="P4" s="3" t="s">
        <v>1167</v>
      </c>
      <c r="Q4" s="3" t="s">
        <v>1168</v>
      </c>
      <c r="S4" s="24"/>
      <c r="T4" s="12" t="s">
        <v>1160</v>
      </c>
      <c r="U4" s="12" t="s">
        <v>1162</v>
      </c>
      <c r="V4" s="12" t="s">
        <v>1161</v>
      </c>
      <c r="W4" s="12" t="s">
        <v>1182</v>
      </c>
      <c r="X4" s="12" t="s">
        <v>1185</v>
      </c>
      <c r="Y4" s="12" t="s">
        <v>1186</v>
      </c>
      <c r="Z4" s="12" t="s">
        <v>1187</v>
      </c>
      <c r="AB4" s="24"/>
      <c r="AC4" s="10" t="s">
        <v>2366</v>
      </c>
      <c r="AD4" s="10" t="s">
        <v>1168</v>
      </c>
      <c r="AE4" s="10" t="s">
        <v>2366</v>
      </c>
      <c r="AF4" s="10" t="s">
        <v>1168</v>
      </c>
      <c r="AG4" s="15" t="s">
        <v>2343</v>
      </c>
      <c r="AH4" s="15" t="s">
        <v>1159</v>
      </c>
      <c r="AI4" s="15" t="s">
        <v>1160</v>
      </c>
      <c r="AJ4" s="15" t="s">
        <v>1162</v>
      </c>
      <c r="AK4" s="15" t="s">
        <v>1161</v>
      </c>
      <c r="AL4" s="4" t="s">
        <v>2364</v>
      </c>
    </row>
    <row r="5" spans="2:38" x14ac:dyDescent="0.3">
      <c r="B5" s="12" t="s">
        <v>1188</v>
      </c>
      <c r="C5" s="3">
        <v>35</v>
      </c>
      <c r="D5" s="3">
        <v>32</v>
      </c>
      <c r="E5" s="3">
        <v>11</v>
      </c>
      <c r="F5" s="3">
        <v>12</v>
      </c>
      <c r="I5" s="5" t="s">
        <v>1177</v>
      </c>
      <c r="J5" s="5" t="s">
        <v>1178</v>
      </c>
      <c r="K5" s="5" t="s">
        <v>1179</v>
      </c>
      <c r="L5" s="5" t="s">
        <v>1180</v>
      </c>
      <c r="M5" s="5" t="s">
        <v>1181</v>
      </c>
      <c r="O5" s="12" t="s">
        <v>1188</v>
      </c>
      <c r="P5" s="8">
        <v>18041</v>
      </c>
      <c r="Q5" s="9">
        <v>0.08</v>
      </c>
      <c r="S5" s="13" t="s">
        <v>1188</v>
      </c>
      <c r="T5" s="9">
        <v>0.99596283170912003</v>
      </c>
      <c r="U5" s="9">
        <v>0.99606838226318362</v>
      </c>
      <c r="V5" s="9">
        <v>0.99619594083891971</v>
      </c>
      <c r="W5" s="12">
        <v>0.97699999999999998</v>
      </c>
      <c r="X5" s="12">
        <v>0.97799999999999998</v>
      </c>
      <c r="Y5" s="12">
        <v>0.97399999999999998</v>
      </c>
      <c r="Z5" s="12">
        <v>0.99199999999999999</v>
      </c>
      <c r="AB5" s="15" t="s">
        <v>1188</v>
      </c>
      <c r="AC5" s="8">
        <v>18041</v>
      </c>
      <c r="AD5" s="9">
        <v>0.08</v>
      </c>
      <c r="AE5" s="8">
        <v>23011</v>
      </c>
      <c r="AF5" s="9">
        <v>4.3999999999999997E-2</v>
      </c>
      <c r="AG5" s="15">
        <v>60</v>
      </c>
      <c r="AH5" s="5" t="s">
        <v>2352</v>
      </c>
      <c r="AI5" s="9">
        <v>0.97835212471810251</v>
      </c>
      <c r="AJ5" s="9">
        <v>0.97884384204040875</v>
      </c>
      <c r="AK5" s="9">
        <v>0.97859493236650119</v>
      </c>
      <c r="AL5" s="21">
        <v>0.97727272727272696</v>
      </c>
    </row>
    <row r="6" spans="2:38" x14ac:dyDescent="0.3">
      <c r="B6" s="12" t="s">
        <v>1189</v>
      </c>
      <c r="C6" s="3">
        <v>40</v>
      </c>
      <c r="D6" s="3">
        <v>32</v>
      </c>
      <c r="E6" s="3">
        <v>8</v>
      </c>
      <c r="F6" s="3">
        <v>10</v>
      </c>
      <c r="I6" s="4" t="s">
        <v>1169</v>
      </c>
      <c r="J6" s="4" t="s">
        <v>1174</v>
      </c>
      <c r="K6" s="4" t="s">
        <v>2351</v>
      </c>
      <c r="L6" s="4"/>
      <c r="M6" s="4"/>
      <c r="O6" s="12" t="s">
        <v>1189</v>
      </c>
      <c r="P6" s="8">
        <v>11554</v>
      </c>
      <c r="Q6" s="9">
        <v>3.8399999999999997E-2</v>
      </c>
      <c r="S6" s="13" t="s">
        <v>1189</v>
      </c>
      <c r="T6" s="9">
        <v>0.99727540347311228</v>
      </c>
      <c r="U6" s="9">
        <v>0.99701445036464265</v>
      </c>
      <c r="V6" s="9">
        <v>0.99676674670643273</v>
      </c>
      <c r="W6" s="12">
        <v>0.97799999999999998</v>
      </c>
      <c r="X6" s="12">
        <v>0.97799999999999998</v>
      </c>
      <c r="Y6" s="12">
        <v>0.97399999999999998</v>
      </c>
      <c r="Z6" s="12">
        <v>0.99199999999999999</v>
      </c>
      <c r="AB6" s="15" t="s">
        <v>1189</v>
      </c>
      <c r="AC6" s="8">
        <v>11554</v>
      </c>
      <c r="AD6" s="9">
        <v>3.8399999999999997E-2</v>
      </c>
      <c r="AE6" s="8">
        <v>11857</v>
      </c>
      <c r="AF6" s="9">
        <v>0.06</v>
      </c>
      <c r="AG6" s="15">
        <v>51</v>
      </c>
      <c r="AH6" s="5" t="s">
        <v>2353</v>
      </c>
      <c r="AI6" s="9">
        <v>0.97693803703243087</v>
      </c>
      <c r="AJ6" s="9">
        <v>0.97722088477828284</v>
      </c>
      <c r="AK6" s="9">
        <v>0.97707488387823105</v>
      </c>
      <c r="AL6" s="21">
        <v>1</v>
      </c>
    </row>
    <row r="7" spans="2:38" x14ac:dyDescent="0.3">
      <c r="B7" s="12" t="s">
        <v>1190</v>
      </c>
      <c r="C7" s="3">
        <v>43</v>
      </c>
      <c r="D7" s="3">
        <v>27</v>
      </c>
      <c r="E7" s="3">
        <v>14</v>
      </c>
      <c r="F7" s="3">
        <v>6</v>
      </c>
      <c r="O7" s="12" t="s">
        <v>1190</v>
      </c>
      <c r="P7" s="8">
        <v>16212</v>
      </c>
      <c r="Q7" s="9">
        <v>2.5399999999999999E-2</v>
      </c>
      <c r="S7" s="13" t="s">
        <v>1190</v>
      </c>
      <c r="T7" s="9">
        <v>0.99743474655681186</v>
      </c>
      <c r="U7" s="9">
        <v>0.99709899822870895</v>
      </c>
      <c r="V7" s="9">
        <v>0.99677523109647959</v>
      </c>
      <c r="W7" s="12">
        <v>0.98199999999999998</v>
      </c>
      <c r="X7" s="12">
        <v>0.97799999999999998</v>
      </c>
      <c r="Y7" s="12">
        <v>0.97399999999999998</v>
      </c>
      <c r="Z7" s="12">
        <v>0.99199999999999999</v>
      </c>
      <c r="AB7" s="15" t="s">
        <v>1190</v>
      </c>
      <c r="AC7" s="8">
        <v>16212</v>
      </c>
      <c r="AD7" s="9">
        <v>2.5399999999999999E-2</v>
      </c>
      <c r="AE7" s="8">
        <v>15480</v>
      </c>
      <c r="AF7" s="9">
        <v>4.3999999999999997E-2</v>
      </c>
      <c r="AG7" s="15">
        <v>49</v>
      </c>
      <c r="AH7" s="5" t="s">
        <v>2354</v>
      </c>
      <c r="AI7" s="9">
        <v>0.97707310386679391</v>
      </c>
      <c r="AJ7" s="9">
        <v>0.97747543183240027</v>
      </c>
      <c r="AK7" s="9">
        <v>0.97727257826111535</v>
      </c>
      <c r="AL7" s="21">
        <v>1</v>
      </c>
    </row>
    <row r="8" spans="2:38" x14ac:dyDescent="0.3">
      <c r="B8" s="12" t="s">
        <v>1191</v>
      </c>
      <c r="C8" s="3">
        <v>38</v>
      </c>
      <c r="D8" s="3">
        <v>30</v>
      </c>
      <c r="E8" s="3">
        <v>17</v>
      </c>
      <c r="F8" s="3">
        <v>5</v>
      </c>
      <c r="I8" s="11" t="s">
        <v>1153</v>
      </c>
      <c r="J8" s="11" t="s">
        <v>1159</v>
      </c>
      <c r="L8" s="7"/>
      <c r="O8" s="12" t="s">
        <v>1191</v>
      </c>
      <c r="P8" s="8">
        <v>12030</v>
      </c>
      <c r="Q8" s="9">
        <v>4.1500000000000002E-2</v>
      </c>
      <c r="S8" s="13" t="s">
        <v>1191</v>
      </c>
      <c r="T8" s="9">
        <v>0.99692602488729687</v>
      </c>
      <c r="U8" s="9">
        <v>0.9968295693397522</v>
      </c>
      <c r="V8" s="9">
        <v>0.99674810568491623</v>
      </c>
      <c r="W8" s="12">
        <v>0.97799999999999998</v>
      </c>
      <c r="X8" s="12">
        <v>0.97899999999999998</v>
      </c>
      <c r="Y8" s="12">
        <v>0.97499999999999998</v>
      </c>
      <c r="Z8" s="12">
        <v>0.99199999999999999</v>
      </c>
      <c r="AB8" s="15" t="s">
        <v>1191</v>
      </c>
      <c r="AC8" s="8">
        <v>12030</v>
      </c>
      <c r="AD8" s="9">
        <v>4.1500000000000002E-2</v>
      </c>
      <c r="AE8" s="8">
        <v>11935</v>
      </c>
      <c r="AF8" s="9">
        <v>6.0999999999999999E-2</v>
      </c>
      <c r="AG8" s="15">
        <v>41</v>
      </c>
      <c r="AH8" s="5" t="s">
        <v>2355</v>
      </c>
      <c r="AI8" s="9">
        <v>0.97632084719159384</v>
      </c>
      <c r="AJ8" s="9">
        <v>0.97711000252853741</v>
      </c>
      <c r="AK8" s="9">
        <v>0.9767130728472363</v>
      </c>
      <c r="AL8" s="21">
        <v>1</v>
      </c>
    </row>
    <row r="9" spans="2:38" x14ac:dyDescent="0.3">
      <c r="B9" s="12" t="s">
        <v>1192</v>
      </c>
      <c r="C9" s="3">
        <v>33</v>
      </c>
      <c r="D9" s="3">
        <v>46</v>
      </c>
      <c r="E9" s="3">
        <v>5</v>
      </c>
      <c r="F9" s="3">
        <v>6</v>
      </c>
      <c r="I9" s="11" t="s">
        <v>1188</v>
      </c>
      <c r="J9" s="5" t="s">
        <v>1177</v>
      </c>
      <c r="L9" s="17"/>
      <c r="O9" s="12" t="s">
        <v>1192</v>
      </c>
      <c r="P9" s="8">
        <v>10466</v>
      </c>
      <c r="Q9" s="9">
        <v>0.135238738270366</v>
      </c>
      <c r="S9" s="13" t="s">
        <v>1192</v>
      </c>
      <c r="T9" s="9">
        <v>0.96877436108059356</v>
      </c>
      <c r="U9" s="9">
        <v>0.915704884131749</v>
      </c>
      <c r="V9" s="9">
        <v>0.88750714626577165</v>
      </c>
      <c r="W9" s="12">
        <v>0.78300000000000003</v>
      </c>
      <c r="X9" s="12">
        <v>0.85699999999999998</v>
      </c>
      <c r="Y9" s="12">
        <v>0.81899999999999995</v>
      </c>
      <c r="Z9" s="12">
        <v>0.83499999999999996</v>
      </c>
      <c r="AB9" s="15" t="s">
        <v>1192</v>
      </c>
      <c r="AC9" s="8">
        <v>10466</v>
      </c>
      <c r="AD9" s="9">
        <v>0.135238738270366</v>
      </c>
      <c r="AE9" s="8">
        <v>11756</v>
      </c>
      <c r="AF9" s="9">
        <v>6.8000000000000005E-2</v>
      </c>
      <c r="AG9" s="15">
        <v>58</v>
      </c>
      <c r="AH9" s="5" t="s">
        <v>2352</v>
      </c>
      <c r="AI9" s="9">
        <v>0.98034146969968627</v>
      </c>
      <c r="AJ9" s="9">
        <v>0.98118849030949851</v>
      </c>
      <c r="AK9" s="9">
        <v>0.98076294227079908</v>
      </c>
      <c r="AL9" s="21">
        <v>0.97727272727272729</v>
      </c>
    </row>
    <row r="10" spans="2:38" x14ac:dyDescent="0.3">
      <c r="B10" s="4" t="s">
        <v>1174</v>
      </c>
      <c r="C10" s="4"/>
      <c r="D10" s="4"/>
      <c r="E10" s="4"/>
      <c r="F10" s="4"/>
      <c r="I10" s="11" t="s">
        <v>1189</v>
      </c>
      <c r="J10" s="5" t="s">
        <v>1178</v>
      </c>
      <c r="L10" s="17"/>
      <c r="O10" s="27" t="s">
        <v>1172</v>
      </c>
      <c r="P10" s="28"/>
      <c r="Q10" s="4"/>
      <c r="S10" s="10" t="s">
        <v>1173</v>
      </c>
      <c r="T10" s="12" t="s">
        <v>1169</v>
      </c>
      <c r="U10" s="12"/>
      <c r="V10" s="12"/>
      <c r="W10" s="12"/>
      <c r="X10" s="12"/>
      <c r="Y10" s="12"/>
      <c r="Z10" s="12"/>
      <c r="AB10" s="22" t="s">
        <v>2365</v>
      </c>
    </row>
    <row r="11" spans="2:38" x14ac:dyDescent="0.3">
      <c r="I11" s="11" t="s">
        <v>1190</v>
      </c>
      <c r="J11" s="5" t="s">
        <v>1179</v>
      </c>
      <c r="L11" s="17"/>
      <c r="S11" s="16" t="s">
        <v>2338</v>
      </c>
    </row>
    <row r="12" spans="2:38" x14ac:dyDescent="0.3">
      <c r="I12" s="11" t="s">
        <v>1191</v>
      </c>
      <c r="J12" s="5" t="s">
        <v>1180</v>
      </c>
      <c r="L12" s="17"/>
    </row>
    <row r="13" spans="2:38" x14ac:dyDescent="0.3">
      <c r="I13" s="11" t="s">
        <v>1192</v>
      </c>
      <c r="J13" s="5" t="s">
        <v>1181</v>
      </c>
      <c r="L13" s="17"/>
      <c r="R13" s="7"/>
    </row>
    <row r="14" spans="2:38" x14ac:dyDescent="0.3">
      <c r="L14" s="7"/>
      <c r="R14" s="14"/>
    </row>
    <row r="15" spans="2:38" x14ac:dyDescent="0.3">
      <c r="L15" s="7"/>
      <c r="R15" s="14"/>
    </row>
    <row r="16" spans="2:38" x14ac:dyDescent="0.3">
      <c r="O16" s="24" t="s">
        <v>1955</v>
      </c>
      <c r="P16" s="24"/>
      <c r="Q16" s="24"/>
      <c r="R16" s="14"/>
      <c r="S16" s="24" t="s">
        <v>1153</v>
      </c>
      <c r="T16" s="24" t="s">
        <v>1165</v>
      </c>
      <c r="U16" s="24"/>
      <c r="V16" s="24"/>
      <c r="W16" s="13" t="s">
        <v>1183</v>
      </c>
      <c r="X16" s="24" t="s">
        <v>1184</v>
      </c>
      <c r="Y16" s="24"/>
      <c r="Z16" s="24"/>
    </row>
    <row r="17" spans="2:34" x14ac:dyDescent="0.3">
      <c r="O17" s="12" t="s">
        <v>1153</v>
      </c>
      <c r="P17" s="12" t="s">
        <v>1167</v>
      </c>
      <c r="Q17" s="12" t="s">
        <v>1168</v>
      </c>
      <c r="R17" s="14"/>
      <c r="S17" s="24"/>
      <c r="T17" s="13" t="s">
        <v>1160</v>
      </c>
      <c r="U17" s="13" t="s">
        <v>1162</v>
      </c>
      <c r="V17" s="13" t="s">
        <v>1161</v>
      </c>
      <c r="W17" s="13" t="s">
        <v>1182</v>
      </c>
      <c r="X17" s="13" t="s">
        <v>1185</v>
      </c>
      <c r="Y17" s="13" t="s">
        <v>1186</v>
      </c>
      <c r="Z17" s="13" t="s">
        <v>1187</v>
      </c>
    </row>
    <row r="18" spans="2:34" x14ac:dyDescent="0.3">
      <c r="O18" s="12" t="s">
        <v>1188</v>
      </c>
      <c r="P18" s="8">
        <v>23011</v>
      </c>
      <c r="Q18" s="9">
        <v>4.3999999999999997E-2</v>
      </c>
      <c r="R18" s="14"/>
      <c r="S18" s="13" t="s">
        <v>1188</v>
      </c>
      <c r="T18" s="9">
        <v>0.97835212471810251</v>
      </c>
      <c r="U18" s="9">
        <v>0.97884384204040875</v>
      </c>
      <c r="V18" s="9">
        <v>0.97859493236650119</v>
      </c>
      <c r="W18" s="13">
        <v>0.94499999999999995</v>
      </c>
      <c r="X18" s="13">
        <v>0.94499999999999995</v>
      </c>
      <c r="Y18" s="13">
        <v>0.90500000000000003</v>
      </c>
      <c r="Z18" s="13">
        <v>0.96599999999999997</v>
      </c>
      <c r="AB18" s="24" t="s">
        <v>1153</v>
      </c>
      <c r="AC18" s="24"/>
      <c r="AD18" s="15" t="s">
        <v>1188</v>
      </c>
      <c r="AE18" s="15" t="s">
        <v>1189</v>
      </c>
      <c r="AF18" s="15" t="s">
        <v>1190</v>
      </c>
      <c r="AG18" s="15" t="s">
        <v>1191</v>
      </c>
      <c r="AH18" s="15" t="s">
        <v>1192</v>
      </c>
    </row>
    <row r="19" spans="2:34" x14ac:dyDescent="0.3">
      <c r="O19" s="12" t="s">
        <v>1189</v>
      </c>
      <c r="P19" s="8">
        <v>11857</v>
      </c>
      <c r="Q19" s="9">
        <v>0.06</v>
      </c>
      <c r="R19" s="14"/>
      <c r="S19" s="13" t="s">
        <v>1189</v>
      </c>
      <c r="T19" s="9">
        <v>0.97693803703243087</v>
      </c>
      <c r="U19" s="9">
        <v>0.97722088477828284</v>
      </c>
      <c r="V19" s="9">
        <v>0.97707488387823105</v>
      </c>
      <c r="W19" s="13">
        <v>0.94099999999999995</v>
      </c>
      <c r="X19" s="13">
        <v>0.94299999999999995</v>
      </c>
      <c r="Y19" s="13">
        <v>0.90300000000000002</v>
      </c>
      <c r="Z19" s="13">
        <v>0.96299999999999997</v>
      </c>
      <c r="AB19" s="23" t="s">
        <v>2338</v>
      </c>
      <c r="AC19" s="10" t="s">
        <v>2366</v>
      </c>
      <c r="AD19" s="8">
        <v>18041</v>
      </c>
      <c r="AE19" s="8">
        <v>11554</v>
      </c>
      <c r="AF19" s="8">
        <v>16212</v>
      </c>
      <c r="AG19" s="8">
        <v>12030</v>
      </c>
      <c r="AH19" s="8">
        <v>10466</v>
      </c>
    </row>
    <row r="20" spans="2:34" x14ac:dyDescent="0.3">
      <c r="O20" s="12" t="s">
        <v>1190</v>
      </c>
      <c r="P20" s="8">
        <v>15480</v>
      </c>
      <c r="Q20" s="9">
        <v>4.3999999999999997E-2</v>
      </c>
      <c r="S20" s="13" t="s">
        <v>1190</v>
      </c>
      <c r="T20" s="9">
        <v>0.97707310386679391</v>
      </c>
      <c r="U20" s="9">
        <v>0.97747543183240027</v>
      </c>
      <c r="V20" s="9">
        <v>0.97727257826111535</v>
      </c>
      <c r="W20" s="13">
        <v>0.95</v>
      </c>
      <c r="X20" s="13">
        <v>0.95199999999999996</v>
      </c>
      <c r="Y20" s="13">
        <v>0.91200000000000003</v>
      </c>
      <c r="Z20" s="13">
        <v>0.97</v>
      </c>
      <c r="AB20" s="23"/>
      <c r="AC20" s="10" t="s">
        <v>1168</v>
      </c>
      <c r="AD20" s="9">
        <v>0.08</v>
      </c>
      <c r="AE20" s="9">
        <v>3.8399999999999997E-2</v>
      </c>
      <c r="AF20" s="9">
        <v>2.5399999999999999E-2</v>
      </c>
      <c r="AG20" s="9">
        <v>4.1500000000000002E-2</v>
      </c>
      <c r="AH20" s="9">
        <v>0.135238738270366</v>
      </c>
    </row>
    <row r="21" spans="2:34" x14ac:dyDescent="0.3">
      <c r="O21" s="12" t="s">
        <v>1191</v>
      </c>
      <c r="P21" s="8">
        <v>11935</v>
      </c>
      <c r="Q21" s="9">
        <v>6.0999999999999999E-2</v>
      </c>
      <c r="S21" s="13" t="s">
        <v>1191</v>
      </c>
      <c r="T21" s="9">
        <v>0.97632084719159384</v>
      </c>
      <c r="U21" s="9">
        <v>0.97711000252853741</v>
      </c>
      <c r="V21" s="9">
        <v>0.9767130728472363</v>
      </c>
      <c r="W21" s="9">
        <v>0.9474999999999999</v>
      </c>
      <c r="X21" s="9">
        <v>0.94983333333333331</v>
      </c>
      <c r="Y21" s="9">
        <v>0.90808333333333324</v>
      </c>
      <c r="Z21" s="9">
        <v>0.9674166666666667</v>
      </c>
      <c r="AB21" s="23" t="s">
        <v>2339</v>
      </c>
      <c r="AC21" s="10" t="s">
        <v>2366</v>
      </c>
      <c r="AD21" s="8">
        <v>23011</v>
      </c>
      <c r="AE21" s="8">
        <v>11857</v>
      </c>
      <c r="AF21" s="8">
        <v>15480</v>
      </c>
      <c r="AG21" s="8">
        <v>11935</v>
      </c>
      <c r="AH21" s="8">
        <v>11756</v>
      </c>
    </row>
    <row r="22" spans="2:34" x14ac:dyDescent="0.3">
      <c r="O22" s="12" t="s">
        <v>1192</v>
      </c>
      <c r="P22" s="8">
        <v>11756</v>
      </c>
      <c r="Q22" s="9">
        <v>6.8000000000000005E-2</v>
      </c>
      <c r="S22" s="13" t="s">
        <v>1192</v>
      </c>
      <c r="T22" s="9">
        <v>0.98034146969968627</v>
      </c>
      <c r="U22" s="9">
        <v>0.98118849030949851</v>
      </c>
      <c r="V22" s="9">
        <v>0.98076294227079908</v>
      </c>
      <c r="W22" s="13">
        <v>0.94399999999999995</v>
      </c>
      <c r="X22" s="13">
        <v>0.94699999999999995</v>
      </c>
      <c r="Y22" s="13">
        <v>0.90900000000000003</v>
      </c>
      <c r="Z22" s="13">
        <v>0.96599999999999997</v>
      </c>
      <c r="AB22" s="23"/>
      <c r="AC22" s="10" t="s">
        <v>1168</v>
      </c>
      <c r="AD22" s="9">
        <v>4.3999999999999997E-2</v>
      </c>
      <c r="AE22" s="9">
        <v>0.06</v>
      </c>
      <c r="AF22" s="9">
        <v>4.3999999999999997E-2</v>
      </c>
      <c r="AG22" s="9">
        <v>6.0999999999999999E-2</v>
      </c>
      <c r="AH22" s="9">
        <v>6.8000000000000005E-2</v>
      </c>
    </row>
    <row r="23" spans="2:34" x14ac:dyDescent="0.3">
      <c r="O23" s="27" t="s">
        <v>1956</v>
      </c>
      <c r="P23" s="28"/>
      <c r="Q23" s="4"/>
      <c r="S23" s="10" t="s">
        <v>2337</v>
      </c>
      <c r="T23" s="13" t="s">
        <v>1169</v>
      </c>
      <c r="U23" s="13"/>
      <c r="V23" s="13"/>
      <c r="W23" s="13"/>
      <c r="X23" s="13"/>
      <c r="Y23" s="13"/>
      <c r="Z23" s="13"/>
      <c r="AB23" s="23"/>
      <c r="AC23" s="15" t="s">
        <v>2343</v>
      </c>
      <c r="AD23" s="15">
        <v>60</v>
      </c>
      <c r="AE23" s="15">
        <v>51</v>
      </c>
      <c r="AF23" s="15">
        <v>49</v>
      </c>
      <c r="AG23" s="15">
        <v>41</v>
      </c>
      <c r="AH23" s="15">
        <v>58</v>
      </c>
    </row>
    <row r="24" spans="2:34" x14ac:dyDescent="0.3">
      <c r="S24" s="16" t="s">
        <v>2339</v>
      </c>
      <c r="AB24" s="23"/>
      <c r="AC24" s="15" t="s">
        <v>1159</v>
      </c>
      <c r="AD24" s="5" t="s">
        <v>1177</v>
      </c>
      <c r="AE24" s="5" t="s">
        <v>1178</v>
      </c>
      <c r="AF24" s="5" t="s">
        <v>1179</v>
      </c>
      <c r="AG24" s="5" t="s">
        <v>1180</v>
      </c>
      <c r="AH24" s="5" t="s">
        <v>1181</v>
      </c>
    </row>
    <row r="25" spans="2:34" x14ac:dyDescent="0.3">
      <c r="AB25" s="24" t="s">
        <v>1165</v>
      </c>
      <c r="AC25" s="15" t="s">
        <v>1160</v>
      </c>
      <c r="AD25" s="9">
        <v>0.97835212471810251</v>
      </c>
      <c r="AE25" s="9">
        <v>0.97693803703243087</v>
      </c>
      <c r="AF25" s="9">
        <v>0.97707310386679391</v>
      </c>
      <c r="AG25" s="9">
        <v>0.97632084719159384</v>
      </c>
      <c r="AH25" s="9">
        <v>0.98034146969968627</v>
      </c>
    </row>
    <row r="26" spans="2:34" x14ac:dyDescent="0.3">
      <c r="V26" s="4"/>
      <c r="W26" s="13" t="s">
        <v>1182</v>
      </c>
      <c r="X26" s="13" t="s">
        <v>1185</v>
      </c>
      <c r="Y26" s="13" t="s">
        <v>1186</v>
      </c>
      <c r="Z26" s="13" t="s">
        <v>1187</v>
      </c>
      <c r="AB26" s="24"/>
      <c r="AC26" s="15" t="s">
        <v>1162</v>
      </c>
      <c r="AD26" s="9">
        <v>0.97884384204040875</v>
      </c>
      <c r="AE26" s="9">
        <v>0.97722088477828284</v>
      </c>
      <c r="AF26" s="9">
        <v>0.97747543183240027</v>
      </c>
      <c r="AG26" s="9">
        <v>0.97711000252853741</v>
      </c>
      <c r="AH26" s="9">
        <v>0.98118849030949851</v>
      </c>
    </row>
    <row r="27" spans="2:34" x14ac:dyDescent="0.3">
      <c r="V27" s="4">
        <v>0</v>
      </c>
      <c r="W27" s="4">
        <v>0.93700000000000006</v>
      </c>
      <c r="X27" s="4">
        <v>0.93899999999999995</v>
      </c>
      <c r="Y27" s="4">
        <v>0.89100000000000001</v>
      </c>
      <c r="Z27" s="4">
        <v>0.96199999999999997</v>
      </c>
      <c r="AB27" s="24"/>
      <c r="AC27" s="15" t="s">
        <v>1161</v>
      </c>
      <c r="AD27" s="9">
        <v>0.97859493236650119</v>
      </c>
      <c r="AE27" s="9">
        <v>0.97707488387823105</v>
      </c>
      <c r="AF27" s="9">
        <v>0.97727257826111535</v>
      </c>
      <c r="AG27" s="9">
        <v>0.9767130728472363</v>
      </c>
      <c r="AH27" s="9">
        <v>0.98076294227079908</v>
      </c>
    </row>
    <row r="28" spans="2:34" x14ac:dyDescent="0.3">
      <c r="V28" s="4">
        <v>1</v>
      </c>
      <c r="W28" s="4">
        <v>0.94</v>
      </c>
      <c r="X28" s="4">
        <v>0.93799999999999994</v>
      </c>
      <c r="Y28" s="4">
        <v>0.89</v>
      </c>
      <c r="Z28" s="4">
        <v>0.96399999999999997</v>
      </c>
      <c r="AB28" s="25" t="s">
        <v>2364</v>
      </c>
      <c r="AC28" s="26"/>
      <c r="AD28" s="21">
        <v>0.97727272727272696</v>
      </c>
      <c r="AE28" s="21">
        <v>1</v>
      </c>
      <c r="AF28" s="21">
        <v>1</v>
      </c>
      <c r="AG28" s="21">
        <v>1</v>
      </c>
      <c r="AH28" s="21">
        <v>0.97727272727272729</v>
      </c>
    </row>
    <row r="29" spans="2:34" x14ac:dyDescent="0.3">
      <c r="V29" s="4">
        <v>2</v>
      </c>
      <c r="W29" s="4">
        <v>0.94199999999999995</v>
      </c>
      <c r="X29" s="4">
        <v>0.94099999999999995</v>
      </c>
      <c r="Y29" s="4">
        <v>0.89500000000000002</v>
      </c>
      <c r="Z29" s="4">
        <v>0.96599999999999997</v>
      </c>
    </row>
    <row r="30" spans="2:34" x14ac:dyDescent="0.3">
      <c r="V30" s="4">
        <v>3</v>
      </c>
      <c r="W30" s="4">
        <v>0.93899999999999995</v>
      </c>
      <c r="X30" s="4">
        <v>0.94499999999999995</v>
      </c>
      <c r="Y30" s="4">
        <v>0.89900000000000002</v>
      </c>
      <c r="Z30" s="4">
        <v>0.96499999999999997</v>
      </c>
    </row>
    <row r="31" spans="2:34" x14ac:dyDescent="0.3">
      <c r="B31" s="13" t="s">
        <v>1153</v>
      </c>
      <c r="C31" s="13" t="s">
        <v>2343</v>
      </c>
      <c r="D31" s="13" t="s">
        <v>2344</v>
      </c>
      <c r="E31" s="13" t="s">
        <v>2345</v>
      </c>
      <c r="F31" s="13" t="s">
        <v>2346</v>
      </c>
      <c r="V31" s="4">
        <v>4</v>
      </c>
      <c r="W31" s="4">
        <v>0.94599999999999995</v>
      </c>
      <c r="X31" s="4">
        <v>0.95499999999999996</v>
      </c>
      <c r="Y31" s="4">
        <v>0.91300000000000003</v>
      </c>
      <c r="Z31" s="4">
        <v>0.96799999999999997</v>
      </c>
    </row>
    <row r="32" spans="2:34" x14ac:dyDescent="0.3">
      <c r="B32" s="13" t="s">
        <v>1188</v>
      </c>
      <c r="C32" s="13">
        <v>60</v>
      </c>
      <c r="D32" s="13">
        <v>12</v>
      </c>
      <c r="E32" s="13">
        <v>6</v>
      </c>
      <c r="F32" s="13">
        <v>10</v>
      </c>
      <c r="V32" s="4">
        <v>5</v>
      </c>
      <c r="W32" s="4">
        <v>0.94499999999999995</v>
      </c>
      <c r="X32" s="4">
        <v>0.95299999999999996</v>
      </c>
      <c r="Y32" s="4">
        <v>0.91200000000000003</v>
      </c>
      <c r="Z32" s="4">
        <v>0.96799999999999997</v>
      </c>
    </row>
    <row r="33" spans="2:26" x14ac:dyDescent="0.3">
      <c r="B33" s="13" t="s">
        <v>1189</v>
      </c>
      <c r="C33" s="13">
        <v>51</v>
      </c>
      <c r="D33" s="13">
        <v>16</v>
      </c>
      <c r="E33" s="13">
        <v>7</v>
      </c>
      <c r="F33" s="13">
        <v>14</v>
      </c>
      <c r="I33" s="24" t="s">
        <v>1159</v>
      </c>
      <c r="J33" s="24"/>
      <c r="K33" s="24"/>
      <c r="L33" s="24"/>
      <c r="M33" s="24"/>
      <c r="V33" s="4">
        <v>6</v>
      </c>
      <c r="W33" s="4">
        <v>0.94699999999999995</v>
      </c>
      <c r="X33" s="4">
        <v>0.95699999999999996</v>
      </c>
      <c r="Y33" s="4">
        <v>0.91700000000000004</v>
      </c>
      <c r="Z33" s="4">
        <v>0.96899999999999997</v>
      </c>
    </row>
    <row r="34" spans="2:26" x14ac:dyDescent="0.3">
      <c r="B34" s="13" t="s">
        <v>1190</v>
      </c>
      <c r="C34" s="13">
        <v>49</v>
      </c>
      <c r="D34" s="13">
        <v>16</v>
      </c>
      <c r="E34" s="13">
        <v>12</v>
      </c>
      <c r="F34" s="13">
        <v>11</v>
      </c>
      <c r="I34" s="13" t="s">
        <v>1152</v>
      </c>
      <c r="J34" s="13" t="s">
        <v>1154</v>
      </c>
      <c r="K34" s="13" t="s">
        <v>1156</v>
      </c>
      <c r="L34" s="13" t="s">
        <v>1157</v>
      </c>
      <c r="M34" s="13" t="s">
        <v>1158</v>
      </c>
      <c r="V34" s="4">
        <v>7</v>
      </c>
      <c r="W34" s="4">
        <v>0.95299999999999996</v>
      </c>
      <c r="X34" s="4">
        <v>0.95099999999999996</v>
      </c>
      <c r="Y34" s="4">
        <v>0.90800000000000003</v>
      </c>
      <c r="Z34" s="4">
        <v>0.96699999999999997</v>
      </c>
    </row>
    <row r="35" spans="2:26" x14ac:dyDescent="0.3">
      <c r="B35" s="13" t="s">
        <v>1191</v>
      </c>
      <c r="C35" s="13">
        <v>41</v>
      </c>
      <c r="D35" s="13">
        <v>20</v>
      </c>
      <c r="E35" s="13">
        <v>13</v>
      </c>
      <c r="F35" s="13">
        <v>14</v>
      </c>
      <c r="I35" s="5" t="s">
        <v>2352</v>
      </c>
      <c r="J35" s="5" t="s">
        <v>2353</v>
      </c>
      <c r="K35" s="5" t="s">
        <v>2354</v>
      </c>
      <c r="L35" s="5" t="s">
        <v>2355</v>
      </c>
      <c r="M35" s="5" t="s">
        <v>2352</v>
      </c>
      <c r="V35" s="4">
        <v>8</v>
      </c>
      <c r="W35" s="4">
        <v>0.96099999999999997</v>
      </c>
      <c r="X35" s="4">
        <v>0.95899999999999996</v>
      </c>
      <c r="Y35" s="4">
        <v>0.92900000000000005</v>
      </c>
      <c r="Z35" s="4">
        <v>0.97199999999999998</v>
      </c>
    </row>
    <row r="36" spans="2:26" x14ac:dyDescent="0.3">
      <c r="B36" s="13" t="s">
        <v>1192</v>
      </c>
      <c r="C36" s="13">
        <v>58</v>
      </c>
      <c r="D36" s="13">
        <v>11</v>
      </c>
      <c r="E36" s="13">
        <v>3</v>
      </c>
      <c r="F36" s="13">
        <v>16</v>
      </c>
      <c r="I36" s="4" t="s">
        <v>1169</v>
      </c>
      <c r="J36" s="4" t="s">
        <v>2349</v>
      </c>
      <c r="K36" s="4" t="s">
        <v>2350</v>
      </c>
      <c r="L36" s="4"/>
      <c r="M36" s="4"/>
      <c r="V36" s="4">
        <v>9</v>
      </c>
      <c r="W36" s="4">
        <v>0.95899999999999996</v>
      </c>
      <c r="X36" s="4">
        <v>0.95799999999999996</v>
      </c>
      <c r="Y36" s="4">
        <v>0.92700000000000005</v>
      </c>
      <c r="Z36" s="4">
        <v>0.97299999999999998</v>
      </c>
    </row>
    <row r="37" spans="2:26" x14ac:dyDescent="0.3">
      <c r="B37" s="4" t="s">
        <v>1174</v>
      </c>
      <c r="C37" s="4"/>
      <c r="D37" s="4"/>
      <c r="E37" s="4"/>
      <c r="F37" s="4"/>
      <c r="V37" s="4">
        <v>10</v>
      </c>
      <c r="W37" s="4">
        <v>0.95399999999999996</v>
      </c>
      <c r="X37" s="4">
        <v>0.95399999999999996</v>
      </c>
      <c r="Y37" s="4">
        <v>0.91400000000000003</v>
      </c>
      <c r="Z37" s="4">
        <v>0.97</v>
      </c>
    </row>
    <row r="38" spans="2:26" x14ac:dyDescent="0.3">
      <c r="I38" t="s">
        <v>2359</v>
      </c>
      <c r="V38" s="4">
        <v>11</v>
      </c>
      <c r="W38" s="4">
        <v>0.94699999999999995</v>
      </c>
      <c r="X38" s="4">
        <v>0.94799999999999995</v>
      </c>
      <c r="Y38" s="4">
        <v>0.90200000000000002</v>
      </c>
      <c r="Z38" s="4">
        <v>0.96499999999999997</v>
      </c>
    </row>
    <row r="39" spans="2:26" x14ac:dyDescent="0.3">
      <c r="I39" s="15" t="s">
        <v>1153</v>
      </c>
      <c r="J39" s="15" t="s">
        <v>2359</v>
      </c>
      <c r="K39" s="4" t="s">
        <v>2362</v>
      </c>
      <c r="V39" s="4"/>
      <c r="W39" s="4">
        <f>AVERAGE(W27:W38)</f>
        <v>0.9474999999999999</v>
      </c>
      <c r="X39" s="4">
        <f t="shared" ref="X39:Z39" si="0">AVERAGE(X27:X38)</f>
        <v>0.94983333333333331</v>
      </c>
      <c r="Y39" s="4">
        <f t="shared" si="0"/>
        <v>0.90808333333333324</v>
      </c>
      <c r="Z39" s="4">
        <f t="shared" si="0"/>
        <v>0.9674166666666667</v>
      </c>
    </row>
    <row r="40" spans="2:26" x14ac:dyDescent="0.3">
      <c r="I40" s="15" t="s">
        <v>1188</v>
      </c>
      <c r="J40" s="19">
        <f>K40/L40</f>
        <v>0.97727272727272729</v>
      </c>
      <c r="K40" s="4">
        <v>86</v>
      </c>
      <c r="L40">
        <v>88</v>
      </c>
      <c r="V40" s="4"/>
      <c r="W40" s="4" t="s">
        <v>2340</v>
      </c>
      <c r="X40" s="4"/>
      <c r="Y40" s="4"/>
      <c r="Z40" s="4"/>
    </row>
    <row r="41" spans="2:26" x14ac:dyDescent="0.3">
      <c r="I41" s="15" t="s">
        <v>1189</v>
      </c>
      <c r="J41" s="19">
        <f t="shared" ref="J41:J44" si="1">K41/L41</f>
        <v>1</v>
      </c>
      <c r="K41" s="4">
        <v>88</v>
      </c>
      <c r="L41">
        <v>88</v>
      </c>
    </row>
    <row r="42" spans="2:26" x14ac:dyDescent="0.3">
      <c r="I42" s="15" t="s">
        <v>1190</v>
      </c>
      <c r="J42" s="19">
        <f t="shared" si="1"/>
        <v>1</v>
      </c>
      <c r="K42" s="4">
        <v>88</v>
      </c>
      <c r="L42">
        <v>88</v>
      </c>
    </row>
    <row r="43" spans="2:26" x14ac:dyDescent="0.3">
      <c r="I43" s="15" t="s">
        <v>1191</v>
      </c>
      <c r="J43" s="19">
        <f t="shared" si="1"/>
        <v>1</v>
      </c>
      <c r="K43" s="4">
        <v>88</v>
      </c>
      <c r="L43">
        <v>88</v>
      </c>
    </row>
    <row r="44" spans="2:26" x14ac:dyDescent="0.3">
      <c r="I44" s="15" t="s">
        <v>1192</v>
      </c>
      <c r="J44" s="19">
        <f t="shared" si="1"/>
        <v>0.97727272727272729</v>
      </c>
      <c r="K44" s="4">
        <v>86</v>
      </c>
      <c r="L44">
        <v>88</v>
      </c>
    </row>
    <row r="46" spans="2:26" x14ac:dyDescent="0.3">
      <c r="I46" s="13" t="s">
        <v>1153</v>
      </c>
      <c r="J46" s="13" t="s">
        <v>1159</v>
      </c>
      <c r="O46" s="4" t="s">
        <v>2363</v>
      </c>
      <c r="P46" s="4" t="s">
        <v>2361</v>
      </c>
      <c r="Q46" s="4" t="s">
        <v>2364</v>
      </c>
    </row>
    <row r="47" spans="2:26" x14ac:dyDescent="0.3">
      <c r="I47" s="20" t="s">
        <v>1188</v>
      </c>
      <c r="J47" s="5" t="s">
        <v>2352</v>
      </c>
      <c r="O47" s="4" t="s">
        <v>1188</v>
      </c>
      <c r="P47" s="4">
        <v>86</v>
      </c>
      <c r="Q47" s="21">
        <v>0.97727272727272696</v>
      </c>
    </row>
    <row r="48" spans="2:26" x14ac:dyDescent="0.3">
      <c r="I48" s="20" t="s">
        <v>1189</v>
      </c>
      <c r="J48" s="5" t="s">
        <v>2353</v>
      </c>
      <c r="O48" s="4" t="s">
        <v>1189</v>
      </c>
      <c r="P48" s="4">
        <v>88</v>
      </c>
      <c r="Q48" s="21">
        <v>1</v>
      </c>
    </row>
    <row r="49" spans="9:17" x14ac:dyDescent="0.3">
      <c r="I49" s="20" t="s">
        <v>1190</v>
      </c>
      <c r="J49" s="5" t="s">
        <v>2354</v>
      </c>
      <c r="O49" s="4" t="s">
        <v>1190</v>
      </c>
      <c r="P49" s="4">
        <v>88</v>
      </c>
      <c r="Q49" s="21">
        <v>1</v>
      </c>
    </row>
    <row r="50" spans="9:17" x14ac:dyDescent="0.3">
      <c r="I50" s="20" t="s">
        <v>1191</v>
      </c>
      <c r="J50" s="5" t="s">
        <v>2355</v>
      </c>
      <c r="O50" s="4" t="s">
        <v>1191</v>
      </c>
      <c r="P50" s="4">
        <v>88</v>
      </c>
      <c r="Q50" s="21">
        <v>1</v>
      </c>
    </row>
    <row r="51" spans="9:17" x14ac:dyDescent="0.3">
      <c r="I51" s="20" t="s">
        <v>1192</v>
      </c>
      <c r="J51" s="5" t="s">
        <v>2352</v>
      </c>
      <c r="O51" s="4" t="s">
        <v>1192</v>
      </c>
      <c r="P51" s="4">
        <v>86</v>
      </c>
      <c r="Q51" s="21">
        <v>0.97727272727272729</v>
      </c>
    </row>
  </sheetData>
  <mergeCells count="21">
    <mergeCell ref="I33:M33"/>
    <mergeCell ref="I3:M3"/>
    <mergeCell ref="T3:V3"/>
    <mergeCell ref="S3:S4"/>
    <mergeCell ref="S16:S17"/>
    <mergeCell ref="T16:V16"/>
    <mergeCell ref="X3:Z3"/>
    <mergeCell ref="O16:Q16"/>
    <mergeCell ref="O23:P23"/>
    <mergeCell ref="O3:Q3"/>
    <mergeCell ref="O10:P10"/>
    <mergeCell ref="X16:Z16"/>
    <mergeCell ref="AB21:AB24"/>
    <mergeCell ref="AB25:AB27"/>
    <mergeCell ref="AB28:AC28"/>
    <mergeCell ref="AI3:AK3"/>
    <mergeCell ref="AC3:AD3"/>
    <mergeCell ref="AE3:AH3"/>
    <mergeCell ref="AB18:AC18"/>
    <mergeCell ref="AB19:AB20"/>
    <mergeCell ref="AB3:AB4"/>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real_qwen2.5_Omni</vt:lpstr>
      <vt:lpstr>real_qwen2.5_math</vt:lpstr>
      <vt:lpstr>real_llama3.2</vt:lpstr>
      <vt:lpstr>real_gemma3</vt:lpstr>
      <vt:lpstr>real_deepseek_r1</vt:lpstr>
      <vt:lpstr>qwen2.5_Omni</vt:lpstr>
      <vt:lpstr>qwen2.5_math</vt:lpstr>
      <vt:lpstr>llama3.2</vt:lpstr>
      <vt:lpstr>gemma3</vt:lpstr>
      <vt:lpstr>deepseek_r1</vt:lpstr>
      <vt:lpstr>数据处理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dc:creator>
  <cp:lastModifiedBy>奔 张</cp:lastModifiedBy>
  <dcterms:created xsi:type="dcterms:W3CDTF">2015-06-05T18:19:34Z</dcterms:created>
  <dcterms:modified xsi:type="dcterms:W3CDTF">2025-11-07T09:23:56Z</dcterms:modified>
</cp:coreProperties>
</file>